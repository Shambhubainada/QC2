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mart Dashboard" sheetId="1" state="visible" r:id="rId1"/>
    <sheet xmlns:r="http://schemas.openxmlformats.org/officeDocument/2006/relationships" name="Dashboard" sheetId="2" state="hidden" r:id="rId2"/>
    <sheet xmlns:r="http://schemas.openxmlformats.org/officeDocument/2006/relationships" name="Master Stock" sheetId="3" state="visible" r:id="rId3"/>
    <sheet xmlns:r="http://schemas.openxmlformats.org/officeDocument/2006/relationships" name="QC Tracker" sheetId="4" state="visible" r:id="rId4"/>
    <sheet xmlns:r="http://schemas.openxmlformats.org/officeDocument/2006/relationships" name="Priority Wheat" sheetId="5" state="visible" r:id="rId5"/>
    <sheet xmlns:r="http://schemas.openxmlformats.org/officeDocument/2006/relationships" name="Priority Rice" sheetId="6" state="visible" r:id="rId6"/>
    <sheet xmlns:r="http://schemas.openxmlformats.org/officeDocument/2006/relationships" name="Shed Summary" sheetId="7" state="visible" r:id="rId7"/>
  </sheets>
  <definedNames>
    <definedName name="_xlnm.Print_Area" localSheetId="0">'Smart Dashboard'!$A$1:$N$43</definedName>
    <definedName name="_xlnm._FilterDatabase" localSheetId="2" hidden="1">'Master Stock'!$A$1:$L$46</definedName>
    <definedName name="_xlnm._FilterDatabase" localSheetId="4" hidden="1">'Priority Wheat'!$A$2:$I$103</definedName>
    <definedName name="_xlnm._FilterDatabase" localSheetId="5" hidden="1">'Priority Rice'!$A$2:$I$106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dd.mm.yy"/>
    <numFmt numFmtId="165" formatCode="dd\.mm\.yy"/>
    <numFmt numFmtId="166" formatCode="m/d/yyyy"/>
  </numFmts>
  <fonts count="52">
    <font>
      <name val="Arial"/>
      <color rgb="FF000000"/>
      <sz val="11"/>
      <scheme val="minor"/>
    </font>
    <font>
      <name val="Arial"/>
      <b val="1"/>
      <color rgb="FFFFFFFF"/>
      <sz val="20"/>
    </font>
    <font/>
    <font>
      <name val="Arial"/>
      <b val="1"/>
      <color rgb="FFFFFFFF"/>
      <sz val="10"/>
    </font>
    <font>
      <name val="Arial"/>
      <color rgb="FF000000"/>
      <sz val="11"/>
    </font>
    <font>
      <name val="Arial"/>
      <color rgb="FF102A5C"/>
      <sz val="9"/>
    </font>
    <font>
      <name val="Arial"/>
      <b val="1"/>
      <color rgb="FF1F5AA6"/>
      <sz val="10"/>
    </font>
    <font>
      <name val="Arial"/>
      <b val="1"/>
      <color rgb="FF2E7D32"/>
      <sz val="10"/>
    </font>
    <font>
      <name val="Arial"/>
      <b val="1"/>
      <color rgb="FF7030A0"/>
      <sz val="10"/>
    </font>
    <font>
      <name val="Arial"/>
      <b val="1"/>
      <color rgb="FFC00000"/>
      <sz val="10"/>
    </font>
    <font>
      <name val="Arial"/>
      <b val="1"/>
      <color rgb="FFE67E00"/>
      <sz val="10"/>
    </font>
    <font>
      <name val="Arial"/>
      <b val="1"/>
      <color rgb="FFFFFFFF"/>
      <sz val="11"/>
    </font>
    <font>
      <name val="Arial"/>
      <b val="1"/>
      <color rgb="FF1F5AA6"/>
      <sz val="25"/>
    </font>
    <font>
      <name val="Arial"/>
      <b val="1"/>
      <color rgb="FF2E7D32"/>
      <sz val="25"/>
    </font>
    <font>
      <name val="Arial"/>
      <b val="1"/>
      <color rgb="FF7030A0"/>
      <sz val="25"/>
    </font>
    <font>
      <name val="Arial"/>
      <b val="1"/>
      <color rgb="FFC00000"/>
      <sz val="25"/>
    </font>
    <font>
      <name val="Arial"/>
      <b val="1"/>
      <color rgb="FFE67E00"/>
      <sz val="25"/>
    </font>
    <font>
      <name val="Arial"/>
      <b val="1"/>
      <color rgb="FFFFFFFF"/>
      <sz val="11"/>
      <u val="single"/>
    </font>
    <font>
      <name val="Arial"/>
      <b val="1"/>
      <color rgb="FF102A5C"/>
      <sz val="9"/>
    </font>
    <font>
      <name val="Arial"/>
      <b val="1"/>
      <color rgb="FF17365D"/>
      <sz val="11"/>
    </font>
    <font>
      <name val="Arial"/>
      <b val="1"/>
      <color rgb="FF17365D"/>
      <sz val="10"/>
    </font>
    <font>
      <name val="Arial"/>
      <b val="1"/>
      <color rgb="FFC00000"/>
      <sz val="8"/>
    </font>
    <font>
      <name val="Arial"/>
      <b val="1"/>
      <color rgb="FF0B2E63"/>
      <sz val="11"/>
    </font>
    <font>
      <name val="Arial"/>
      <b val="1"/>
      <sz val="12"/>
    </font>
    <font>
      <name val="Calibri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7"/>
    </font>
    <font>
      <name val="Arial"/>
      <b val="1"/>
      <color rgb="FF17365D"/>
      <sz val="13"/>
    </font>
    <font>
      <name val="Calibri"/>
      <b val="1"/>
      <color rgb="00000000"/>
      <sz val="14"/>
    </font>
    <font>
      <name val="Arial"/>
      <b val="1"/>
      <color rgb="FF9C0006"/>
      <sz val="11"/>
    </font>
    <font>
      <name val="Cambria"/>
      <b val="1"/>
      <color rgb="FFFFFFFF"/>
      <sz val="11"/>
    </font>
    <font>
      <b val="1"/>
      <color rgb="FFFF0000"/>
      <u val="single"/>
    </font>
    <font>
      <name val="Calibri"/>
      <color rgb="00000000"/>
      <sz val="12"/>
    </font>
    <font>
      <name val="Arial"/>
      <color rgb="00000000"/>
    </font>
    <font>
      <name val="Calibri"/>
      <color rgb="FF000000"/>
      <sz val="12"/>
    </font>
    <font>
      <name val="Arial"/>
      <b val="1"/>
      <color rgb="FF000000"/>
      <sz val="14"/>
    </font>
    <font>
      <name val="Arial"/>
      <b val="1"/>
      <color rgb="00FFFFFF"/>
      <sz val="18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1769D1"/>
      <sz val="24"/>
    </font>
    <font>
      <name val="Arial"/>
      <b val="1"/>
      <color rgb="004D8B22"/>
      <sz val="24"/>
    </font>
    <font>
      <name val="Arial"/>
      <b val="1"/>
      <color rgb="007B3FB4"/>
      <sz val="24"/>
    </font>
    <font>
      <name val="Arial"/>
      <b val="1"/>
      <color rgb="00D72638"/>
      <sz val="24"/>
    </font>
    <font>
      <name val="Arial"/>
      <b val="1"/>
      <color rgb="00F28C18"/>
      <sz val="24"/>
    </font>
    <font>
      <name val="Arial"/>
      <color rgb="005B6678"/>
      <sz val="8"/>
    </font>
    <font>
      <name val="Arial"/>
      <b val="1"/>
      <color rgb="000B2A55"/>
      <sz val="10"/>
    </font>
    <font>
      <name val="Arial"/>
      <b val="1"/>
      <color rgb="00172033"/>
      <sz val="8"/>
    </font>
    <font>
      <name val="Arial"/>
      <color rgb="00172033"/>
      <sz val="9"/>
    </font>
    <font>
      <name val="Arial"/>
      <b val="1"/>
      <color rgb="005B6678"/>
      <sz val="9"/>
    </font>
    <font>
      <name val="Arial"/>
      <b val="1"/>
      <color rgb="00172033"/>
      <sz val="10"/>
    </font>
    <font>
      <name val="Arial"/>
      <b val="1"/>
      <color rgb="00D72638"/>
      <sz val="10"/>
    </font>
    <font>
      <name val="Arial"/>
      <b val="1"/>
      <color rgb="00F28C18"/>
      <sz val="10"/>
    </font>
  </fonts>
  <fills count="33">
    <fill>
      <patternFill/>
    </fill>
    <fill>
      <patternFill patternType="lightGray"/>
    </fill>
    <fill>
      <patternFill patternType="solid">
        <fgColor rgb="FF0B2E63"/>
        <bgColor rgb="FF0B2E63"/>
      </patternFill>
    </fill>
    <fill>
      <patternFill patternType="solid">
        <fgColor rgb="FFFFFFFF"/>
        <bgColor rgb="FFFFFFFF"/>
      </patternFill>
    </fill>
    <fill>
      <patternFill patternType="solid">
        <fgColor rgb="FF17365D"/>
        <bgColor rgb="FF17365D"/>
      </patternFill>
    </fill>
    <fill>
      <patternFill patternType="solid">
        <fgColor rgb="FFEAF1F8"/>
        <bgColor rgb="FFEAF1F8"/>
      </patternFill>
    </fill>
    <fill>
      <patternFill patternType="solid">
        <fgColor rgb="FFFFF2CC"/>
        <bgColor rgb="FFFFF2CC"/>
      </patternFill>
    </fill>
    <fill>
      <patternFill patternType="solid">
        <fgColor rgb="FFF3F5F7"/>
        <bgColor rgb="FFF3F5F7"/>
      </patternFill>
    </fill>
    <fill>
      <patternFill patternType="solid">
        <fgColor rgb="FFC00000"/>
        <bgColor rgb="FFC00000"/>
      </patternFill>
    </fill>
    <fill>
      <patternFill patternType="solid">
        <fgColor rgb="FFE67E00"/>
        <bgColor rgb="FFE67E00"/>
      </patternFill>
    </fill>
    <fill>
      <patternFill patternType="solid">
        <fgColor rgb="FFE8EDF3"/>
        <bgColor rgb="FFE8EDF3"/>
      </patternFill>
    </fill>
    <fill>
      <patternFill patternType="solid">
        <fgColor rgb="FFF7F9FC"/>
        <bgColor rgb="FFF7F9FC"/>
      </patternFill>
    </fill>
    <fill>
      <patternFill patternType="solid">
        <fgColor rgb="FFFDECEC"/>
        <bgColor rgb="FFFDECEC"/>
      </patternFill>
    </fill>
    <fill>
      <patternFill patternType="solid">
        <fgColor rgb="FFFFF1DE"/>
        <bgColor rgb="FFFFF1DE"/>
      </patternFill>
    </fill>
    <fill>
      <patternFill patternType="solid">
        <fgColor rgb="FFEEF3F8"/>
        <bgColor rgb="FFEEF3F8"/>
      </patternFill>
    </fill>
    <fill>
      <patternFill patternType="solid">
        <fgColor rgb="FFEAF2F8"/>
        <bgColor rgb="FFEAF2F8"/>
      </patternFill>
    </fill>
    <fill>
      <patternFill patternType="solid">
        <fgColor rgb="FFFF0000"/>
        <bgColor rgb="FFFF0000"/>
      </patternFill>
    </fill>
    <fill>
      <patternFill patternType="solid">
        <fgColor rgb="FFFFC7CE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rgb="FFF3F7FA"/>
        <bgColor rgb="FFF3F7FA"/>
      </patternFill>
    </fill>
    <fill>
      <patternFill patternType="solid">
        <fgColor rgb="FFFCE4D6"/>
        <bgColor rgb="FFFCE4D6"/>
      </patternFill>
    </fill>
    <fill>
      <patternFill patternType="solid">
        <fgColor rgb="000B2A55"/>
      </patternFill>
    </fill>
    <fill>
      <patternFill patternType="solid">
        <fgColor rgb="00FFFFFF"/>
      </patternFill>
    </fill>
    <fill>
      <patternFill patternType="solid">
        <fgColor rgb="00123E73"/>
      </patternFill>
    </fill>
    <fill>
      <patternFill patternType="solid">
        <fgColor rgb="004D8B22"/>
      </patternFill>
    </fill>
    <fill>
      <patternFill patternType="solid">
        <fgColor rgb="00D72638"/>
      </patternFill>
    </fill>
    <fill>
      <patternFill patternType="solid">
        <fgColor rgb="00F28C18"/>
      </patternFill>
    </fill>
    <fill>
      <patternFill patternType="solid">
        <fgColor rgb="00EEF3F9"/>
      </patternFill>
    </fill>
    <fill>
      <patternFill patternType="solid">
        <fgColor rgb="00EAF0F7"/>
      </patternFill>
    </fill>
    <fill>
      <patternFill patternType="solid">
        <fgColor rgb="00FBFCFE"/>
      </patternFill>
    </fill>
    <fill>
      <patternFill patternType="solid">
        <fgColor rgb="00FFF7F7"/>
      </patternFill>
    </fill>
    <fill>
      <patternFill patternType="solid">
        <fgColor rgb="00FCE7E9"/>
      </patternFill>
    </fill>
    <fill>
      <patternFill patternType="solid">
        <fgColor rgb="00FFF0DA"/>
      </patternFill>
    </fill>
  </fills>
  <borders count="119">
    <border/>
    <border>
      <left style="thin">
        <color rgb="FFC9D2DC"/>
      </left>
      <top style="thin">
        <color rgb="FFC9D2DC"/>
      </top>
      <bottom style="thin">
        <color rgb="FFC9D2DC"/>
      </bottom>
    </border>
    <border>
      <right style="thin">
        <color rgb="FFC9D2DC"/>
      </right>
      <top style="thin">
        <color rgb="FFC9D2DC"/>
      </top>
      <bottom style="thin">
        <color rgb="FFC9D2DC"/>
      </bottom>
    </border>
    <border>
      <top style="thin">
        <color rgb="FFC9D2DC"/>
      </top>
      <bottom style="thin">
        <color rgb="FFC9D2DC"/>
      </bottom>
    </border>
    <border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</border>
    <border>
      <left style="thin">
        <color rgb="FF1F5AA6"/>
      </left>
      <top style="thin">
        <color rgb="FF1F5AA6"/>
      </top>
      <bottom style="thin">
        <color rgb="FF1F5AA6"/>
      </bottom>
    </border>
    <border>
      <right style="thin">
        <color rgb="FF1F5AA6"/>
      </right>
      <top style="thin">
        <color rgb="FF1F5AA6"/>
      </top>
      <bottom style="thin">
        <color rgb="FF1F5AA6"/>
      </bottom>
    </border>
    <border>
      <left style="thin">
        <color rgb="FF2E7D32"/>
      </left>
      <top style="thin">
        <color rgb="FF2E7D32"/>
      </top>
      <bottom style="thin">
        <color rgb="FF2E7D32"/>
      </bottom>
    </border>
    <border>
      <right style="thin">
        <color rgb="FF2E7D32"/>
      </right>
      <top style="thin">
        <color rgb="FF2E7D32"/>
      </top>
      <bottom style="thin">
        <color rgb="FF2E7D32"/>
      </bottom>
    </border>
    <border>
      <left style="thin">
        <color rgb="FF7030A0"/>
      </left>
      <top style="thin">
        <color rgb="FF7030A0"/>
      </top>
      <bottom style="thin">
        <color rgb="FF7030A0"/>
      </bottom>
    </border>
    <border>
      <right style="thin">
        <color rgb="FF7030A0"/>
      </right>
      <top style="thin">
        <color rgb="FF7030A0"/>
      </top>
      <bottom style="thin">
        <color rgb="FF7030A0"/>
      </bottom>
    </border>
    <border>
      <left style="thin">
        <color rgb="FFC00000"/>
      </left>
      <top style="thin">
        <color rgb="FFC00000"/>
      </top>
      <bottom style="thin">
        <color rgb="FFC00000"/>
      </bottom>
    </border>
    <border>
      <right style="thin">
        <color rgb="FFC00000"/>
      </right>
      <top style="thin">
        <color rgb="FFC00000"/>
      </top>
      <bottom style="thin">
        <color rgb="FFC00000"/>
      </bottom>
    </border>
    <border>
      <left style="thin">
        <color rgb="FFE67E00"/>
      </left>
      <top style="thin">
        <color rgb="FFE67E00"/>
      </top>
      <bottom style="thin">
        <color rgb="FFE67E00"/>
      </bottom>
    </border>
    <border>
      <right style="thin">
        <color rgb="FFE67E00"/>
      </right>
      <top style="thin">
        <color rgb="FFE67E00"/>
      </top>
      <bottom style="thin">
        <color rgb="FFE67E00"/>
      </bottom>
    </border>
    <border>
      <left style="thin">
        <color rgb="FF1F5AA6"/>
      </left>
      <top style="thin">
        <color rgb="FF1F5AA6"/>
      </top>
    </border>
    <border>
      <right style="thin">
        <color rgb="FF1F5AA6"/>
      </right>
      <top style="thin">
        <color rgb="FF1F5AA6"/>
      </top>
    </border>
    <border>
      <left style="thin">
        <color rgb="FF2E7D32"/>
      </left>
      <top style="thin">
        <color rgb="FF2E7D32"/>
      </top>
    </border>
    <border>
      <right style="thin">
        <color rgb="FF2E7D32"/>
      </right>
      <top style="thin">
        <color rgb="FF2E7D32"/>
      </top>
    </border>
    <border>
      <left style="thin">
        <color rgb="FF7030A0"/>
      </left>
      <top style="thin">
        <color rgb="FF7030A0"/>
      </top>
    </border>
    <border>
      <right style="thin">
        <color rgb="FF7030A0"/>
      </right>
      <top style="thin">
        <color rgb="FF7030A0"/>
      </top>
    </border>
    <border>
      <left style="thin">
        <color rgb="FFC00000"/>
      </left>
      <top style="thin">
        <color rgb="FFC00000"/>
      </top>
    </border>
    <border>
      <right style="thin">
        <color rgb="FFC00000"/>
      </right>
      <top style="thin">
        <color rgb="FFC00000"/>
      </top>
    </border>
    <border>
      <left style="thin">
        <color rgb="FFE67E00"/>
      </left>
      <top style="thin">
        <color rgb="FFE67E00"/>
      </top>
    </border>
    <border>
      <right style="thin">
        <color rgb="FFE67E00"/>
      </right>
      <top style="thin">
        <color rgb="FFE67E00"/>
      </top>
    </border>
    <border>
      <left style="medium">
        <color rgb="FFFFFFFF"/>
      </left>
      <top style="medium">
        <color rgb="FFFFFFFF"/>
      </top>
    </border>
    <border>
      <top style="medium">
        <color rgb="FFFFFFFF"/>
      </top>
    </border>
    <border>
      <right style="thin">
        <color rgb="FFC9D2DC"/>
      </right>
      <top style="medium">
        <color rgb="FFFFFFFF"/>
      </top>
    </border>
    <border>
      <left style="thin">
        <color rgb="FF1F5AA6"/>
      </left>
    </border>
    <border>
      <right style="thin">
        <color rgb="FF1F5AA6"/>
      </right>
    </border>
    <border>
      <left style="thin">
        <color rgb="FF2E7D32"/>
      </left>
    </border>
    <border>
      <right style="thin">
        <color rgb="FF2E7D32"/>
      </right>
    </border>
    <border>
      <left style="thin">
        <color rgb="FF7030A0"/>
      </left>
    </border>
    <border>
      <right style="thin">
        <color rgb="FF7030A0"/>
      </right>
    </border>
    <border>
      <left style="thin">
        <color rgb="FFC00000"/>
      </left>
    </border>
    <border>
      <right style="thin">
        <color rgb="FFC00000"/>
      </right>
    </border>
    <border>
      <left style="thin">
        <color rgb="FFE67E00"/>
      </left>
    </border>
    <border>
      <right style="thin">
        <color rgb="FFE67E00"/>
      </right>
    </border>
    <border>
      <left style="medium">
        <color rgb="FFFFFFFF"/>
      </left>
      <bottom style="thin">
        <color rgb="FFC9D2DC"/>
      </bottom>
    </border>
    <border>
      <bottom style="thin">
        <color rgb="FFC9D2DC"/>
      </bottom>
    </border>
    <border>
      <right style="thin">
        <color rgb="FFC9D2DC"/>
      </right>
      <bottom style="thin">
        <color rgb="FFC9D2DC"/>
      </bottom>
    </border>
    <border>
      <left style="thin">
        <color rgb="FF1F5AA6"/>
      </left>
      <bottom style="thin">
        <color rgb="FF1F5AA6"/>
      </bottom>
    </border>
    <border>
      <right style="thin">
        <color rgb="FF1F5AA6"/>
      </right>
      <bottom style="thin">
        <color rgb="FF1F5AA6"/>
      </bottom>
    </border>
    <border>
      <left style="thin">
        <color rgb="FF2E7D32"/>
      </left>
      <bottom style="thin">
        <color rgb="FF2E7D32"/>
      </bottom>
    </border>
    <border>
      <right style="thin">
        <color rgb="FF2E7D32"/>
      </right>
      <bottom style="thin">
        <color rgb="FF2E7D32"/>
      </bottom>
    </border>
    <border>
      <left style="thin">
        <color rgb="FF7030A0"/>
      </left>
      <bottom style="thin">
        <color rgb="FF7030A0"/>
      </bottom>
    </border>
    <border>
      <right style="thin">
        <color rgb="FF7030A0"/>
      </right>
      <bottom style="thin">
        <color rgb="FF7030A0"/>
      </bottom>
    </border>
    <border>
      <left style="thin">
        <color rgb="FFC00000"/>
      </left>
      <bottom style="thin">
        <color rgb="FFC00000"/>
      </bottom>
    </border>
    <border>
      <right style="thin">
        <color rgb="FFC00000"/>
      </right>
      <bottom style="thin">
        <color rgb="FFC00000"/>
      </bottom>
    </border>
    <border>
      <left style="thin">
        <color rgb="FFE67E00"/>
      </left>
      <bottom style="thin">
        <color rgb="FFE67E00"/>
      </bottom>
    </border>
    <border>
      <right style="thin">
        <color rgb="FFE67E00"/>
      </right>
      <bottom style="thin">
        <color rgb="FFE67E00"/>
      </bottom>
    </border>
    <border>
      <left style="medium">
        <color rgb="FF17365D"/>
      </left>
      <top style="medium">
        <color rgb="FF17365D"/>
      </top>
    </border>
    <border>
      <top style="medium">
        <color rgb="FF17365D"/>
      </top>
    </border>
    <border>
      <right style="thin">
        <color rgb="FFC9D2DC"/>
      </right>
      <top style="medium">
        <color rgb="FF17365D"/>
      </top>
    </border>
    <border>
      <left style="medium">
        <color rgb="FF17365D"/>
      </left>
      <bottom style="thin">
        <color rgb="FFC9D2DC"/>
      </bottom>
    </border>
    <border>
      <left style="thin">
        <color rgb="FFC9D2DC"/>
      </left>
      <right style="thin">
        <color rgb="FFC9D2DC"/>
      </right>
      <top style="medium">
        <color rgb="FF0B2E63"/>
      </top>
      <bottom style="medium">
        <color rgb="FF0B2E63"/>
      </bottom>
    </border>
    <border>
      <left style="thin">
        <color rgb="FFC9D2DC"/>
      </left>
      <top style="medium">
        <color rgb="FF0B2E63"/>
      </top>
      <bottom style="medium">
        <color rgb="FF0B2E63"/>
      </bottom>
    </border>
    <border>
      <top style="medium">
        <color rgb="FF0B2E63"/>
      </top>
      <bottom style="medium">
        <color rgb="FF0B2E63"/>
      </bottom>
    </border>
    <border>
      <right style="thin">
        <color rgb="FFC9D2DC"/>
      </right>
      <top style="medium">
        <color rgb="FF0B2E63"/>
      </top>
      <bottom style="medium">
        <color rgb="FF0B2E63"/>
      </bottom>
    </border>
    <border>
      <top style="thin">
        <color rgb="FFB7C9E2"/>
      </top>
      <bottom style="thin">
        <color rgb="FFB7C9E2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ck">
        <color rgb="FFFF0000"/>
      </left>
      <right style="thin">
        <color rgb="FFB7C9D6"/>
      </right>
      <top style="thick">
        <color rgb="FFFF0000"/>
      </top>
    </border>
    <border>
      <left style="thin">
        <color rgb="FFB7C9D6"/>
      </left>
      <right style="thin">
        <color rgb="FFB7C9D6"/>
      </right>
      <top style="thick">
        <color rgb="FFFF0000"/>
      </top>
    </border>
    <border>
      <left style="thin">
        <color rgb="FFB7C9D6"/>
      </left>
      <right style="thick">
        <color rgb="FFFF0000"/>
      </right>
      <top style="thick">
        <color rgb="FFFF0000"/>
      </top>
    </border>
    <border>
      <left style="thick">
        <color rgb="FFFF0000"/>
      </left>
      <right style="thin">
        <color rgb="FFB7C9D6"/>
      </right>
      <top style="thin">
        <color rgb="FF000000"/>
      </top>
      <bottom style="thin">
        <color rgb="FFB7C9D6"/>
      </bottom>
    </border>
    <border>
      <left style="thin">
        <color rgb="FFB7C9D6"/>
      </left>
      <right style="thin">
        <color rgb="FFB7C9D6"/>
      </right>
      <top style="thin">
        <color rgb="FF000000"/>
      </top>
      <bottom style="thin">
        <color rgb="FFB7C9D6"/>
      </bottom>
    </border>
    <border>
      <left style="thin">
        <color rgb="FFB7C9D6"/>
      </left>
      <right style="thick">
        <color rgb="FFFF0000"/>
      </right>
      <top style="thin">
        <color rgb="FF000000"/>
      </top>
      <bottom style="thin">
        <color rgb="FFB7C9D6"/>
      </bottom>
    </border>
    <border>
      <left style="thick">
        <color rgb="FFFF0000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B7C9D6"/>
      </left>
      <right style="thick">
        <color rgb="FFFF0000"/>
      </right>
      <top style="thin">
        <color rgb="FFB7C9D6"/>
      </top>
      <bottom style="thin">
        <color rgb="FFB7C9D6"/>
      </bottom>
    </border>
    <border>
      <left style="thick">
        <color rgb="FFFF0000"/>
      </left>
      <right style="thin">
        <color rgb="FFB7C9D6"/>
      </right>
      <top style="thin">
        <color rgb="FFB7C9D6"/>
      </top>
      <bottom style="thick">
        <color rgb="FFFF0000"/>
      </bottom>
    </border>
    <border>
      <left style="thin">
        <color rgb="FFB7C9D6"/>
      </left>
      <right style="thin">
        <color rgb="FFB7C9D6"/>
      </right>
      <top style="thin">
        <color rgb="FFB7C9D6"/>
      </top>
      <bottom style="thick">
        <color rgb="FFFF0000"/>
      </bottom>
    </border>
    <border>
      <left style="thin">
        <color rgb="FFB7C9D6"/>
      </left>
      <right style="thick">
        <color rgb="FFFF0000"/>
      </right>
      <top style="thin">
        <color rgb="FFB7C9D6"/>
      </top>
      <bottom style="thick">
        <color rgb="FFFF0000"/>
      </bottom>
    </border>
    <border>
      <left style="thin">
        <color rgb="FF000000"/>
      </left>
      <right style="thin">
        <color rgb="FFB7C9D6"/>
      </right>
      <bottom style="thin">
        <color rgb="FFB7C9D6"/>
      </bottom>
    </border>
    <border>
      <left style="thin">
        <color rgb="FFB7C9D6"/>
      </left>
      <right style="thin">
        <color rgb="FFB7C9D6"/>
      </right>
      <bottom style="thin">
        <color rgb="FFB7C9D6"/>
      </bottom>
    </border>
    <border>
      <left style="thin">
        <color rgb="FFB7C9D6"/>
      </left>
      <right style="thin">
        <color rgb="FF000000"/>
      </right>
      <bottom style="thin">
        <color rgb="FFB7C9D6"/>
      </bottom>
    </border>
    <border>
      <left style="thin">
        <color rgb="FF000000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B7C9D6"/>
      </left>
      <right style="thin">
        <color rgb="FF000000"/>
      </right>
      <top style="thin">
        <color rgb="FFB7C9D6"/>
      </top>
      <bottom style="thin">
        <color rgb="FFB7C9D6"/>
      </bottom>
    </border>
    <border>
      <left style="thin">
        <color rgb="FF000000"/>
      </left>
      <right style="thin">
        <color rgb="FFB7C9D6"/>
      </right>
      <top style="thin">
        <color rgb="FFB7C9D6"/>
      </top>
      <bottom style="thin">
        <color rgb="FF000000"/>
      </bottom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000000"/>
      </bottom>
    </border>
    <border>
      <left style="thin">
        <color rgb="FFB7C9D6"/>
      </left>
      <right style="thin">
        <color rgb="FF000000"/>
      </right>
      <top style="thin">
        <color rgb="FFB7C9D6"/>
      </top>
      <bottom style="thin">
        <color rgb="FF000000"/>
      </bottom>
    </border>
    <border>
      <left/>
      <right/>
      <bottom/>
    </border>
    <border>
      <left style="thick">
        <color rgb="FFFF0000"/>
      </left>
      <top style="thick">
        <color rgb="FFFF0000"/>
      </top>
    </border>
    <border>
      <left style="thin">
        <color rgb="FF000000"/>
      </left>
      <right style="thin">
        <color rgb="FF000000"/>
      </right>
      <top style="thick">
        <color rgb="FFFF0000"/>
      </top>
      <bottom style="thin">
        <color rgb="FF000000"/>
      </bottom>
    </border>
    <border>
      <left style="thin">
        <color rgb="FF000000"/>
      </left>
      <right style="thick">
        <color rgb="FFFF0000"/>
      </right>
      <top style="thick">
        <color rgb="FFFF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000000"/>
      </bottom>
    </border>
    <border>
      <left style="thick">
        <color rgb="FFFF0000"/>
      </left>
      <right style="thin">
        <color rgb="FF000000"/>
      </right>
      <top style="thin">
        <color rgb="FF000000"/>
      </top>
      <bottom style="thick">
        <color rgb="FFFF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0000"/>
      </bottom>
    </border>
    <border>
      <left style="thin">
        <color rgb="FF000000"/>
      </left>
      <right style="thick">
        <color rgb="FFFF0000"/>
      </right>
      <top style="thin">
        <color rgb="FF000000"/>
      </top>
      <bottom style="thick">
        <color rgb="FFFF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</border>
    <border>
      <left style="thin">
        <color rgb="FFE67E00"/>
      </left>
      <right style="thin">
        <color rgb="FFE67E00"/>
      </right>
      <top style="thin">
        <color rgb="FFE67E00"/>
      </top>
      <bottom style="thin">
        <color rgb="FFE67E00"/>
      </bottom>
    </border>
    <border>
      <top style="thin">
        <color rgb="FFE67E00"/>
      </top>
    </border>
    <border>
      <left style="medium">
        <color rgb="FFFFFFFF"/>
      </left>
      <right style="thin">
        <color rgb="FFC9D2DC"/>
      </right>
      <top style="medium">
        <color rgb="FFFFFFFF"/>
      </top>
      <bottom style="thin">
        <color rgb="FFC9D2DC"/>
      </bottom>
    </border>
    <border>
      <left style="medium">
        <color rgb="FFFFFFFF"/>
      </left>
    </border>
    <border>
      <right style="thin">
        <color rgb="FFC9D2DC"/>
      </right>
    </border>
    <border>
      <left style="thin">
        <color rgb="FF1F5AA6"/>
      </left>
      <right style="thin">
        <color rgb="FF1F5AA6"/>
      </right>
      <top style="thin">
        <color rgb="FF1F5AA6"/>
      </top>
      <bottom style="thin">
        <color rgb="FF1F5AA6"/>
      </bottom>
    </border>
    <border>
      <top style="thin">
        <color rgb="FF1F5AA6"/>
      </top>
    </border>
    <border>
      <top style="thin">
        <color rgb="FFC9D2DC"/>
      </top>
    </border>
    <border>
      <right style="thin">
        <color rgb="FFC9D2DC"/>
      </right>
      <top style="thin">
        <color rgb="FFC9D2DC"/>
      </top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</border>
    <border>
      <top style="thin">
        <color rgb="FFC00000"/>
      </top>
    </border>
    <border>
      <left style="medium">
        <color rgb="FF17365D"/>
      </left>
      <right style="thin">
        <color rgb="FFC9D2DC"/>
      </right>
      <top style="medium">
        <color rgb="FF17365D"/>
      </top>
      <bottom style="thin">
        <color rgb="FFC9D2DC"/>
      </bottom>
    </border>
    <border>
      <left style="medium">
        <color rgb="FF17365D"/>
      </left>
    </border>
    <border>
      <left style="thin">
        <color rgb="FF2E7D32"/>
      </left>
      <right style="thin">
        <color rgb="FF2E7D32"/>
      </right>
      <top style="thin">
        <color rgb="FF2E7D32"/>
      </top>
      <bottom style="thin">
        <color rgb="FF2E7D32"/>
      </bottom>
    </border>
    <border>
      <top style="thin">
        <color rgb="FF2E7D32"/>
      </top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</border>
    <border>
      <top style="thin">
        <color rgb="FF7030A0"/>
      </top>
    </border>
    <border>
      <top style="medium">
        <color rgb="FF0B2E63"/>
      </top>
    </border>
    <border>
      <right style="thin">
        <color rgb="FFC9D2DC"/>
      </right>
      <top style="medium">
        <color rgb="FF0B2E63"/>
      </top>
    </border>
    <border>
      <top style="thin">
        <color rgb="FFB7C9E2"/>
      </top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  <border>
      <left style="thin">
        <color rgb="00C9D3E0"/>
      </left>
      <right style="thin">
        <color rgb="00C9D3E0"/>
      </right>
      <top style="medium">
        <color rgb="000B2A55"/>
      </top>
      <bottom style="medium">
        <color rgb="000B2A55"/>
      </bottom>
    </border>
  </borders>
  <cellStyleXfs count="1">
    <xf numFmtId="0" fontId="0" fillId="0" borderId="0"/>
  </cellStyleXfs>
  <cellXfs count="35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4" applyAlignment="1" pivotButton="0" quotePrefix="0" xfId="0">
      <alignment vertical="center" wrapText="1"/>
    </xf>
    <xf numFmtId="0" fontId="6" fillId="3" borderId="5" applyAlignment="1" pivotButton="0" quotePrefix="0" xfId="0">
      <alignment horizontal="center" vertical="center" wrapText="1"/>
    </xf>
    <xf numFmtId="0" fontId="2" fillId="0" borderId="6" pivotButton="0" quotePrefix="0" xfId="0"/>
    <xf numFmtId="0" fontId="7" fillId="3" borderId="7" applyAlignment="1" pivotButton="0" quotePrefix="0" xfId="0">
      <alignment horizontal="center" vertical="center" wrapText="1"/>
    </xf>
    <xf numFmtId="0" fontId="2" fillId="0" borderId="8" pivotButton="0" quotePrefix="0" xfId="0"/>
    <xf numFmtId="0" fontId="8" fillId="3" borderId="9" applyAlignment="1" pivotButton="0" quotePrefix="0" xfId="0">
      <alignment horizontal="center" vertical="center" wrapText="1"/>
    </xf>
    <xf numFmtId="0" fontId="2" fillId="0" borderId="10" pivotButton="0" quotePrefix="0" xfId="0"/>
    <xf numFmtId="0" fontId="9" fillId="3" borderId="11" applyAlignment="1" pivotButton="0" quotePrefix="0" xfId="0">
      <alignment horizontal="center" vertical="center" wrapText="1"/>
    </xf>
    <xf numFmtId="0" fontId="2" fillId="0" borderId="12" pivotButton="0" quotePrefix="0" xfId="0"/>
    <xf numFmtId="0" fontId="10" fillId="3" borderId="13" applyAlignment="1" pivotButton="0" quotePrefix="0" xfId="0">
      <alignment horizontal="center" vertical="center" wrapText="1"/>
    </xf>
    <xf numFmtId="0" fontId="2" fillId="0" borderId="14" pivotButton="0" quotePrefix="0" xfId="0"/>
    <xf numFmtId="0" fontId="11" fillId="2" borderId="1" applyAlignment="1" pivotButton="0" quotePrefix="0" xfId="0">
      <alignment horizontal="center" vertical="center"/>
    </xf>
    <xf numFmtId="0" fontId="12" fillId="0" borderId="15" applyAlignment="1" pivotButton="0" quotePrefix="0" xfId="0">
      <alignment horizontal="center" vertical="center"/>
    </xf>
    <xf numFmtId="0" fontId="2" fillId="0" borderId="16" pivotButton="0" quotePrefix="0" xfId="0"/>
    <xf numFmtId="0" fontId="13" fillId="0" borderId="17" applyAlignment="1" pivotButton="0" quotePrefix="0" xfId="0">
      <alignment horizontal="center" vertical="center"/>
    </xf>
    <xf numFmtId="0" fontId="2" fillId="0" borderId="18" pivotButton="0" quotePrefix="0" xfId="0"/>
    <xf numFmtId="0" fontId="14" fillId="0" borderId="19" applyAlignment="1" pivotButton="0" quotePrefix="0" xfId="0">
      <alignment horizontal="center" vertical="center"/>
    </xf>
    <xf numFmtId="0" fontId="2" fillId="0" borderId="20" pivotButton="0" quotePrefix="0" xfId="0"/>
    <xf numFmtId="0" fontId="15" fillId="0" borderId="21" applyAlignment="1" pivotButton="0" quotePrefix="0" xfId="0">
      <alignment horizontal="center" vertical="center"/>
    </xf>
    <xf numFmtId="0" fontId="2" fillId="0" borderId="22" pivotButton="0" quotePrefix="0" xfId="0"/>
    <xf numFmtId="0" fontId="16" fillId="0" borderId="23" applyAlignment="1" pivotButton="0" quotePrefix="0" xfId="0">
      <alignment horizontal="center" vertical="center"/>
    </xf>
    <xf numFmtId="0" fontId="2" fillId="0" borderId="24" pivotButton="0" quotePrefix="0" xfId="0"/>
    <xf numFmtId="0" fontId="17" fillId="4" borderId="25" applyAlignment="1" pivotButton="0" quotePrefix="0" xfId="0">
      <alignment horizontal="center" vertical="center" wrapText="1"/>
    </xf>
    <xf numFmtId="0" fontId="2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2" fillId="0" borderId="30" pivotButton="0" quotePrefix="0" xfId="0"/>
    <xf numFmtId="0" fontId="2" fillId="0" borderId="31" pivotButton="0" quotePrefix="0" xfId="0"/>
    <xf numFmtId="0" fontId="2" fillId="0" borderId="32" pivotButton="0" quotePrefix="0" xfId="0"/>
    <xf numFmtId="0" fontId="2" fillId="0" borderId="33" pivotButton="0" quotePrefix="0" xfId="0"/>
    <xf numFmtId="0" fontId="2" fillId="0" borderId="34" pivotButton="0" quotePrefix="0" xfId="0"/>
    <xf numFmtId="0" fontId="2" fillId="0" borderId="35" pivotButton="0" quotePrefix="0" xfId="0"/>
    <xf numFmtId="0" fontId="2" fillId="0" borderId="36" pivotButton="0" quotePrefix="0" xfId="0"/>
    <xf numFmtId="0" fontId="2" fillId="0" borderId="37" pivotButton="0" quotePrefix="0" xfId="0"/>
    <xf numFmtId="0" fontId="2" fillId="0" borderId="38" pivotButton="0" quotePrefix="0" xfId="0"/>
    <xf numFmtId="0" fontId="2" fillId="0" borderId="39" pivotButton="0" quotePrefix="0" xfId="0"/>
    <xf numFmtId="0" fontId="2" fillId="0" borderId="40" pivotButton="0" quotePrefix="0" xfId="0"/>
    <xf numFmtId="0" fontId="2" fillId="0" borderId="41" pivotButton="0" quotePrefix="0" xfId="0"/>
    <xf numFmtId="0" fontId="2" fillId="0" borderId="42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45" pivotButton="0" quotePrefix="0" xfId="0"/>
    <xf numFmtId="0" fontId="2" fillId="0" borderId="46" pivotButton="0" quotePrefix="0" xfId="0"/>
    <xf numFmtId="0" fontId="2" fillId="0" borderId="47" pivotButton="0" quotePrefix="0" xfId="0"/>
    <xf numFmtId="0" fontId="2" fillId="0" borderId="48" pivotButton="0" quotePrefix="0" xfId="0"/>
    <xf numFmtId="0" fontId="2" fillId="0" borderId="49" pivotButton="0" quotePrefix="0" xfId="0"/>
    <xf numFmtId="0" fontId="2" fillId="0" borderId="50" pivotButton="0" quotePrefix="0" xfId="0"/>
    <xf numFmtId="0" fontId="5" fillId="0" borderId="5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left" vertical="center" wrapText="1"/>
    </xf>
    <xf numFmtId="0" fontId="18" fillId="5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left" vertical="center" wrapText="1"/>
    </xf>
    <xf numFmtId="0" fontId="18" fillId="3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left" vertical="center" wrapText="1"/>
    </xf>
    <xf numFmtId="0" fontId="19" fillId="6" borderId="51" applyAlignment="1" pivotButton="0" quotePrefix="0" xfId="0">
      <alignment horizontal="center" vertical="center"/>
    </xf>
    <xf numFmtId="0" fontId="2" fillId="0" borderId="52" pivotButton="0" quotePrefix="0" xfId="0"/>
    <xf numFmtId="0" fontId="2" fillId="0" borderId="53" pivotButton="0" quotePrefix="0" xfId="0"/>
    <xf numFmtId="0" fontId="2" fillId="0" borderId="54" pivotButton="0" quotePrefix="0" xfId="0"/>
    <xf numFmtId="0" fontId="5" fillId="7" borderId="4" applyAlignment="1" pivotButton="0" quotePrefix="0" xfId="0">
      <alignment vertical="center" wrapText="1"/>
    </xf>
    <xf numFmtId="0" fontId="20" fillId="7" borderId="1" applyAlignment="1" pivotButton="0" quotePrefix="0" xfId="0">
      <alignment horizontal="center" vertical="center" wrapText="1"/>
    </xf>
    <xf numFmtId="164" fontId="2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1" fillId="2" borderId="4" applyAlignment="1" pivotButton="0" quotePrefix="0" xfId="0">
      <alignment vertical="center" wrapText="1"/>
    </xf>
    <xf numFmtId="0" fontId="18" fillId="10" borderId="4" applyAlignment="1" pivotButton="0" quotePrefix="0" xfId="0">
      <alignment horizontal="center" vertical="center" wrapText="1"/>
    </xf>
    <xf numFmtId="0" fontId="5" fillId="11" borderId="4" applyAlignment="1" pivotButton="0" quotePrefix="0" xfId="0">
      <alignment horizontal="center" vertical="center" wrapText="1"/>
    </xf>
    <xf numFmtId="0" fontId="5" fillId="11" borderId="4" applyAlignment="1" pivotButton="0" quotePrefix="0" xfId="0">
      <alignment horizontal="left" vertical="center" wrapText="1"/>
    </xf>
    <xf numFmtId="164" fontId="5" fillId="11" borderId="4" applyAlignment="1" pivotButton="0" quotePrefix="0" xfId="0">
      <alignment horizontal="center" vertical="center" wrapText="1"/>
    </xf>
    <xf numFmtId="0" fontId="21" fillId="12" borderId="4" applyAlignment="1" pivotButton="0" quotePrefix="0" xfId="0">
      <alignment horizontal="center" vertical="center" wrapText="1"/>
    </xf>
    <xf numFmtId="164" fontId="5" fillId="3" borderId="4" applyAlignment="1" pivotButton="0" quotePrefix="0" xfId="0">
      <alignment horizontal="center" vertical="center" wrapText="1"/>
    </xf>
    <xf numFmtId="0" fontId="20" fillId="0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vertical="center" wrapText="1"/>
    </xf>
    <xf numFmtId="0" fontId="9" fillId="12" borderId="55" applyAlignment="1" pivotButton="0" quotePrefix="0" xfId="0">
      <alignment horizontal="center" vertical="center"/>
    </xf>
    <xf numFmtId="0" fontId="10" fillId="13" borderId="55" applyAlignment="1" pivotButton="0" quotePrefix="0" xfId="0">
      <alignment horizontal="center" vertical="center"/>
    </xf>
    <xf numFmtId="0" fontId="18" fillId="14" borderId="56" applyAlignment="1" pivotButton="0" quotePrefix="0" xfId="0">
      <alignment horizontal="center" vertical="center" wrapText="1"/>
    </xf>
    <xf numFmtId="0" fontId="2" fillId="0" borderId="57" pivotButton="0" quotePrefix="0" xfId="0"/>
    <xf numFmtId="0" fontId="2" fillId="0" borderId="58" pivotButton="0" quotePrefix="0" xfId="0"/>
    <xf numFmtId="0" fontId="22" fillId="5" borderId="1" applyAlignment="1" pivotButton="0" quotePrefix="0" xfId="0">
      <alignment horizontal="center" vertical="center"/>
    </xf>
    <xf numFmtId="0" fontId="23" fillId="15" borderId="59" applyAlignment="1" pivotButton="0" quotePrefix="0" xfId="0">
      <alignment horizontal="center" vertical="center"/>
    </xf>
    <xf numFmtId="0" fontId="1" fillId="4" borderId="60" applyAlignment="1" pivotButton="0" quotePrefix="0" xfId="0">
      <alignment horizontal="center" vertical="center"/>
    </xf>
    <xf numFmtId="0" fontId="2" fillId="0" borderId="61" pivotButton="0" quotePrefix="0" xfId="0"/>
    <xf numFmtId="0" fontId="2" fillId="0" borderId="62" pivotButton="0" quotePrefix="0" xfId="0"/>
    <xf numFmtId="0" fontId="4" fillId="0" borderId="0" applyAlignment="1" pivotButton="0" quotePrefix="0" xfId="0">
      <alignment vertical="bottom"/>
    </xf>
    <xf numFmtId="0" fontId="24" fillId="0" borderId="0" applyAlignment="1" pivotButton="0" quotePrefix="0" xfId="0">
      <alignment vertical="bottom"/>
    </xf>
    <xf numFmtId="164" fontId="24" fillId="0" borderId="0" applyAlignment="1" pivotButton="0" quotePrefix="0" xfId="0">
      <alignment vertical="bottom"/>
    </xf>
    <xf numFmtId="0" fontId="11" fillId="4" borderId="60" applyAlignment="1" pivotButton="0" quotePrefix="0" xfId="0">
      <alignment horizontal="center" vertical="center" wrapText="1"/>
    </xf>
    <xf numFmtId="164" fontId="11" fillId="4" borderId="6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/>
    </xf>
    <xf numFmtId="1" fontId="25" fillId="0" borderId="0" applyAlignment="1" pivotButton="0" quotePrefix="0" xfId="0">
      <alignment horizontal="center" vertical="center"/>
    </xf>
    <xf numFmtId="0" fontId="25" fillId="16" borderId="0" applyAlignment="1" pivotButton="0" quotePrefix="0" xfId="0">
      <alignment horizontal="center" vertical="center"/>
    </xf>
    <xf numFmtId="4" fontId="24" fillId="0" borderId="0" applyAlignment="1" pivotButton="0" quotePrefix="0" xfId="0">
      <alignment vertical="bottom"/>
    </xf>
    <xf numFmtId="0" fontId="26" fillId="0" borderId="0" applyAlignment="1" pivotButton="0" quotePrefix="0" xfId="0">
      <alignment horizontal="left"/>
    </xf>
    <xf numFmtId="0" fontId="27" fillId="0" borderId="0" applyAlignment="1" pivotButton="0" quotePrefix="0" xfId="0">
      <alignment vertical="bottom"/>
    </xf>
    <xf numFmtId="164" fontId="27" fillId="0" borderId="0" applyAlignment="1" pivotButton="0" quotePrefix="0" xfId="0">
      <alignment vertical="bottom"/>
    </xf>
    <xf numFmtId="0" fontId="11" fillId="4" borderId="63" applyAlignment="1" pivotButton="0" quotePrefix="0" xfId="0">
      <alignment horizontal="center" vertical="bottom" wrapText="1"/>
    </xf>
    <xf numFmtId="164" fontId="11" fillId="4" borderId="63" applyAlignment="1" pivotButton="0" quotePrefix="0" xfId="0">
      <alignment horizontal="center" vertical="bottom" wrapText="1"/>
    </xf>
    <xf numFmtId="0" fontId="28" fillId="0" borderId="64" applyAlignment="1" pivotButton="0" quotePrefix="0" xfId="0">
      <alignment horizontal="center" vertical="center"/>
    </xf>
    <xf numFmtId="165" fontId="28" fillId="0" borderId="64" applyAlignment="1" pivotButton="0" quotePrefix="0" xfId="0">
      <alignment horizontal="center" vertical="center"/>
    </xf>
    <xf numFmtId="1" fontId="28" fillId="0" borderId="64" applyAlignment="1" pivotButton="0" quotePrefix="0" xfId="0">
      <alignment horizontal="center" vertical="center"/>
    </xf>
    <xf numFmtId="0" fontId="29" fillId="17" borderId="64" applyAlignment="1" pivotButton="0" quotePrefix="0" xfId="0">
      <alignment horizontal="center" vertical="center"/>
    </xf>
    <xf numFmtId="165" fontId="24" fillId="0" borderId="64" applyAlignment="1" pivotButton="0" quotePrefix="0" xfId="0">
      <alignment horizontal="center" vertical="center"/>
    </xf>
    <xf numFmtId="0" fontId="24" fillId="0" borderId="64" applyAlignment="1" pivotButton="0" quotePrefix="0" xfId="0">
      <alignment horizontal="center" vertical="center"/>
    </xf>
    <xf numFmtId="1" fontId="29" fillId="17" borderId="64" applyAlignment="1" pivotButton="0" quotePrefix="0" xfId="0">
      <alignment horizontal="center" vertical="center"/>
    </xf>
    <xf numFmtId="1" fontId="24" fillId="0" borderId="64" applyAlignment="1" pivotButton="0" quotePrefix="0" xfId="0">
      <alignment horizontal="center" vertical="center"/>
    </xf>
    <xf numFmtId="165" fontId="24" fillId="0" borderId="0" applyAlignment="1" pivotButton="0" quotePrefix="0" xfId="0">
      <alignment vertical="bottom"/>
    </xf>
    <xf numFmtId="1" fontId="24" fillId="0" borderId="0" applyAlignment="1" pivotButton="0" quotePrefix="0" xfId="0">
      <alignment vertical="bottom"/>
    </xf>
    <xf numFmtId="165" fontId="4" fillId="0" borderId="0" applyAlignment="1" pivotButton="0" quotePrefix="0" xfId="0">
      <alignment vertical="bottom"/>
    </xf>
    <xf numFmtId="1" fontId="4" fillId="0" borderId="0" applyAlignment="1" pivotButton="0" quotePrefix="0" xfId="0">
      <alignment vertical="bottom"/>
    </xf>
    <xf numFmtId="0" fontId="2" fillId="0" borderId="59" pivotButton="0" quotePrefix="0" xfId="0"/>
    <xf numFmtId="0" fontId="30" fillId="4" borderId="65" applyAlignment="1" pivotButton="0" quotePrefix="0" xfId="0">
      <alignment horizontal="center" vertical="center" wrapText="1"/>
    </xf>
    <xf numFmtId="0" fontId="30" fillId="4" borderId="66" applyAlignment="1" pivotButton="0" quotePrefix="0" xfId="0">
      <alignment horizontal="center" vertical="center" wrapText="1"/>
    </xf>
    <xf numFmtId="1" fontId="30" fillId="4" borderId="66" applyAlignment="1" pivotButton="0" quotePrefix="0" xfId="0">
      <alignment horizontal="center" vertical="center" wrapText="1"/>
    </xf>
    <xf numFmtId="165" fontId="30" fillId="4" borderId="66" applyAlignment="1" pivotButton="0" quotePrefix="0" xfId="0">
      <alignment horizontal="center" vertical="center" wrapText="1"/>
    </xf>
    <xf numFmtId="0" fontId="30" fillId="4" borderId="67" applyAlignment="1" pivotButton="0" quotePrefix="0" xfId="0">
      <alignment horizontal="center" vertical="center" wrapText="1"/>
    </xf>
    <xf numFmtId="0" fontId="31" fillId="18" borderId="0" applyAlignment="1" pivotButton="0" quotePrefix="0" xfId="0">
      <alignment vertical="center"/>
    </xf>
    <xf numFmtId="0" fontId="32" fillId="19" borderId="68" applyAlignment="1" pivotButton="0" quotePrefix="0" xfId="0">
      <alignment horizontal="center" vertical="center" wrapText="1"/>
    </xf>
    <xf numFmtId="164" fontId="32" fillId="20" borderId="69" applyAlignment="1" pivotButton="0" quotePrefix="0" xfId="0">
      <alignment horizontal="center" vertical="center" wrapText="1"/>
    </xf>
    <xf numFmtId="0" fontId="32" fillId="20" borderId="69" applyAlignment="1" pivotButton="0" quotePrefix="0" xfId="0">
      <alignment horizontal="center" vertical="center" wrapText="1"/>
    </xf>
    <xf numFmtId="1" fontId="32" fillId="20" borderId="69" applyAlignment="1" pivotButton="0" quotePrefix="0" xfId="0">
      <alignment horizontal="center" vertical="center" wrapText="1"/>
    </xf>
    <xf numFmtId="0" fontId="32" fillId="19" borderId="69" applyAlignment="1" pivotButton="0" quotePrefix="0" xfId="0">
      <alignment horizontal="center" vertical="center" wrapText="1"/>
    </xf>
    <xf numFmtId="1" fontId="32" fillId="19" borderId="69" applyAlignment="1" pivotButton="0" quotePrefix="0" xfId="0">
      <alignment horizontal="center" vertical="center" wrapText="1"/>
    </xf>
    <xf numFmtId="164" fontId="32" fillId="20" borderId="70" applyAlignment="1" pivotButton="0" quotePrefix="0" xfId="0">
      <alignment horizontal="center" vertical="center" wrapText="1"/>
    </xf>
    <xf numFmtId="1" fontId="24" fillId="19" borderId="62" applyAlignment="1" pivotButton="0" quotePrefix="0" xfId="0">
      <alignment vertical="bottom"/>
    </xf>
    <xf numFmtId="1" fontId="24" fillId="19" borderId="63" applyAlignment="1" pivotButton="0" quotePrefix="0" xfId="0">
      <alignment vertical="bottom"/>
    </xf>
    <xf numFmtId="1" fontId="4" fillId="19" borderId="63" applyAlignment="1" pivotButton="0" quotePrefix="0" xfId="0">
      <alignment vertical="bottom"/>
    </xf>
    <xf numFmtId="0" fontId="32" fillId="19" borderId="71" applyAlignment="1" pivotButton="0" quotePrefix="0" xfId="0">
      <alignment horizontal="center" vertical="center" wrapText="1"/>
    </xf>
    <xf numFmtId="164" fontId="32" fillId="20" borderId="64" applyAlignment="1" pivotButton="0" quotePrefix="0" xfId="0">
      <alignment horizontal="center" vertical="center" wrapText="1"/>
    </xf>
    <xf numFmtId="0" fontId="32" fillId="20" borderId="64" applyAlignment="1" pivotButton="0" quotePrefix="0" xfId="0">
      <alignment horizontal="center" vertical="center" wrapText="1"/>
    </xf>
    <xf numFmtId="1" fontId="32" fillId="20" borderId="64" applyAlignment="1" pivotButton="0" quotePrefix="0" xfId="0">
      <alignment horizontal="center" vertical="center" wrapText="1"/>
    </xf>
    <xf numFmtId="0" fontId="32" fillId="19" borderId="64" applyAlignment="1" pivotButton="0" quotePrefix="0" xfId="0">
      <alignment horizontal="center" vertical="center" wrapText="1"/>
    </xf>
    <xf numFmtId="1" fontId="32" fillId="19" borderId="64" applyAlignment="1" pivotButton="0" quotePrefix="0" xfId="0">
      <alignment horizontal="center" vertical="center" wrapText="1"/>
    </xf>
    <xf numFmtId="164" fontId="32" fillId="20" borderId="72" applyAlignment="1" pivotButton="0" quotePrefix="0" xfId="0">
      <alignment horizontal="center" vertical="center" wrapText="1"/>
    </xf>
    <xf numFmtId="164" fontId="32" fillId="20" borderId="72" applyAlignment="1" pivotButton="0" quotePrefix="0" xfId="0">
      <alignment horizontal="center" vertical="center"/>
    </xf>
    <xf numFmtId="0" fontId="32" fillId="19" borderId="73" applyAlignment="1" pivotButton="0" quotePrefix="0" xfId="0">
      <alignment horizontal="center" vertical="center" wrapText="1"/>
    </xf>
    <xf numFmtId="164" fontId="32" fillId="20" borderId="74" applyAlignment="1" pivotButton="0" quotePrefix="0" xfId="0">
      <alignment horizontal="center" vertical="center" wrapText="1"/>
    </xf>
    <xf numFmtId="0" fontId="32" fillId="20" borderId="74" applyAlignment="1" pivotButton="0" quotePrefix="0" xfId="0">
      <alignment horizontal="center" vertical="center" wrapText="1"/>
    </xf>
    <xf numFmtId="1" fontId="32" fillId="20" borderId="74" applyAlignment="1" pivotButton="0" quotePrefix="0" xfId="0">
      <alignment horizontal="center" vertical="center" wrapText="1"/>
    </xf>
    <xf numFmtId="0" fontId="32" fillId="19" borderId="74" applyAlignment="1" pivotButton="0" quotePrefix="0" xfId="0">
      <alignment horizontal="center" vertical="center" wrapText="1"/>
    </xf>
    <xf numFmtId="1" fontId="32" fillId="19" borderId="74" applyAlignment="1" pivotButton="0" quotePrefix="0" xfId="0">
      <alignment horizontal="center" vertical="center" wrapText="1"/>
    </xf>
    <xf numFmtId="164" fontId="32" fillId="20" borderId="75" applyAlignment="1" pivotButton="0" quotePrefix="0" xfId="0">
      <alignment horizontal="center" vertical="center" wrapText="1"/>
    </xf>
    <xf numFmtId="0" fontId="32" fillId="19" borderId="76" applyAlignment="1" pivotButton="0" quotePrefix="0" xfId="0">
      <alignment horizontal="center" vertical="center" wrapText="1"/>
    </xf>
    <xf numFmtId="164" fontId="32" fillId="20" borderId="77" applyAlignment="1" pivotButton="0" quotePrefix="0" xfId="0">
      <alignment horizontal="center" vertical="center" wrapText="1"/>
    </xf>
    <xf numFmtId="0" fontId="32" fillId="20" borderId="77" applyAlignment="1" pivotButton="0" quotePrefix="0" xfId="0">
      <alignment horizontal="center" vertical="center" wrapText="1"/>
    </xf>
    <xf numFmtId="1" fontId="32" fillId="20" borderId="77" applyAlignment="1" pivotButton="0" quotePrefix="0" xfId="0">
      <alignment horizontal="center" vertical="center" wrapText="1"/>
    </xf>
    <xf numFmtId="0" fontId="32" fillId="19" borderId="77" applyAlignment="1" pivotButton="0" quotePrefix="0" xfId="0">
      <alignment horizontal="center" vertical="center" wrapText="1"/>
    </xf>
    <xf numFmtId="1" fontId="32" fillId="19" borderId="77" applyAlignment="1" pivotButton="0" quotePrefix="0" xfId="0">
      <alignment horizontal="center" vertical="center" wrapText="1"/>
    </xf>
    <xf numFmtId="164" fontId="32" fillId="20" borderId="78" applyAlignment="1" pivotButton="0" quotePrefix="0" xfId="0">
      <alignment horizontal="center" vertical="center" wrapText="1"/>
    </xf>
    <xf numFmtId="0" fontId="32" fillId="19" borderId="79" applyAlignment="1" pivotButton="0" quotePrefix="0" xfId="0">
      <alignment horizontal="center" vertical="center" wrapText="1"/>
    </xf>
    <xf numFmtId="164" fontId="32" fillId="20" borderId="80" applyAlignment="1" pivotButton="0" quotePrefix="0" xfId="0">
      <alignment horizontal="center" vertical="center" wrapText="1"/>
    </xf>
    <xf numFmtId="0" fontId="32" fillId="19" borderId="81" applyAlignment="1" pivotButton="0" quotePrefix="0" xfId="0">
      <alignment horizontal="center" vertical="center" wrapText="1"/>
    </xf>
    <xf numFmtId="164" fontId="32" fillId="20" borderId="82" applyAlignment="1" pivotButton="0" quotePrefix="0" xfId="0">
      <alignment horizontal="center" vertical="center" wrapText="1"/>
    </xf>
    <xf numFmtId="0" fontId="32" fillId="20" borderId="82" applyAlignment="1" pivotButton="0" quotePrefix="0" xfId="0">
      <alignment horizontal="center" vertical="center" wrapText="1"/>
    </xf>
    <xf numFmtId="1" fontId="32" fillId="20" borderId="82" applyAlignment="1" pivotButton="0" quotePrefix="0" xfId="0">
      <alignment horizontal="center" vertical="center" wrapText="1"/>
    </xf>
    <xf numFmtId="0" fontId="32" fillId="19" borderId="82" applyAlignment="1" pivotButton="0" quotePrefix="0" xfId="0">
      <alignment horizontal="center" vertical="center" wrapText="1"/>
    </xf>
    <xf numFmtId="1" fontId="32" fillId="19" borderId="82" applyAlignment="1" pivotButton="0" quotePrefix="0" xfId="0">
      <alignment horizontal="center" vertical="center" wrapText="1"/>
    </xf>
    <xf numFmtId="164" fontId="32" fillId="20" borderId="83" applyAlignment="1" pivotButton="0" quotePrefix="0" xfId="0">
      <alignment horizontal="center" vertical="center" wrapText="1"/>
    </xf>
    <xf numFmtId="0" fontId="24" fillId="19" borderId="84" applyAlignment="1" pivotButton="0" quotePrefix="0" xfId="0">
      <alignment vertical="bottom"/>
    </xf>
    <xf numFmtId="164" fontId="24" fillId="20" borderId="84" applyAlignment="1" pivotButton="0" quotePrefix="0" xfId="0">
      <alignment vertical="bottom"/>
    </xf>
    <xf numFmtId="0" fontId="24" fillId="20" borderId="84" applyAlignment="1" pivotButton="0" quotePrefix="0" xfId="0">
      <alignment vertical="bottom"/>
    </xf>
    <xf numFmtId="1" fontId="24" fillId="20" borderId="84" applyAlignment="1" pivotButton="0" quotePrefix="0" xfId="0">
      <alignment vertical="bottom"/>
    </xf>
    <xf numFmtId="1" fontId="24" fillId="19" borderId="84" applyAlignment="1" pivotButton="0" quotePrefix="0" xfId="0">
      <alignment vertical="bottom"/>
    </xf>
    <xf numFmtId="0" fontId="24" fillId="19" borderId="63" applyAlignment="1" pivotButton="0" quotePrefix="0" xfId="0">
      <alignment vertical="bottom"/>
    </xf>
    <xf numFmtId="164" fontId="24" fillId="20" borderId="63" applyAlignment="1" pivotButton="0" quotePrefix="0" xfId="0">
      <alignment vertical="bottom"/>
    </xf>
    <xf numFmtId="0" fontId="24" fillId="20" borderId="63" applyAlignment="1" pivotButton="0" quotePrefix="0" xfId="0">
      <alignment vertical="bottom"/>
    </xf>
    <xf numFmtId="1" fontId="24" fillId="20" borderId="63" applyAlignment="1" pivotButton="0" quotePrefix="0" xfId="0">
      <alignment vertical="bottom"/>
    </xf>
    <xf numFmtId="0" fontId="11" fillId="4" borderId="85" applyAlignment="1" pivotButton="0" quotePrefix="0" xfId="0">
      <alignment horizontal="center" vertical="bottom" wrapText="1"/>
    </xf>
    <xf numFmtId="0" fontId="11" fillId="4" borderId="86" applyAlignment="1" pivotButton="0" quotePrefix="0" xfId="0">
      <alignment horizontal="center" vertical="bottom" wrapText="1"/>
    </xf>
    <xf numFmtId="0" fontId="30" fillId="4" borderId="86" applyAlignment="1" pivotButton="0" quotePrefix="0" xfId="0">
      <alignment horizontal="center" vertical="center" wrapText="1"/>
    </xf>
    <xf numFmtId="0" fontId="11" fillId="4" borderId="87" applyAlignment="1" pivotButton="0" quotePrefix="0" xfId="0">
      <alignment horizontal="center" vertical="bottom" wrapText="1"/>
    </xf>
    <xf numFmtId="0" fontId="11" fillId="4" borderId="88" applyAlignment="1" pivotButton="0" quotePrefix="0" xfId="0">
      <alignment horizontal="center" vertical="bottom" wrapText="1"/>
    </xf>
    <xf numFmtId="0" fontId="11" fillId="4" borderId="89" applyAlignment="1" pivotButton="0" quotePrefix="0" xfId="0">
      <alignment horizontal="center" vertical="bottom" wrapText="1"/>
    </xf>
    <xf numFmtId="0" fontId="32" fillId="19" borderId="90" applyAlignment="1" pivotButton="0" quotePrefix="0" xfId="0">
      <alignment horizontal="center" vertical="bottom"/>
    </xf>
    <xf numFmtId="0" fontId="32" fillId="19" borderId="89" applyAlignment="1" pivotButton="0" quotePrefix="0" xfId="0">
      <alignment horizontal="center" vertical="bottom"/>
    </xf>
    <xf numFmtId="165" fontId="32" fillId="19" borderId="89" applyAlignment="1" pivotButton="0" quotePrefix="0" xfId="0">
      <alignment horizontal="center" vertical="bottom"/>
    </xf>
    <xf numFmtId="1" fontId="32" fillId="19" borderId="89" applyAlignment="1" pivotButton="0" quotePrefix="0" xfId="0">
      <alignment horizontal="center" vertical="center" wrapText="1"/>
    </xf>
    <xf numFmtId="164" fontId="32" fillId="20" borderId="91" applyAlignment="1" pivotButton="0" quotePrefix="0" xfId="0">
      <alignment horizontal="center" vertical="bottom"/>
    </xf>
    <xf numFmtId="164" fontId="32" fillId="20" borderId="88" applyAlignment="1" pivotButton="0" quotePrefix="0" xfId="0">
      <alignment horizontal="center" vertical="bottom"/>
    </xf>
    <xf numFmtId="164" fontId="32" fillId="20" borderId="89" applyAlignment="1" pivotButton="0" quotePrefix="0" xfId="0">
      <alignment horizontal="center" vertical="bottom"/>
    </xf>
    <xf numFmtId="166" fontId="32" fillId="19" borderId="89" applyAlignment="1" pivotButton="0" quotePrefix="0" xfId="0">
      <alignment horizontal="center" vertical="bottom"/>
    </xf>
    <xf numFmtId="164" fontId="32" fillId="19" borderId="89" applyAlignment="1" pivotButton="0" quotePrefix="0" xfId="0">
      <alignment horizontal="center" vertical="bottom"/>
    </xf>
    <xf numFmtId="0" fontId="33" fillId="0" borderId="0" pivotButton="0" quotePrefix="0" xfId="0"/>
    <xf numFmtId="0" fontId="32" fillId="19" borderId="92" applyAlignment="1" pivotButton="0" quotePrefix="0" xfId="0">
      <alignment horizontal="center" vertical="bottom"/>
    </xf>
    <xf numFmtId="0" fontId="32" fillId="19" borderId="93" applyAlignment="1" pivotButton="0" quotePrefix="0" xfId="0">
      <alignment horizontal="center" vertical="bottom"/>
    </xf>
    <xf numFmtId="165" fontId="32" fillId="19" borderId="93" applyAlignment="1" pivotButton="0" quotePrefix="0" xfId="0">
      <alignment horizontal="center" vertical="bottom"/>
    </xf>
    <xf numFmtId="1" fontId="32" fillId="19" borderId="93" applyAlignment="1" pivotButton="0" quotePrefix="0" xfId="0">
      <alignment horizontal="center" vertical="center" wrapText="1"/>
    </xf>
    <xf numFmtId="164" fontId="32" fillId="20" borderId="94" applyAlignment="1" pivotButton="0" quotePrefix="0" xfId="0">
      <alignment horizontal="center" vertical="bottom"/>
    </xf>
    <xf numFmtId="0" fontId="34" fillId="19" borderId="95" applyAlignment="1" pivotButton="0" quotePrefix="0" xfId="0">
      <alignment horizontal="center" vertical="bottom"/>
    </xf>
    <xf numFmtId="0" fontId="32" fillId="19" borderId="95" applyAlignment="1" pivotButton="0" quotePrefix="0" xfId="0">
      <alignment horizontal="center" vertical="bottom"/>
    </xf>
    <xf numFmtId="165" fontId="32" fillId="19" borderId="95" applyAlignment="1" pivotButton="0" quotePrefix="0" xfId="0">
      <alignment horizontal="center" vertical="bottom"/>
    </xf>
    <xf numFmtId="1" fontId="32" fillId="19" borderId="95" applyAlignment="1" pivotButton="0" quotePrefix="0" xfId="0">
      <alignment horizontal="center" vertical="center" wrapText="1"/>
    </xf>
    <xf numFmtId="164" fontId="32" fillId="20" borderId="95" applyAlignment="1" pivotButton="0" quotePrefix="0" xfId="0">
      <alignment horizontal="center" vertical="bottom"/>
    </xf>
    <xf numFmtId="164" fontId="24" fillId="19" borderId="63" applyAlignment="1" pivotButton="0" quotePrefix="0" xfId="0">
      <alignment vertical="bottom"/>
    </xf>
    <xf numFmtId="0" fontId="34" fillId="19" borderId="89" applyAlignment="1" pivotButton="0" quotePrefix="0" xfId="0">
      <alignment horizontal="center" vertical="bottom"/>
    </xf>
    <xf numFmtId="0" fontId="24" fillId="19" borderId="0" applyAlignment="1" pivotButton="0" quotePrefix="0" xfId="0">
      <alignment vertical="bottom"/>
    </xf>
    <xf numFmtId="165" fontId="24" fillId="19" borderId="63" applyAlignment="1" pivotButton="0" quotePrefix="0" xfId="0">
      <alignment vertical="bottom"/>
    </xf>
    <xf numFmtId="0" fontId="35" fillId="0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bottom"/>
    </xf>
    <xf numFmtId="164" fontId="4" fillId="0" borderId="0" applyAlignment="1" pivotButton="0" quotePrefix="0" xfId="0">
      <alignment horizontal="center" vertical="bottom"/>
    </xf>
    <xf numFmtId="1" fontId="4" fillId="0" borderId="0" applyAlignment="1" pivotButton="0" quotePrefix="0" xfId="0">
      <alignment horizontal="center" vertical="bottom"/>
    </xf>
    <xf numFmtId="165" fontId="4" fillId="0" borderId="0" applyAlignment="1" pivotButton="0" quotePrefix="0" xfId="0">
      <alignment horizontal="center" vertical="bottom"/>
    </xf>
    <xf numFmtId="1" fontId="4" fillId="0" borderId="89" applyAlignment="1" pivotButton="0" quotePrefix="0" xfId="0">
      <alignment horizontal="center" vertical="center"/>
    </xf>
    <xf numFmtId="0" fontId="4" fillId="0" borderId="89" applyAlignment="1" pivotButton="0" quotePrefix="0" xfId="0">
      <alignment horizontal="center" vertical="bottom"/>
    </xf>
    <xf numFmtId="165" fontId="4" fillId="0" borderId="89" applyAlignment="1" pivotButton="0" quotePrefix="0" xfId="0">
      <alignment horizontal="center" vertical="bottom"/>
    </xf>
    <xf numFmtId="1" fontId="4" fillId="0" borderId="89" applyAlignment="1" pivotButton="0" quotePrefix="0" xfId="0">
      <alignment horizontal="center" vertical="bottom"/>
    </xf>
    <xf numFmtId="1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bottom"/>
    </xf>
    <xf numFmtId="164" fontId="30" fillId="4" borderId="96" applyAlignment="1" pivotButton="0" quotePrefix="0" xfId="0">
      <alignment horizontal="center" vertical="center"/>
    </xf>
    <xf numFmtId="0" fontId="30" fillId="4" borderId="96" applyAlignment="1" pivotButton="0" quotePrefix="0" xfId="0">
      <alignment horizontal="center" vertical="bottom"/>
    </xf>
    <xf numFmtId="164" fontId="30" fillId="4" borderId="96" applyAlignment="1" pivotButton="0" quotePrefix="0" xfId="0">
      <alignment horizontal="center" vertical="bottom"/>
    </xf>
    <xf numFmtId="1" fontId="30" fillId="4" borderId="96" applyAlignment="1" pivotButton="0" quotePrefix="0" xfId="0">
      <alignment horizontal="center" vertical="bottom"/>
    </xf>
    <xf numFmtId="165" fontId="30" fillId="4" borderId="96" applyAlignment="1" pivotButton="0" quotePrefix="0" xfId="0">
      <alignment horizontal="center" vertical="bottom"/>
    </xf>
    <xf numFmtId="0" fontId="30" fillId="4" borderId="63" applyAlignment="1" pivotButton="0" quotePrefix="0" xfId="0">
      <alignment horizontal="center" vertical="center" wrapText="1"/>
    </xf>
    <xf numFmtId="1" fontId="30" fillId="4" borderId="63" applyAlignment="1" pivotButton="0" quotePrefix="0" xfId="0">
      <alignment horizontal="center" vertical="center" wrapText="1"/>
    </xf>
    <xf numFmtId="0" fontId="24" fillId="0" borderId="64" applyAlignment="1" pivotButton="0" quotePrefix="0" xfId="0">
      <alignment horizontal="center" vertical="center" wrapText="1"/>
    </xf>
    <xf numFmtId="1" fontId="24" fillId="0" borderId="64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2" borderId="4" applyAlignment="1" pivotButton="0" quotePrefix="0" xfId="0">
      <alignment horizontal="right" vertical="center"/>
    </xf>
    <xf numFmtId="0" fontId="6" fillId="3" borderId="102" applyAlignment="1" pivotButton="0" quotePrefix="0" xfId="0">
      <alignment horizontal="center" vertical="center" wrapText="1"/>
    </xf>
    <xf numFmtId="0" fontId="0" fillId="0" borderId="6" pivotButton="0" quotePrefix="0" xfId="0"/>
    <xf numFmtId="0" fontId="7" fillId="3" borderId="110" applyAlignment="1" pivotButton="0" quotePrefix="0" xfId="0">
      <alignment horizontal="center" vertical="center" wrapText="1"/>
    </xf>
    <xf numFmtId="0" fontId="0" fillId="0" borderId="8" pivotButton="0" quotePrefix="0" xfId="0"/>
    <xf numFmtId="0" fontId="8" fillId="3" borderId="112" applyAlignment="1" pivotButton="0" quotePrefix="0" xfId="0">
      <alignment horizontal="center" vertical="center" wrapText="1"/>
    </xf>
    <xf numFmtId="0" fontId="0" fillId="0" borderId="10" pivotButton="0" quotePrefix="0" xfId="0"/>
    <xf numFmtId="0" fontId="9" fillId="3" borderId="106" applyAlignment="1" pivotButton="0" quotePrefix="0" xfId="0">
      <alignment horizontal="center" vertical="center" wrapText="1"/>
    </xf>
    <xf numFmtId="0" fontId="0" fillId="0" borderId="12" pivotButton="0" quotePrefix="0" xfId="0"/>
    <xf numFmtId="0" fontId="10" fillId="3" borderId="97" applyAlignment="1" pivotButton="0" quotePrefix="0" xfId="0">
      <alignment horizontal="center" vertical="center" wrapText="1"/>
    </xf>
    <xf numFmtId="0" fontId="0" fillId="0" borderId="14" pivotButton="0" quotePrefix="0" xfId="0"/>
    <xf numFmtId="0" fontId="11" fillId="2" borderId="4" applyAlignment="1" pivotButton="0" quotePrefix="0" xfId="0">
      <alignment horizontal="center" vertical="center"/>
    </xf>
    <xf numFmtId="0" fontId="12" fillId="0" borderId="102" applyAlignment="1" pivotButton="0" quotePrefix="0" xfId="0">
      <alignment horizontal="center" vertical="center"/>
    </xf>
    <xf numFmtId="0" fontId="0" fillId="0" borderId="16" pivotButton="0" quotePrefix="0" xfId="0"/>
    <xf numFmtId="0" fontId="13" fillId="0" borderId="110" applyAlignment="1" pivotButton="0" quotePrefix="0" xfId="0">
      <alignment horizontal="center" vertical="center"/>
    </xf>
    <xf numFmtId="0" fontId="0" fillId="0" borderId="18" pivotButton="0" quotePrefix="0" xfId="0"/>
    <xf numFmtId="0" fontId="14" fillId="0" borderId="112" applyAlignment="1" pivotButton="0" quotePrefix="0" xfId="0">
      <alignment horizontal="center" vertical="center"/>
    </xf>
    <xf numFmtId="0" fontId="0" fillId="0" borderId="20" pivotButton="0" quotePrefix="0" xfId="0"/>
    <xf numFmtId="0" fontId="15" fillId="0" borderId="106" applyAlignment="1" pivotButton="0" quotePrefix="0" xfId="0">
      <alignment horizontal="center" vertical="center"/>
    </xf>
    <xf numFmtId="0" fontId="0" fillId="0" borderId="22" pivotButton="0" quotePrefix="0" xfId="0"/>
    <xf numFmtId="0" fontId="16" fillId="0" borderId="97" applyAlignment="1" pivotButton="0" quotePrefix="0" xfId="0">
      <alignment horizontal="center" vertical="center"/>
    </xf>
    <xf numFmtId="0" fontId="0" fillId="0" borderId="24" pivotButton="0" quotePrefix="0" xfId="0"/>
    <xf numFmtId="0" fontId="17" fillId="4" borderId="99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5" fillId="0" borderId="102" applyAlignment="1" pivotButton="0" quotePrefix="0" xfId="0">
      <alignment horizontal="center" vertical="center"/>
    </xf>
    <xf numFmtId="0" fontId="5" fillId="0" borderId="110" applyAlignment="1" pivotButton="0" quotePrefix="0" xfId="0">
      <alignment horizontal="center" vertical="center"/>
    </xf>
    <xf numFmtId="0" fontId="5" fillId="0" borderId="112" applyAlignment="1" pivotButton="0" quotePrefix="0" xfId="0">
      <alignment horizontal="center" vertical="center"/>
    </xf>
    <xf numFmtId="0" fontId="5" fillId="0" borderId="106" applyAlignment="1" pivotButton="0" quotePrefix="0" xfId="0">
      <alignment horizontal="center" vertical="center"/>
    </xf>
    <xf numFmtId="0" fontId="5" fillId="0" borderId="97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 wrapText="1"/>
    </xf>
    <xf numFmtId="0" fontId="19" fillId="6" borderId="108" applyAlignment="1" pivotButton="0" quotePrefix="0" xfId="0">
      <alignment horizontal="center" vertical="center"/>
    </xf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20" fillId="7" borderId="4" applyAlignment="1" pivotButton="0" quotePrefix="0" xfId="0">
      <alignment horizontal="center" vertical="center" wrapText="1"/>
    </xf>
    <xf numFmtId="164" fontId="20" fillId="7" borderId="4" applyAlignment="1" pivotButton="0" quotePrefix="0" xfId="0">
      <alignment horizontal="center" vertical="center" wrapText="1"/>
    </xf>
    <xf numFmtId="0" fontId="11" fillId="8" borderId="4" applyAlignment="1" pivotButton="0" quotePrefix="0" xfId="0">
      <alignment horizontal="center" vertical="center" wrapText="1"/>
    </xf>
    <xf numFmtId="0" fontId="11" fillId="9" borderId="4" applyAlignment="1" pivotButton="0" quotePrefix="0" xfId="0">
      <alignment horizontal="center" vertical="center" wrapText="1"/>
    </xf>
    <xf numFmtId="0" fontId="18" fillId="14" borderId="55" applyAlignment="1" pivotButton="0" quotePrefix="0" xfId="0">
      <alignment horizontal="center" vertical="center" wrapText="1"/>
    </xf>
    <xf numFmtId="0" fontId="0" fillId="0" borderId="57" pivotButton="0" quotePrefix="0" xfId="0"/>
    <xf numFmtId="0" fontId="0" fillId="0" borderId="58" pivotButton="0" quotePrefix="0" xfId="0"/>
    <xf numFmtId="0" fontId="22" fillId="5" borderId="4" applyAlignment="1" pivotButton="0" quotePrefix="0" xfId="0">
      <alignment horizontal="center" vertical="center"/>
    </xf>
    <xf numFmtId="0" fontId="1" fillId="4" borderId="63" applyAlignment="1" pivotButton="0" quotePrefix="0" xfId="0">
      <alignment horizontal="center" vertical="center"/>
    </xf>
    <xf numFmtId="0" fontId="11" fillId="4" borderId="63" applyAlignment="1" pivotButton="0" quotePrefix="0" xfId="0">
      <alignment horizontal="center" vertical="center" wrapText="1"/>
    </xf>
    <xf numFmtId="164" fontId="11" fillId="4" borderId="63" applyAlignment="1" pivotButton="0" quotePrefix="0" xfId="0">
      <alignment horizontal="center" vertical="center" wrapText="1"/>
    </xf>
    <xf numFmtId="0" fontId="0" fillId="0" borderId="59" pivotButton="0" quotePrefix="0" xfId="0"/>
    <xf numFmtId="0" fontId="36" fillId="21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7" fillId="21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38" fillId="23" borderId="117" applyAlignment="1" pivotButton="0" quotePrefix="0" xfId="0">
      <alignment horizontal="center" vertical="center" wrapText="1"/>
    </xf>
    <xf numFmtId="0" fontId="0" fillId="22" borderId="117" applyAlignment="1" pivotButton="0" quotePrefix="0" xfId="0">
      <alignment vertical="center"/>
    </xf>
    <xf numFmtId="0" fontId="38" fillId="21" borderId="0" applyAlignment="1" pivotButton="0" quotePrefix="0" xfId="0">
      <alignment horizontal="center" vertical="center" wrapText="1"/>
    </xf>
    <xf numFmtId="0" fontId="39" fillId="22" borderId="117" applyAlignment="1" pivotButton="0" quotePrefix="0" xfId="0">
      <alignment horizontal="center" vertical="center"/>
    </xf>
    <xf numFmtId="0" fontId="40" fillId="22" borderId="117" applyAlignment="1" pivotButton="0" quotePrefix="0" xfId="0">
      <alignment horizontal="center" vertical="center"/>
    </xf>
    <xf numFmtId="0" fontId="41" fillId="22" borderId="117" applyAlignment="1" pivotButton="0" quotePrefix="0" xfId="0">
      <alignment horizontal="center" vertical="center"/>
    </xf>
    <xf numFmtId="0" fontId="42" fillId="22" borderId="117" applyAlignment="1" pivotButton="0" quotePrefix="0" xfId="0">
      <alignment horizontal="center" vertical="center"/>
    </xf>
    <xf numFmtId="0" fontId="43" fillId="22" borderId="117" applyAlignment="1" pivotButton="0" quotePrefix="0" xfId="0">
      <alignment horizontal="center" vertical="center"/>
    </xf>
    <xf numFmtId="0" fontId="45" fillId="27" borderId="117" applyAlignment="1" pivotButton="0" quotePrefix="0" xfId="0">
      <alignment horizontal="center" vertical="center"/>
    </xf>
    <xf numFmtId="0" fontId="0" fillId="27" borderId="117" applyAlignment="1" pivotButton="0" quotePrefix="0" xfId="0">
      <alignment horizontal="center" vertical="center"/>
    </xf>
    <xf numFmtId="0" fontId="44" fillId="0" borderId="0" applyAlignment="1" pivotButton="0" quotePrefix="0" xfId="0">
      <alignment horizontal="center" vertical="center"/>
    </xf>
    <xf numFmtId="0" fontId="38" fillId="23" borderId="0" applyAlignment="1" pivotButton="0" quotePrefix="0" xfId="0">
      <alignment horizontal="center" vertical="center" wrapText="1"/>
    </xf>
    <xf numFmtId="0" fontId="46" fillId="28" borderId="117" applyAlignment="1" pivotButton="0" quotePrefix="0" xfId="0">
      <alignment horizontal="center" vertical="center" wrapText="1"/>
    </xf>
    <xf numFmtId="0" fontId="47" fillId="29" borderId="117" applyAlignment="1" pivotButton="0" quotePrefix="0" xfId="0">
      <alignment horizontal="center" vertical="center" wrapText="1"/>
    </xf>
    <xf numFmtId="0" fontId="38" fillId="24" borderId="0" applyAlignment="1" pivotButton="0" quotePrefix="0" xfId="0">
      <alignment horizontal="center" vertical="center" wrapText="1"/>
    </xf>
    <xf numFmtId="0" fontId="19" fillId="22" borderId="117" applyAlignment="1" pivotButton="0" quotePrefix="0" xfId="0">
      <alignment horizontal="center" vertical="center" wrapText="1"/>
    </xf>
    <xf numFmtId="0" fontId="0" fillId="22" borderId="117" applyAlignment="1" pivotButton="0" quotePrefix="0" xfId="0">
      <alignment horizontal="center" vertical="center" wrapText="1"/>
    </xf>
    <xf numFmtId="0" fontId="48" fillId="22" borderId="117" applyAlignment="1" pivotButton="0" quotePrefix="0" xfId="0">
      <alignment horizontal="center" vertical="center" wrapText="1"/>
    </xf>
    <xf numFmtId="0" fontId="49" fillId="22" borderId="117" applyAlignment="1" pivotButton="0" quotePrefix="0" xfId="0">
      <alignment horizontal="center" vertical="center" wrapText="1"/>
    </xf>
    <xf numFmtId="164" fontId="49" fillId="22" borderId="117" applyAlignment="1" pivotButton="0" quotePrefix="0" xfId="0">
      <alignment horizontal="center" vertical="center" wrapText="1"/>
    </xf>
    <xf numFmtId="0" fontId="38" fillId="25" borderId="0" applyAlignment="1" pivotButton="0" quotePrefix="0" xfId="0">
      <alignment horizontal="center" vertical="center" wrapText="1"/>
    </xf>
    <xf numFmtId="0" fontId="38" fillId="26" borderId="0" applyAlignment="1" pivotButton="0" quotePrefix="0" xfId="0">
      <alignment horizontal="center" vertical="center" wrapText="1"/>
    </xf>
    <xf numFmtId="164" fontId="47" fillId="29" borderId="117" applyAlignment="1" pivotButton="0" quotePrefix="0" xfId="0">
      <alignment horizontal="center" vertical="center" wrapText="1"/>
    </xf>
    <xf numFmtId="0" fontId="47" fillId="30" borderId="117" applyAlignment="1" pivotButton="0" quotePrefix="0" xfId="0">
      <alignment horizontal="center" vertical="center" wrapText="1"/>
    </xf>
    <xf numFmtId="0" fontId="5" fillId="22" borderId="117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/>
    </xf>
    <xf numFmtId="0" fontId="5" fillId="11" borderId="0" applyAlignment="1" pivotButton="0" quotePrefix="0" xfId="0">
      <alignment vertical="center"/>
    </xf>
    <xf numFmtId="164" fontId="5" fillId="11" borderId="0" applyAlignment="1" pivotButton="0" quotePrefix="0" xfId="0">
      <alignment vertical="center"/>
    </xf>
    <xf numFmtId="0" fontId="21" fillId="12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5" fillId="3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50" fillId="31" borderId="118" applyAlignment="1" pivotButton="0" quotePrefix="0" xfId="0">
      <alignment horizontal="center" vertical="center" wrapText="1"/>
    </xf>
    <xf numFmtId="164" fontId="5" fillId="31" borderId="118" applyAlignment="1" pivotButton="0" quotePrefix="0" xfId="0">
      <alignment horizontal="center" vertical="center" wrapText="1"/>
    </xf>
    <xf numFmtId="0" fontId="5" fillId="31" borderId="118" applyAlignment="1" pivotButton="0" quotePrefix="0" xfId="0">
      <alignment horizontal="center" vertical="center" wrapText="1"/>
    </xf>
    <xf numFmtId="0" fontId="51" fillId="32" borderId="118" applyAlignment="1" pivotButton="0" quotePrefix="0" xfId="0">
      <alignment horizontal="center" vertical="center" wrapText="1"/>
    </xf>
    <xf numFmtId="164" fontId="51" fillId="32" borderId="118" applyAlignment="1" pivotButton="0" quotePrefix="0" xfId="0">
      <alignment horizontal="center" vertical="center" wrapText="1"/>
    </xf>
    <xf numFmtId="0" fontId="5" fillId="32" borderId="118" applyAlignment="1" pivotButton="0" quotePrefix="0" xfId="0">
      <alignment horizontal="center" vertical="center" wrapText="1"/>
    </xf>
    <xf numFmtId="0" fontId="21" fillId="32" borderId="118" applyAlignment="1" pivotButton="0" quotePrefix="0" xfId="0">
      <alignment horizontal="center" vertical="center" wrapText="1"/>
    </xf>
    <xf numFmtId="0" fontId="9" fillId="12" borderId="0" applyAlignment="1" pivotButton="0" quotePrefix="0" xfId="0">
      <alignment vertical="center"/>
    </xf>
    <xf numFmtId="0" fontId="10" fillId="13" borderId="0" applyAlignment="1" pivotButton="0" quotePrefix="0" xfId="0">
      <alignment vertical="center"/>
    </xf>
    <xf numFmtId="0" fontId="38" fillId="21" borderId="0" applyAlignment="1" pivotButton="0" quotePrefix="0" xfId="0">
      <alignment horizontal="center" vertical="center"/>
    </xf>
  </cellXfs>
  <cellStyles count="1">
    <cellStyle name="Normal" xfId="0" builtinId="0"/>
  </cellStyles>
  <dxfs count="6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b val="1"/>
        <i val="1"/>
        <color rgb="FFFFFF00"/>
      </font>
      <fill>
        <patternFill patternType="solid">
          <fgColor rgb="FFCC0000"/>
          <bgColor rgb="FFCC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Stack Mix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strRef>
              <f>'Smart Dashboard'!$B$10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285F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A4335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BBC04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'Smart Dashboard'!$A$11:$A$13</f>
            </strRef>
          </cat>
          <val>
            <numRef>
              <f>'Smart Dashboard'!$B$11:$B$13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Infestation Status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strRef>
              <f>'Smart Dashboard'!$G$10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285F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A4335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BBC04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'Smart Dashboard'!$F$11:$F$13</f>
            </strRef>
          </cat>
          <val>
            <numRef>
              <f>'Smart Dashboard'!$G$11:$G$13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Relationship Type="http://schemas.openxmlformats.org/officeDocument/2006/relationships/image" Target="/xl/media/image2.png" Id="rId4"/><Relationship Type="http://schemas.openxmlformats.org/officeDocument/2006/relationships/image" Target="/xl/media/image3.png" Id="rId5"/><Relationship Type="http://schemas.openxmlformats.org/officeDocument/2006/relationships/image" Target="/xl/media/image4.png" Id="rId6"/><Relationship Type="http://schemas.openxmlformats.org/officeDocument/2006/relationships/image" Target="/xl/media/image5.png" Id="rId7"/></Relationships>
</file>

<file path=xl/drawings/drawing1.xml><?xml version="1.0" encoding="utf-8"?>
<wsDr xmlns="http://schemas.openxmlformats.org/drawingml/2006/spreadsheetDrawing">
  <oneCellAnchor>
    <from>
      <col>2</col>
      <colOff>0</colOff>
      <row>9</row>
      <rowOff>0</rowOff>
    </from>
    <ext cx="2943225" cy="22288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6</col>
      <colOff>1085850</colOff>
      <row>9</row>
      <rowOff>47625</rowOff>
    </from>
    <ext cx="2219325" cy="16764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0</col>
      <colOff>0</colOff>
      <row>2</row>
      <rowOff>0</rowOff>
    </from>
    <ext cx="361950" cy="3619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0</colOff>
      <row>2</row>
      <rowOff>0</rowOff>
    </from>
    <ext cx="361950" cy="361950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2</row>
      <rowOff>0</rowOff>
    </from>
    <ext cx="361950" cy="361950"/>
    <pic>
      <nvPicPr>
        <cNvPr id="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6</col>
      <colOff>0</colOff>
      <row>2</row>
      <rowOff>0</rowOff>
    </from>
    <ext cx="361950" cy="361950"/>
    <pic>
      <nvPicPr>
        <cNvPr id="0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8</col>
      <colOff>0</colOff>
      <row>2</row>
      <rowOff>0</rowOff>
    </from>
    <ext cx="361950" cy="361950"/>
    <pic>
      <nvPicPr>
        <cNvPr id="0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#'QC Tracker'!A1" TargetMode="External" Id="rId1"/><Relationship Type="http://schemas.openxmlformats.org/officeDocument/2006/relationships/hyperlink" Target="#'Master Stock'!A1" TargetMode="External" Id="rId2"/><Relationship Type="http://schemas.openxmlformats.org/officeDocument/2006/relationships/hyperlink" Target="#'Priority Rice'!A1" TargetMode="External" Id="rId3"/><Relationship Type="http://schemas.openxmlformats.org/officeDocument/2006/relationships/hyperlink" Target="#'Priority Wheat'!A1" TargetMode="External" Id="rId4"/><Relationship Type="http://schemas.openxmlformats.org/officeDocument/2006/relationships/drawing" Target="/xl/drawings/drawing1.xm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00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3" customWidth="1" style="230" min="1" max="1"/>
    <col width="17" customWidth="1" style="230" min="2" max="2"/>
    <col width="14" customWidth="1" style="230" min="3" max="3"/>
    <col width="9" customWidth="1" style="230" min="4" max="4"/>
    <col width="13" customWidth="1" style="230" min="5" max="5"/>
    <col width="17" customWidth="1" style="230" min="6" max="6"/>
    <col width="14" customWidth="1" style="230" min="7" max="7"/>
    <col width="9" customWidth="1" style="230" min="8" max="8"/>
    <col width="15" customWidth="1" style="230" min="9" max="9"/>
    <col width="4" customWidth="1" style="230" min="10" max="10"/>
    <col width="16" customWidth="1" style="230" min="11" max="11"/>
    <col width="17" customWidth="1" style="230" min="12" max="14"/>
    <col width="13" customWidth="1" style="230" min="13" max="13"/>
    <col width="12" customWidth="1" style="230" min="14" max="14"/>
    <col hidden="1" width="16" customWidth="1" style="230" min="15" max="22"/>
  </cols>
  <sheetData>
    <row r="1" ht="34" customHeight="1" s="230">
      <c r="A1" s="304" t="inlineStr">
        <is>
          <t>⌂</t>
        </is>
      </c>
      <c r="B1" s="305" t="n"/>
      <c r="C1" s="304" t="inlineStr">
        <is>
          <t>STATUS GODOWN NO. 9, 14, 18 AND 20</t>
        </is>
      </c>
      <c r="D1" s="305" t="n"/>
      <c r="E1" s="305" t="n"/>
      <c r="F1" s="305" t="n"/>
      <c r="G1" s="305" t="n"/>
      <c r="H1" s="305" t="n"/>
      <c r="I1" s="305" t="n"/>
      <c r="J1" s="305" t="n"/>
      <c r="K1" s="305" t="n"/>
      <c r="L1" s="305" t="n"/>
      <c r="M1" s="306">
        <f>"LAST UPDATED  |  "&amp;TEXT(NOW(),"dd.mm.yy")&amp;"  |  "&amp;TEXT(NOW(),"HH:mm")</f>
        <v/>
      </c>
      <c r="N1" s="305" t="n"/>
      <c r="O1" s="5" t="n"/>
      <c r="P1" s="5" t="n"/>
      <c r="Q1" s="0" t="inlineStr">
        <is>
          <t>Stack Type</t>
        </is>
      </c>
      <c r="R1" s="0" t="inlineStr">
        <is>
          <t>Count</t>
        </is>
      </c>
      <c r="S1" s="0" t="inlineStr">
        <is>
          <t>Status</t>
        </is>
      </c>
      <c r="T1" s="0" t="inlineStr">
        <is>
          <t>Count</t>
        </is>
      </c>
      <c r="U1" s="0" t="inlineStr">
        <is>
          <t>Infested Rank</t>
        </is>
      </c>
      <c r="V1" s="0" t="inlineStr">
        <is>
          <t>Due Rank</t>
        </is>
      </c>
    </row>
    <row r="2" ht="6" customHeight="1" s="230">
      <c r="A2" s="307" t="n"/>
      <c r="B2" s="307" t="n"/>
      <c r="C2" s="307" t="n"/>
      <c r="D2" s="307" t="n"/>
      <c r="E2" s="307" t="n"/>
      <c r="F2" s="307" t="n"/>
      <c r="G2" s="307" t="n"/>
      <c r="H2" s="307" t="n"/>
      <c r="I2" s="307" t="n"/>
      <c r="J2" s="307" t="n"/>
      <c r="K2" s="307" t="n"/>
      <c r="L2" s="307" t="n"/>
      <c r="M2" s="307" t="n"/>
      <c r="N2" s="307" t="n"/>
      <c r="O2" s="5" t="n"/>
      <c r="P2" s="5" t="n"/>
      <c r="Q2" s="0" t="inlineStr">
        <is>
          <t>Wheat</t>
        </is>
      </c>
      <c r="R2" s="0">
        <f>B11</f>
        <v/>
      </c>
      <c r="S2" s="0" t="inlineStr">
        <is>
          <t>Clear</t>
        </is>
      </c>
      <c r="T2" s="0">
        <f>G11</f>
        <v/>
      </c>
      <c r="U2" s="0">
        <f>IF(AND('Master Stock'!D2&lt;&gt;"",'Master Stock'!H2="OCCUPIED",'Master Stock'!J2&lt;&gt;"",'Master Stock'!K2=""),COUNT($U$1:U1)+1,"")</f>
        <v/>
      </c>
      <c r="V2" s="0">
        <f>IF(AND('Master Stock'!D2&lt;&gt;"",'Master Stock'!L2&lt;&gt;"",'Master Stock'!L2&lt;TODAY()-30),COUNT($V$1:V1)+1,"")</f>
        <v/>
      </c>
    </row>
    <row r="3" ht="26" customHeight="1" s="230">
      <c r="A3" s="308" t="inlineStr">
        <is>
          <t>TOTAL STACK</t>
        </is>
      </c>
      <c r="B3" s="309" t="n"/>
      <c r="C3" s="308" t="inlineStr">
        <is>
          <t>FULL STACK</t>
        </is>
      </c>
      <c r="D3" s="309" t="n"/>
      <c r="E3" s="308" t="inlineStr">
        <is>
          <t>EMPTY STACK</t>
        </is>
      </c>
      <c r="F3" s="309" t="n"/>
      <c r="G3" s="308" t="inlineStr">
        <is>
          <t>INFESTED / UNDER COVER</t>
        </is>
      </c>
      <c r="H3" s="309" t="n"/>
      <c r="I3" s="308" t="inlineStr">
        <is>
          <t>FUMIGATION DUE</t>
        </is>
      </c>
      <c r="J3" s="309" t="n"/>
      <c r="K3" s="310" t="inlineStr">
        <is>
          <t>QUICK NAVIGATION</t>
        </is>
      </c>
      <c r="L3" s="310" t="n"/>
      <c r="M3" s="310" t="n"/>
      <c r="N3" s="310" t="n"/>
      <c r="O3" s="5" t="n"/>
      <c r="P3" s="5" t="n"/>
      <c r="Q3" s="0" t="inlineStr">
        <is>
          <t>Rice (FRK + RRA)</t>
        </is>
      </c>
      <c r="R3" s="0">
        <f>B12</f>
        <v/>
      </c>
      <c r="S3" s="0" t="inlineStr">
        <is>
          <t>Infested / Under Cover</t>
        </is>
      </c>
      <c r="T3" s="0">
        <f>G12</f>
        <v/>
      </c>
      <c r="U3" s="0">
        <f>IF(AND('Master Stock'!D3&lt;&gt;"",'Master Stock'!H3="OCCUPIED",'Master Stock'!J3&lt;&gt;"",'Master Stock'!K3=""),COUNT($U$1:U2)+1,"")</f>
        <v/>
      </c>
      <c r="V3" s="0">
        <f>IF(AND('Master Stock'!D3&lt;&gt;"",'Master Stock'!L3&lt;&gt;"",'Master Stock'!L3&lt;TODAY()-30),COUNT($V$1:V2)+1,"")</f>
        <v/>
      </c>
    </row>
    <row r="4" ht="30" customHeight="1" s="230">
      <c r="A4" s="311">
        <f>COUNTIF('Master Stock'!$D$2:$D$1000,"&lt;&gt;")</f>
        <v/>
      </c>
      <c r="B4" s="309" t="n"/>
      <c r="C4" s="312">
        <f>COUNTIFS('Master Stock'!$D$2:$D$1000,"&lt;&gt;",'Master Stock'!$H$2:$H$1000,"OCCUPIED")</f>
        <v/>
      </c>
      <c r="D4" s="309" t="n"/>
      <c r="E4" s="313">
        <f>COUNTIFS('Master Stock'!$D$2:$D$1000,"&lt;&gt;",'Master Stock'!$H$2:$H$1000,"EMPTY")</f>
        <v/>
      </c>
      <c r="F4" s="309" t="n"/>
      <c r="G4" s="314">
        <f>COUNTIFS('Master Stock'!$D$2:$D$1000,"&lt;&gt;",'Master Stock'!$H$2:$H$1000,"OCCUPIED",'Master Stock'!$J$2:$J$1000,"&lt;&gt;",'Master Stock'!$K$2:$K$1000,"")</f>
        <v/>
      </c>
      <c r="H4" s="309" t="n"/>
      <c r="I4" s="315">
        <f>COUNTIFS('Master Stock'!$D$2:$D$1000,"&lt;&gt;",'Master Stock'!$L$2:$L$1000,"&lt;&gt;" ,'Master Stock'!$L$2:$L$1000,"&lt;"&amp;TODAY()-30)</f>
        <v/>
      </c>
      <c r="J4" s="309" t="n"/>
      <c r="K4" s="316" t="inlineStr">
        <is>
          <t>☷  QC DETAILS</t>
        </is>
      </c>
      <c r="L4" s="317" t="n"/>
      <c r="M4" s="317" t="n"/>
      <c r="N4" s="317" t="n"/>
      <c r="O4" s="5" t="n"/>
      <c r="P4" s="5" t="n"/>
      <c r="Q4" s="0" t="inlineStr">
        <is>
          <t>Empty Stack</t>
        </is>
      </c>
      <c r="R4" s="0">
        <f>B13</f>
        <v/>
      </c>
      <c r="S4" s="0" t="inlineStr">
        <is>
          <t>Fumigation Due</t>
        </is>
      </c>
      <c r="T4" s="0">
        <f>G13</f>
        <v/>
      </c>
      <c r="U4" s="0">
        <f>IF(AND('Master Stock'!D4&lt;&gt;"",'Master Stock'!H4="OCCUPIED",'Master Stock'!J4&lt;&gt;"",'Master Stock'!K4=""),COUNT($U$1:U3)+1,"")</f>
        <v/>
      </c>
      <c r="V4" s="0">
        <f>IF(AND('Master Stock'!D4&lt;&gt;"",'Master Stock'!L4&lt;&gt;"",'Master Stock'!L4&lt;TODAY()-30),COUNT($V$1:V3)+1,"")</f>
        <v/>
      </c>
    </row>
    <row r="5" ht="22" customHeight="1" s="230">
      <c r="A5" s="309" t="n"/>
      <c r="B5" s="309" t="n"/>
      <c r="C5" s="309" t="n"/>
      <c r="D5" s="309" t="n"/>
      <c r="E5" s="309" t="n"/>
      <c r="F5" s="309" t="n"/>
      <c r="G5" s="309" t="n"/>
      <c r="H5" s="309" t="n"/>
      <c r="I5" s="309" t="n"/>
      <c r="J5" s="309" t="n"/>
      <c r="K5" s="317" t="n"/>
      <c r="L5" s="317" t="n"/>
      <c r="M5" s="317" t="n"/>
      <c r="N5" s="317" t="n"/>
      <c r="O5" s="5" t="n"/>
      <c r="P5" s="5" t="n"/>
      <c r="Q5" s="5" t="n"/>
      <c r="R5" s="5" t="n"/>
      <c r="S5" s="5" t="n"/>
      <c r="T5" s="5" t="n"/>
      <c r="U5" s="0">
        <f>IF(AND('Master Stock'!D5&lt;&gt;"",'Master Stock'!H5="OCCUPIED",'Master Stock'!J5&lt;&gt;"",'Master Stock'!K5=""),COUNT($U$1:U4)+1,"")</f>
        <v/>
      </c>
      <c r="V5" s="0">
        <f>IF(AND('Master Stock'!D5&lt;&gt;"",'Master Stock'!L5&lt;&gt;"",'Master Stock'!L5&lt;TODAY()-30),COUNT($V$1:V4)+1,"")</f>
        <v/>
      </c>
    </row>
    <row r="6" ht="24" customHeight="1" s="230">
      <c r="A6" s="309" t="n"/>
      <c r="B6" s="309" t="n"/>
      <c r="C6" s="309" t="n"/>
      <c r="D6" s="309" t="n"/>
      <c r="E6" s="309" t="n"/>
      <c r="F6" s="309" t="n"/>
      <c r="G6" s="309" t="n"/>
      <c r="H6" s="309" t="n"/>
      <c r="I6" s="309" t="n"/>
      <c r="J6" s="309" t="n"/>
      <c r="K6" s="316" t="inlineStr">
        <is>
          <t>▤  MASTER</t>
        </is>
      </c>
      <c r="L6" s="317" t="n"/>
      <c r="M6" s="317" t="n"/>
      <c r="N6" s="317" t="n"/>
      <c r="O6" s="5" t="n"/>
      <c r="P6" s="5" t="n"/>
      <c r="Q6" s="5" t="n"/>
      <c r="R6" s="5" t="n"/>
      <c r="S6" s="5" t="n"/>
      <c r="T6" s="5" t="n"/>
      <c r="U6" s="0">
        <f>IF(AND('Master Stock'!D6&lt;&gt;"",'Master Stock'!H6="OCCUPIED",'Master Stock'!J6&lt;&gt;"",'Master Stock'!K6=""),COUNT($U$1:U5)+1,"")</f>
        <v/>
      </c>
      <c r="V6" s="0">
        <f>IF(AND('Master Stock'!D6&lt;&gt;"",'Master Stock'!L6&lt;&gt;"",'Master Stock'!L6&lt;TODAY()-30),COUNT($V$1:V5)+1,"")</f>
        <v/>
      </c>
    </row>
    <row r="7" ht="24" customHeight="1" s="230">
      <c r="A7" s="318" t="inlineStr">
        <is>
          <t>All Stacks</t>
        </is>
      </c>
      <c r="B7" s="305" t="n"/>
      <c r="C7" s="318" t="inlineStr">
        <is>
          <t>Full Stacks</t>
        </is>
      </c>
      <c r="D7" s="305" t="n"/>
      <c r="E7" s="318" t="inlineStr">
        <is>
          <t>Empty Stacks</t>
        </is>
      </c>
      <c r="F7" s="305" t="n"/>
      <c r="G7" s="318" t="inlineStr">
        <is>
          <t>Requires Attention</t>
        </is>
      </c>
      <c r="H7" s="305" t="n"/>
      <c r="I7" s="318" t="inlineStr">
        <is>
          <t>Due for Fumigation</t>
        </is>
      </c>
      <c r="J7" s="305" t="n"/>
      <c r="K7" s="317" t="n"/>
      <c r="L7" s="317" t="n"/>
      <c r="M7" s="317" t="n"/>
      <c r="N7" s="317" t="n"/>
      <c r="O7" s="5" t="n"/>
      <c r="P7" s="5" t="n"/>
      <c r="Q7" s="5" t="n"/>
      <c r="R7" s="5" t="n"/>
      <c r="S7" s="5" t="n"/>
      <c r="T7" s="5" t="n"/>
      <c r="U7" s="0">
        <f>IF(AND('Master Stock'!D7&lt;&gt;"",'Master Stock'!H7="OCCUPIED",'Master Stock'!J7&lt;&gt;"",'Master Stock'!K7=""),COUNT($U$1:U6)+1,"")</f>
        <v/>
      </c>
      <c r="V7" s="0">
        <f>IF(AND('Master Stock'!D7&lt;&gt;"",'Master Stock'!L7&lt;&gt;"",'Master Stock'!L7&lt;TODAY()-30),COUNT($V$1:V6)+1,"")</f>
        <v/>
      </c>
    </row>
    <row r="8" ht="25" customHeight="1" s="230">
      <c r="A8" s="307" t="n"/>
      <c r="B8" s="307" t="n"/>
      <c r="C8" s="307" t="n"/>
      <c r="D8" s="307" t="n"/>
      <c r="E8" s="307" t="n"/>
      <c r="F8" s="307" t="n"/>
      <c r="G8" s="307" t="n"/>
      <c r="H8" s="307" t="n"/>
      <c r="I8" s="307" t="n"/>
      <c r="J8" s="307" t="n"/>
      <c r="K8" s="316" t="inlineStr">
        <is>
          <t>🌾  RICE PRIORITY</t>
        </is>
      </c>
      <c r="L8" s="317" t="n"/>
      <c r="M8" s="317" t="n"/>
      <c r="N8" s="317" t="n"/>
      <c r="O8" s="5" t="n"/>
      <c r="P8" s="5" t="n"/>
      <c r="Q8" s="5" t="n"/>
      <c r="R8" s="5" t="n"/>
      <c r="S8" s="5" t="n"/>
      <c r="T8" s="5" t="n"/>
      <c r="U8" s="0">
        <f>IF(AND('Master Stock'!D8&lt;&gt;"",'Master Stock'!H8="OCCUPIED",'Master Stock'!J8&lt;&gt;"",'Master Stock'!K8=""),COUNT($U$1:U7)+1,"")</f>
        <v/>
      </c>
      <c r="V8" s="0">
        <f>IF(AND('Master Stock'!D8&lt;&gt;"",'Master Stock'!L8&lt;&gt;"",'Master Stock'!L8&lt;TODAY()-30),COUNT($V$1:V7)+1,"")</f>
        <v/>
      </c>
    </row>
    <row r="9" ht="25" customHeight="1" s="230">
      <c r="A9" s="319" t="inlineStr">
        <is>
          <t>STACK TYPE SUMMARY</t>
        </is>
      </c>
      <c r="B9" s="319" t="n"/>
      <c r="C9" s="319" t="inlineStr">
        <is>
          <t>STACK MIX</t>
        </is>
      </c>
      <c r="D9" s="319" t="n"/>
      <c r="E9" s="319" t="n"/>
      <c r="F9" s="319" t="inlineStr">
        <is>
          <t>INFESTATION STATUS</t>
        </is>
      </c>
      <c r="G9" s="319" t="n"/>
      <c r="H9" s="319" t="inlineStr">
        <is>
          <t>INFESTATION STATUS</t>
        </is>
      </c>
      <c r="I9" s="319" t="n"/>
      <c r="J9" s="319" t="n"/>
      <c r="K9" s="317" t="n"/>
      <c r="L9" s="317" t="n"/>
      <c r="M9" s="317" t="n"/>
      <c r="N9" s="317" t="n"/>
      <c r="O9" s="5" t="n"/>
      <c r="P9" s="5" t="n"/>
      <c r="Q9" s="5" t="n"/>
      <c r="R9" s="5" t="n"/>
      <c r="S9" s="5" t="n"/>
      <c r="T9" s="5" t="n"/>
      <c r="U9" s="0">
        <f>IF(AND('Master Stock'!D9&lt;&gt;"",'Master Stock'!H9="OCCUPIED",'Master Stock'!J9&lt;&gt;"",'Master Stock'!K9=""),COUNT($U$1:U8)+1,"")</f>
        <v/>
      </c>
      <c r="V9" s="0">
        <f>IF(AND('Master Stock'!D9&lt;&gt;"",'Master Stock'!L9&lt;&gt;"",'Master Stock'!L9&lt;TODAY()-30),COUNT($V$1:V8)+1,"")</f>
        <v/>
      </c>
    </row>
    <row r="10" ht="23" customHeight="1" s="230">
      <c r="A10" s="320" t="inlineStr">
        <is>
          <t>STACK TYPE</t>
        </is>
      </c>
      <c r="B10" s="320" t="inlineStr">
        <is>
          <t>COUNT</t>
        </is>
      </c>
      <c r="C10" s="307" t="n"/>
      <c r="D10" s="307" t="n"/>
      <c r="E10" s="307" t="n"/>
      <c r="F10" s="320" t="inlineStr">
        <is>
          <t>STATUS</t>
        </is>
      </c>
      <c r="G10" s="320" t="inlineStr">
        <is>
          <t>COUNT</t>
        </is>
      </c>
      <c r="H10" s="307" t="n"/>
      <c r="I10" s="307" t="n"/>
      <c r="J10" s="307" t="n"/>
      <c r="K10" s="316" t="inlineStr">
        <is>
          <t>🌾  WHEAT PRIORITY</t>
        </is>
      </c>
      <c r="L10" s="317" t="n"/>
      <c r="M10" s="317" t="n"/>
      <c r="N10" s="317" t="n"/>
      <c r="O10" s="5" t="n"/>
      <c r="P10" s="5" t="n"/>
      <c r="Q10" s="5" t="n"/>
      <c r="R10" s="5" t="n"/>
      <c r="S10" s="5" t="n"/>
      <c r="T10" s="5" t="n"/>
      <c r="U10" s="0">
        <f>IF(AND('Master Stock'!D10&lt;&gt;"",'Master Stock'!H10="OCCUPIED",'Master Stock'!J10&lt;&gt;"",'Master Stock'!K10=""),COUNT($U$1:U9)+1,"")</f>
        <v/>
      </c>
      <c r="V10" s="0">
        <f>IF(AND('Master Stock'!D10&lt;&gt;"",'Master Stock'!L10&lt;&gt;"",'Master Stock'!L10&lt;TODAY()-30),COUNT($V$1:V9)+1,"")</f>
        <v/>
      </c>
    </row>
    <row r="11" ht="24" customHeight="1" s="230">
      <c r="A11" s="321" t="inlineStr">
        <is>
          <t>Wheat</t>
        </is>
      </c>
      <c r="B11" s="321">
        <f>COUNTIFS('Master Stock'!$D$2:$D$1000,"&lt;&gt;",'Master Stock'!$G$2:$G$1000,"*WHEAT*")</f>
        <v/>
      </c>
      <c r="C11" s="307" t="n"/>
      <c r="D11" s="307" t="n"/>
      <c r="E11" s="307" t="n"/>
      <c r="F11" s="321" t="inlineStr">
        <is>
          <t>Clear</t>
        </is>
      </c>
      <c r="G11" s="321">
        <f>MAX(0,$C$4-$G$4)</f>
        <v/>
      </c>
      <c r="H11" s="307" t="n"/>
      <c r="I11" s="307" t="n"/>
      <c r="J11" s="307" t="n"/>
      <c r="K11" s="317" t="n"/>
      <c r="L11" s="317" t="n"/>
      <c r="M11" s="317" t="n"/>
      <c r="N11" s="317" t="n"/>
      <c r="O11" s="5" t="n"/>
      <c r="P11" s="5" t="n"/>
      <c r="Q11" s="5" t="n"/>
      <c r="R11" s="5" t="n"/>
      <c r="S11" s="5" t="n"/>
      <c r="T11" s="5" t="n"/>
      <c r="U11" s="0">
        <f>IF(AND('Master Stock'!D11&lt;&gt;"",'Master Stock'!H11="OCCUPIED",'Master Stock'!J11&lt;&gt;"",'Master Stock'!K11=""),COUNT($U$1:U10)+1,"")</f>
        <v/>
      </c>
      <c r="V11" s="0">
        <f>IF(AND('Master Stock'!D11&lt;&gt;"",'Master Stock'!L11&lt;&gt;"",'Master Stock'!L11&lt;TODAY()-30),COUNT($V$1:V10)+1,"")</f>
        <v/>
      </c>
    </row>
    <row r="12" ht="24" customHeight="1" s="230">
      <c r="A12" s="321" t="inlineStr">
        <is>
          <t>Rice (FRK + RRA)</t>
        </is>
      </c>
      <c r="B12" s="321">
        <f>COUNTIFS('Master Stock'!$D$2:$D$1000,"&lt;&gt;",'Master Stock'!$G$2:$G$1000,"*FRK*",'Master Stock'!$G$2:$G$1000,"*RRA*")</f>
        <v/>
      </c>
      <c r="C12" s="307" t="n"/>
      <c r="D12" s="307" t="n"/>
      <c r="E12" s="307" t="n"/>
      <c r="F12" s="321" t="inlineStr">
        <is>
          <t>Infested / Under Cover</t>
        </is>
      </c>
      <c r="G12" s="321">
        <f>$G$4</f>
        <v/>
      </c>
      <c r="H12" s="307" t="n"/>
      <c r="I12" s="307" t="n"/>
      <c r="J12" s="307" t="n"/>
      <c r="K12" s="307" t="n"/>
      <c r="L12" s="307" t="n"/>
      <c r="M12" s="307" t="n"/>
      <c r="N12" s="307" t="n"/>
      <c r="O12" s="5" t="n"/>
      <c r="P12" s="5" t="n"/>
      <c r="Q12" s="5" t="n"/>
      <c r="R12" s="5" t="n"/>
      <c r="S12" s="5" t="n"/>
      <c r="T12" s="5" t="n"/>
      <c r="U12" s="0">
        <f>IF(AND('Master Stock'!D12&lt;&gt;"",'Master Stock'!H12="OCCUPIED",'Master Stock'!J12&lt;&gt;"",'Master Stock'!K12=""),COUNT($U$1:U11)+1,"")</f>
        <v/>
      </c>
      <c r="V12" s="0">
        <f>IF(AND('Master Stock'!D12&lt;&gt;"",'Master Stock'!L12&lt;&gt;"",'Master Stock'!L12&lt;TODAY()-30),COUNT($V$1:V11)+1,"")</f>
        <v/>
      </c>
    </row>
    <row r="13" ht="24" customHeight="1" s="230">
      <c r="A13" s="321" t="inlineStr">
        <is>
          <t>Empty Stack</t>
        </is>
      </c>
      <c r="B13" s="321">
        <f>COUNTIFS('Master Stock'!$D$2:$D$1000,"&lt;&gt;",'Master Stock'!$H$2:$H$1000,"EMPTY")</f>
        <v/>
      </c>
      <c r="C13" s="307" t="n"/>
      <c r="D13" s="307" t="n"/>
      <c r="E13" s="307" t="n"/>
      <c r="F13" s="321" t="inlineStr">
        <is>
          <t>Fumigation Due</t>
        </is>
      </c>
      <c r="G13" s="321">
        <f>$I$4</f>
        <v/>
      </c>
      <c r="H13" s="307" t="n"/>
      <c r="I13" s="307" t="n"/>
      <c r="J13" s="307" t="n"/>
      <c r="K13" s="322" t="inlineStr">
        <is>
          <t>SEARCH STACK</t>
        </is>
      </c>
      <c r="L13" s="322" t="n"/>
      <c r="M13" s="322" t="n"/>
      <c r="N13" s="322" t="n"/>
      <c r="O13" s="5" t="n"/>
      <c r="P13" s="5" t="n"/>
      <c r="Q13" s="5" t="n"/>
      <c r="R13" s="5" t="n"/>
      <c r="S13" s="5" t="n"/>
      <c r="T13" s="5" t="n"/>
      <c r="U13" s="0">
        <f>IF(AND('Master Stock'!D13&lt;&gt;"",'Master Stock'!H13="OCCUPIED",'Master Stock'!J13&lt;&gt;"",'Master Stock'!K13=""),COUNT($U$1:U12)+1,"")</f>
        <v/>
      </c>
      <c r="V13" s="0">
        <f>IF(AND('Master Stock'!D13&lt;&gt;"",'Master Stock'!L13&lt;&gt;"",'Master Stock'!L13&lt;TODAY()-30),COUNT($V$1:V12)+1,"")</f>
        <v/>
      </c>
    </row>
    <row r="14" ht="28" customHeight="1" s="230">
      <c r="A14" s="321" t="inlineStr">
        <is>
          <t>TOTAL</t>
        </is>
      </c>
      <c r="B14" s="321">
        <f>SUM(B11:B13)</f>
        <v/>
      </c>
      <c r="C14" s="307" t="n"/>
      <c r="D14" s="307" t="n"/>
      <c r="E14" s="307" t="n"/>
      <c r="F14" s="307" t="n"/>
      <c r="G14" s="307" t="n"/>
      <c r="H14" s="307" t="n"/>
      <c r="I14" s="307" t="n"/>
      <c r="J14" s="307" t="n"/>
      <c r="K14" s="323" t="inlineStr">
        <is>
          <t>9A05</t>
        </is>
      </c>
      <c r="L14" s="324" t="n"/>
      <c r="M14" s="324" t="n"/>
      <c r="N14" s="324" t="n"/>
      <c r="O14" s="5" t="n"/>
      <c r="P14" s="5" t="n"/>
      <c r="Q14" s="5" t="n"/>
      <c r="R14" s="5" t="n"/>
      <c r="S14" s="5" t="n"/>
      <c r="T14" s="5" t="n"/>
      <c r="U14" s="0">
        <f>IF(AND('Master Stock'!D14&lt;&gt;"",'Master Stock'!H14="OCCUPIED",'Master Stock'!J14&lt;&gt;"",'Master Stock'!K14=""),COUNT($U$1:U13)+1,"")</f>
        <v/>
      </c>
      <c r="V14" s="0">
        <f>IF(AND('Master Stock'!D14&lt;&gt;"",'Master Stock'!L14&lt;&gt;"",'Master Stock'!L14&lt;TODAY()-30),COUNT($V$1:V13)+1,"")</f>
        <v/>
      </c>
    </row>
    <row r="15" ht="8" customHeight="1" s="230">
      <c r="A15" s="307" t="n"/>
      <c r="B15" s="307" t="n"/>
      <c r="C15" s="307" t="n"/>
      <c r="D15" s="307" t="n"/>
      <c r="E15" s="307" t="n"/>
      <c r="F15" s="307" t="n"/>
      <c r="G15" s="307" t="n"/>
      <c r="H15" s="307" t="n"/>
      <c r="I15" s="307" t="n"/>
      <c r="J15" s="307" t="n"/>
      <c r="K15" s="324" t="n"/>
      <c r="L15" s="324" t="n"/>
      <c r="M15" s="324" t="n"/>
      <c r="N15" s="324" t="n"/>
      <c r="O15" s="5" t="n"/>
      <c r="P15" s="5" t="n"/>
      <c r="Q15" s="5" t="n"/>
      <c r="R15" s="5" t="n"/>
      <c r="S15" s="5" t="n"/>
      <c r="T15" s="5" t="n"/>
      <c r="U15" s="0">
        <f>IF(AND('Master Stock'!D15&lt;&gt;"",'Master Stock'!H15="OCCUPIED",'Master Stock'!J15&lt;&gt;"",'Master Stock'!K15=""),COUNT($U$1:U14)+1,"")</f>
        <v/>
      </c>
      <c r="V15" s="0">
        <f>IF(AND('Master Stock'!D15&lt;&gt;"",'Master Stock'!L15&lt;&gt;"",'Master Stock'!L15&lt;TODAY()-30),COUNT($V$1:V14)+1,"")</f>
        <v/>
      </c>
    </row>
    <row r="16" ht="8" customHeight="1" s="230">
      <c r="A16" s="307" t="n"/>
      <c r="B16" s="307" t="n"/>
      <c r="C16" s="307" t="n"/>
      <c r="D16" s="307" t="n"/>
      <c r="E16" s="307" t="n"/>
      <c r="F16" s="307" t="n"/>
      <c r="G16" s="307" t="n"/>
      <c r="H16" s="307" t="n"/>
      <c r="I16" s="307" t="n"/>
      <c r="J16" s="307" t="n"/>
      <c r="K16" s="307" t="n"/>
      <c r="L16" s="307" t="n"/>
      <c r="M16" s="307" t="n"/>
      <c r="N16" s="307" t="n"/>
      <c r="O16" s="5" t="n"/>
      <c r="P16" s="5" t="n"/>
      <c r="Q16" s="5" t="n"/>
      <c r="R16" s="5" t="n"/>
      <c r="S16" s="5" t="n"/>
      <c r="T16" s="5" t="n"/>
      <c r="U16" s="0">
        <f>IF(AND('Master Stock'!D16&lt;&gt;"",'Master Stock'!H16="OCCUPIED",'Master Stock'!J16&lt;&gt;"",'Master Stock'!K16=""),COUNT($U$1:U15)+1,"")</f>
        <v/>
      </c>
      <c r="V16" s="0">
        <f>IF(AND('Master Stock'!D16&lt;&gt;"",'Master Stock'!L16&lt;&gt;"",'Master Stock'!L16&lt;TODAY()-30),COUNT($V$1:V15)+1,"")</f>
        <v/>
      </c>
    </row>
    <row r="17" ht="24" customHeight="1" s="230">
      <c r="A17" s="307" t="n"/>
      <c r="B17" s="307" t="n"/>
      <c r="C17" s="307" t="n"/>
      <c r="D17" s="307" t="n"/>
      <c r="E17" s="307" t="n"/>
      <c r="F17" s="307" t="n"/>
      <c r="G17" s="307" t="n"/>
      <c r="H17" s="307" t="n"/>
      <c r="I17" s="307" t="n"/>
      <c r="J17" s="307" t="n"/>
      <c r="K17" s="325" t="inlineStr">
        <is>
          <t>Stack No.</t>
        </is>
      </c>
      <c r="L17" s="326">
        <f t="array" ref="L17">IF($K$14="","",IFERROR(INDEX('Master Stock'!$D$2:$D$1000,MATCH($K$14,'Master Stock'!$D$2:$D$1000,0)),""))</f>
        <v/>
      </c>
      <c r="M17" s="324" t="n"/>
      <c r="N17" s="324" t="n"/>
      <c r="O17" s="5" t="n"/>
      <c r="P17" s="5" t="n"/>
      <c r="Q17" s="5" t="n"/>
      <c r="R17" s="5" t="n"/>
      <c r="S17" s="5" t="n"/>
      <c r="T17" s="5" t="n"/>
      <c r="U17" s="0">
        <f>IF(AND('Master Stock'!D17&lt;&gt;"",'Master Stock'!H17="OCCUPIED",'Master Stock'!J17&lt;&gt;"",'Master Stock'!K17=""),COUNT($U$1:U16)+1,"")</f>
        <v/>
      </c>
      <c r="V17" s="0">
        <f>IF(AND('Master Stock'!D17&lt;&gt;"",'Master Stock'!L17&lt;&gt;"",'Master Stock'!L17&lt;TODAY()-30),COUNT($V$1:V16)+1,"")</f>
        <v/>
      </c>
    </row>
    <row r="18" ht="24" customHeight="1" s="230">
      <c r="A18" s="307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25" t="inlineStr">
        <is>
          <t>Commodity</t>
        </is>
      </c>
      <c r="L18" s="326">
        <f t="array" ref="L18">IF($K$14="","",IFERROR(INDEX('Master Stock'!$G$2:$G$1000,MATCH($K$14,'Master Stock'!$D$2:$D$1000,0)),""))</f>
        <v/>
      </c>
      <c r="M18" s="324" t="n"/>
      <c r="N18" s="324" t="n"/>
      <c r="O18" s="5" t="n"/>
      <c r="P18" s="5" t="n"/>
      <c r="Q18" s="5" t="n"/>
      <c r="R18" s="5" t="n"/>
      <c r="S18" s="5" t="n"/>
      <c r="T18" s="5" t="n"/>
      <c r="U18" s="0">
        <f>IF(AND('Master Stock'!D18&lt;&gt;"",'Master Stock'!H18="OCCUPIED",'Master Stock'!J18&lt;&gt;"",'Master Stock'!K18=""),COUNT($U$1:U17)+1,"")</f>
        <v/>
      </c>
      <c r="V18" s="0">
        <f>IF(AND('Master Stock'!D18&lt;&gt;"",'Master Stock'!L18&lt;&gt;"",'Master Stock'!L18&lt;TODAY()-30),COUNT($V$1:V17)+1,"")</f>
        <v/>
      </c>
    </row>
    <row r="19" ht="24" customHeight="1" s="230">
      <c r="A19" s="307" t="n"/>
      <c r="B19" s="307" t="n"/>
      <c r="C19" s="307" t="n"/>
      <c r="D19" s="307" t="n"/>
      <c r="E19" s="307" t="n"/>
      <c r="F19" s="307" t="n"/>
      <c r="G19" s="307" t="n"/>
      <c r="H19" s="307" t="n"/>
      <c r="I19" s="307" t="n"/>
      <c r="J19" s="307" t="n"/>
      <c r="K19" s="325" t="inlineStr">
        <is>
          <t>Date of Receipt</t>
        </is>
      </c>
      <c r="L19" s="327">
        <f t="array" ref="L19">IF($K$14="","",IFERROR(INDEX('Master Stock'!$B$2:$B$1000,MATCH($K$14,'Master Stock'!$D$2:$D$1000,0)),""))</f>
        <v/>
      </c>
      <c r="M19" s="324" t="n"/>
      <c r="N19" s="324" t="n"/>
      <c r="O19" s="5" t="n"/>
      <c r="P19" s="5" t="n"/>
      <c r="Q19" s="5" t="n"/>
      <c r="R19" s="5" t="n"/>
      <c r="S19" s="5" t="n"/>
      <c r="T19" s="5" t="n"/>
      <c r="U19" s="0">
        <f>IF(AND('Master Stock'!D19&lt;&gt;"",'Master Stock'!H19="OCCUPIED",'Master Stock'!J19&lt;&gt;"",'Master Stock'!K19=""),COUNT($U$1:U18)+1,"")</f>
        <v/>
      </c>
      <c r="V19" s="0">
        <f>IF(AND('Master Stock'!D19&lt;&gt;"",'Master Stock'!L19&lt;&gt;"",'Master Stock'!L19&lt;TODAY()-30),COUNT($V$1:V18)+1,"")</f>
        <v/>
      </c>
    </row>
    <row r="20" ht="28" customHeight="1" s="230">
      <c r="A20" s="328" t="inlineStr">
        <is>
          <t>🐞  INFESTED / UNDER COVER DETAILS</t>
        </is>
      </c>
      <c r="B20" s="328" t="n"/>
      <c r="C20" s="328" t="n"/>
      <c r="D20" s="328" t="n"/>
      <c r="E20" s="329" t="inlineStr">
        <is>
          <t>🧯  FUMIGATION DUE DETAILS</t>
        </is>
      </c>
      <c r="F20" s="329" t="n"/>
      <c r="G20" s="329" t="n"/>
      <c r="H20" s="329" t="n"/>
      <c r="I20" s="329" t="n"/>
      <c r="J20" s="307" t="n"/>
      <c r="K20" s="325" t="inlineStr">
        <is>
          <t>Last Fumigation</t>
        </is>
      </c>
      <c r="L20" s="327">
        <f t="array" ref="L20">IF($K$14="","",IFERROR(INDEX('Master Stock'!$L$2:$L$1000,MATCH($K$14,'Master Stock'!$D$2:$D$1000,0)),""))</f>
        <v/>
      </c>
      <c r="M20" s="324" t="n"/>
      <c r="N20" s="324" t="n"/>
      <c r="O20" s="5" t="n"/>
      <c r="P20" s="5" t="n"/>
      <c r="Q20" s="5" t="n"/>
      <c r="R20" s="5" t="n"/>
      <c r="S20" s="5" t="n"/>
      <c r="T20" s="5" t="n"/>
      <c r="U20" s="0">
        <f>IF(AND('Master Stock'!D20&lt;&gt;"",'Master Stock'!H20="OCCUPIED",'Master Stock'!J20&lt;&gt;"",'Master Stock'!K20=""),COUNT($U$1:U19)+1,"")</f>
        <v/>
      </c>
      <c r="V20" s="0">
        <f>IF(AND('Master Stock'!D20&lt;&gt;"",'Master Stock'!L20&lt;&gt;"",'Master Stock'!L20&lt;TODAY()-30),COUNT($V$1:V19)+1,"")</f>
        <v/>
      </c>
    </row>
    <row r="21" ht="24" customHeight="1" s="230">
      <c r="A21" s="320" t="inlineStr">
        <is>
          <t>Stack No.</t>
        </is>
      </c>
      <c r="B21" s="320" t="inlineStr">
        <is>
          <t>Commodity</t>
        </is>
      </c>
      <c r="C21" s="320" t="inlineStr">
        <is>
          <t>Fumigation Date</t>
        </is>
      </c>
      <c r="D21" s="320" t="inlineStr">
        <is>
          <t>Days</t>
        </is>
      </c>
      <c r="E21" s="320" t="inlineStr">
        <is>
          <t>Stack No.</t>
        </is>
      </c>
      <c r="F21" s="320" t="inlineStr">
        <is>
          <t>Commodity</t>
        </is>
      </c>
      <c r="G21" s="320" t="inlineStr">
        <is>
          <t>Last Fumigation</t>
        </is>
      </c>
      <c r="H21" s="320" t="inlineStr">
        <is>
          <t>Days</t>
        </is>
      </c>
      <c r="I21" s="320" t="inlineStr">
        <is>
          <t>Status</t>
        </is>
      </c>
      <c r="J21" s="307" t="n"/>
      <c r="K21" s="325" t="inlineStr">
        <is>
          <t>Fumigation Days</t>
        </is>
      </c>
      <c r="L21" s="326">
        <f>IF(L20="","",MAX(0,TODAY()-L20))</f>
        <v/>
      </c>
      <c r="M21" s="324" t="n"/>
      <c r="N21" s="324" t="n"/>
      <c r="O21" s="5" t="n"/>
      <c r="P21" s="5" t="n"/>
      <c r="Q21" s="5" t="n"/>
      <c r="R21" s="5" t="n"/>
      <c r="S21" s="5" t="n"/>
      <c r="T21" s="5" t="n"/>
      <c r="U21" s="0">
        <f>IF(AND('Master Stock'!D21&lt;&gt;"",'Master Stock'!H21="OCCUPIED",'Master Stock'!J21&lt;&gt;"",'Master Stock'!K21=""),COUNT($U$1:U20)+1,"")</f>
        <v/>
      </c>
      <c r="V21" s="0">
        <f>IF(AND('Master Stock'!D21&lt;&gt;"",'Master Stock'!L21&lt;&gt;"",'Master Stock'!L21&lt;TODAY()-30),COUNT($V$1:V20)+1,"")</f>
        <v/>
      </c>
    </row>
    <row r="22" ht="24" customHeight="1" s="230">
      <c r="A22" s="321">
        <f t="array" ref="A22">IFERROR(INDEX('Master Stock'!$D$2:$D$1000,MATCH(1,$U$2:$U$1000,0)),"")</f>
        <v/>
      </c>
      <c r="B22" s="321">
        <f t="array" ref="B22">IFERROR(INDEX('Master Stock'!$G$2:$G$1000,MATCH(1,$U$2:$U$1000,0)),"")</f>
        <v/>
      </c>
      <c r="C22" s="330">
        <f t="array" ref="C22">IFERROR(INDEX('Master Stock'!$J$2:$J$1000,MATCH(1,$U$2:$U$1000,0)),"")</f>
        <v/>
      </c>
      <c r="D22" s="321">
        <f>IF(C22="","",MAX(0,TODAY()-C22))</f>
        <v/>
      </c>
      <c r="E22" s="321">
        <f t="array" ref="E22">IFERROR(INDEX('Master Stock'!$D$2:$D$1000,MATCH(1,$V$2:$V$1000,0)),"")</f>
        <v/>
      </c>
      <c r="F22" s="321">
        <f t="array" ref="F22">IFERROR(INDEX('Master Stock'!$G$2:$G$1000,MATCH(1,$V$2:$V$1000,0)),"")</f>
        <v/>
      </c>
      <c r="G22" s="330">
        <f t="array" ref="G22">IFERROR(INDEX('Master Stock'!$L$2:$L$1000,MATCH(1,$V$2:$V$1000,0)),"")</f>
        <v/>
      </c>
      <c r="H22" s="321">
        <f>IF(G22="","",MAX(0,TODAY()-G22))</f>
        <v/>
      </c>
      <c r="I22" s="331">
        <f>IF(E22="","","DUE (30+ Days)")</f>
        <v/>
      </c>
      <c r="J22" s="307" t="n"/>
      <c r="K22" s="325" t="inlineStr">
        <is>
          <t>Status</t>
        </is>
      </c>
      <c r="L22" s="326">
        <f t="array" ref="L22">IF(L17="","",IF(AND(INDEX('Master Stock'!$J$2:$J$1000,MATCH($K$14,'Master Stock'!$D$2:$D$1000,0))&lt;&gt;"",INDEX('Master Stock'!$K$2:$K$1000,MATCH($K$14,'Master Stock'!$D$2:$D$1000,0))=""),"INFESTED / UNDER COVER",IF(AND(L20&lt;&gt;"",L21&gt;30),"FUMIGATION DUE","CLEAR")))</f>
        <v/>
      </c>
      <c r="M22" s="332" t="n"/>
      <c r="N22" s="332" t="n"/>
      <c r="O22" s="5" t="n"/>
      <c r="P22" s="5" t="n"/>
      <c r="Q22" s="5" t="n"/>
      <c r="R22" s="5" t="n"/>
      <c r="S22" s="5" t="n"/>
      <c r="T22" s="5" t="n"/>
      <c r="U22" s="0">
        <f>IF(AND('Master Stock'!D22&lt;&gt;"",'Master Stock'!H22="OCCUPIED",'Master Stock'!J22&lt;&gt;"",'Master Stock'!K22=""),COUNT($U$1:U21)+1,"")</f>
        <v/>
      </c>
      <c r="V22" s="0">
        <f>IF(AND('Master Stock'!D22&lt;&gt;"",'Master Stock'!L22&lt;&gt;"",'Master Stock'!L22&lt;TODAY()-30),COUNT($V$1:V21)+1,"")</f>
        <v/>
      </c>
    </row>
    <row r="23" ht="22" customHeight="1" s="230">
      <c r="A23" s="321">
        <f t="array" ref="A23">IFERROR(INDEX('Master Stock'!$D$2:$D$1000,MATCH(2,$U$2:$U$1000,0)),"")</f>
        <v/>
      </c>
      <c r="B23" s="321">
        <f t="array" ref="B23">IFERROR(INDEX('Master Stock'!$G$2:$G$1000,MATCH(2,$U$2:$U$1000,0)),"")</f>
        <v/>
      </c>
      <c r="C23" s="330">
        <f t="array" ref="C23">IFERROR(INDEX('Master Stock'!$J$2:$J$1000,MATCH(2,$U$2:$U$1000,0)),"")</f>
        <v/>
      </c>
      <c r="D23" s="321">
        <f>IF(C23="","",MAX(0,TODAY()-C23))</f>
        <v/>
      </c>
      <c r="E23" s="321">
        <f t="array" ref="E23">IFERROR(INDEX('Master Stock'!$D$2:$D$1000,MATCH(2,$V$2:$V$1000,0)),"")</f>
        <v/>
      </c>
      <c r="F23" s="321">
        <f t="array" ref="F23">IFERROR(INDEX('Master Stock'!$G$2:$G$1000,MATCH(2,$V$2:$V$1000,0)),"")</f>
        <v/>
      </c>
      <c r="G23" s="330">
        <f t="array" ref="G23">IFERROR(INDEX('Master Stock'!$L$2:$L$1000,MATCH(2,$V$2:$V$1000,0)),"")</f>
        <v/>
      </c>
      <c r="H23" s="321">
        <f>IF(G23="","",MAX(0,TODAY()-G23))</f>
        <v/>
      </c>
      <c r="I23" s="331">
        <f>IF(E23="","","DUE (30+ Days)")</f>
        <v/>
      </c>
      <c r="J23" s="307" t="n"/>
      <c r="K23" s="307" t="n"/>
      <c r="L23" s="333">
        <f t="array" ref="L23">IF($K$14="","",IF(L17="","",IF(AND(L20&lt;&gt;"",L21&gt;30),"FUMIGATION DUE",IF(AND(INDEX('Master Stock'!$J$2:$J$1000,MATCH($K$14,'Master Stock'!$D$2:$D$1000,0))&lt;&gt;"",INDEX('Master Stock'!$K$2:$K$1000,MATCH($K$14,'Master Stock'!$D$2:$D$1000,0))=""),"INFESTED / UNDER COVER","CLEAR"))))</f>
        <v/>
      </c>
      <c r="M23" s="307" t="n"/>
      <c r="N23" s="307" t="n"/>
      <c r="O23" s="5" t="n"/>
      <c r="P23" s="5" t="n"/>
      <c r="Q23" s="5" t="n"/>
      <c r="R23" s="5" t="n"/>
      <c r="S23" s="5" t="n"/>
      <c r="T23" s="5" t="n"/>
      <c r="U23" s="0">
        <f>IF(AND('Master Stock'!D23&lt;&gt;"",'Master Stock'!H23="OCCUPIED",'Master Stock'!J23&lt;&gt;"",'Master Stock'!K23=""),COUNT($U$1:U22)+1,"")</f>
        <v/>
      </c>
      <c r="V23" s="0">
        <f>IF(AND('Master Stock'!D23&lt;&gt;"",'Master Stock'!L23&lt;&gt;"",'Master Stock'!L23&lt;TODAY()-30),COUNT($V$1:V22)+1,"")</f>
        <v/>
      </c>
    </row>
    <row r="24" ht="22" customHeight="1" s="230">
      <c r="A24" s="321">
        <f t="array" ref="A24">IFERROR(INDEX('Master Stock'!$D$2:$D$1000,MATCH(3,$U$2:$U$1000,0)),"")</f>
        <v/>
      </c>
      <c r="B24" s="321">
        <f t="array" ref="B24">IFERROR(INDEX('Master Stock'!$G$2:$G$1000,MATCH(3,$U$2:$U$1000,0)),"")</f>
        <v/>
      </c>
      <c r="C24" s="330">
        <f t="array" ref="C24">IFERROR(INDEX('Master Stock'!$J$2:$J$1000,MATCH(3,$U$2:$U$1000,0)),"")</f>
        <v/>
      </c>
      <c r="D24" s="321">
        <f>IF(C24="","",MAX(0,TODAY()-C24))</f>
        <v/>
      </c>
      <c r="E24" s="321">
        <f t="array" ref="E24">IFERROR(INDEX('Master Stock'!$D$2:$D$1000,MATCH(3,$V$2:$V$1000,0)),"")</f>
        <v/>
      </c>
      <c r="F24" s="321">
        <f t="array" ref="F24">IFERROR(INDEX('Master Stock'!$G$2:$G$1000,MATCH(3,$V$2:$V$1000,0)),"")</f>
        <v/>
      </c>
      <c r="G24" s="330">
        <f t="array" ref="G24">IFERROR(INDEX('Master Stock'!$L$2:$L$1000,MATCH(3,$V$2:$V$1000,0)),"")</f>
        <v/>
      </c>
      <c r="H24" s="321">
        <f>IF(G24="","",MAX(0,TODAY()-G24))</f>
        <v/>
      </c>
      <c r="I24" s="331">
        <f>IF(E24="","","DUE (30+ Days)")</f>
        <v/>
      </c>
      <c r="J24" s="307" t="n"/>
      <c r="K24" s="307" t="n"/>
      <c r="L24" s="307" t="n"/>
      <c r="M24" s="307" t="n"/>
      <c r="N24" s="307" t="n"/>
      <c r="O24" s="5" t="n"/>
      <c r="P24" s="5" t="n"/>
      <c r="Q24" s="5" t="n"/>
      <c r="R24" s="5" t="n"/>
      <c r="S24" s="5" t="n"/>
      <c r="T24" s="5" t="n"/>
      <c r="U24" s="0">
        <f>IF(AND('Master Stock'!D24&lt;&gt;"",'Master Stock'!H24="OCCUPIED",'Master Stock'!J24&lt;&gt;"",'Master Stock'!K24=""),COUNT($U$1:U23)+1,"")</f>
        <v/>
      </c>
      <c r="V24" s="0">
        <f>IF(AND('Master Stock'!D24&lt;&gt;"",'Master Stock'!L24&lt;&gt;"",'Master Stock'!L24&lt;TODAY()-30),COUNT($V$1:V23)+1,"")</f>
        <v/>
      </c>
    </row>
    <row r="25" ht="22" customHeight="1" s="230">
      <c r="A25" s="321">
        <f t="array" ref="A25">IFERROR(INDEX('Master Stock'!$D$2:$D$1000,MATCH(4,$U$2:$U$1000,0)),"")</f>
        <v/>
      </c>
      <c r="B25" s="321">
        <f t="array" ref="B25">IFERROR(INDEX('Master Stock'!$G$2:$G$1000,MATCH(4,$U$2:$U$1000,0)),"")</f>
        <v/>
      </c>
      <c r="C25" s="330">
        <f t="array" ref="C25">IFERROR(INDEX('Master Stock'!$J$2:$J$1000,MATCH(4,$U$2:$U$1000,0)),"")</f>
        <v/>
      </c>
      <c r="D25" s="321">
        <f>IF(C25="","",MAX(0,TODAY()-C25))</f>
        <v/>
      </c>
      <c r="E25" s="321">
        <f t="array" ref="E25">IFERROR(INDEX('Master Stock'!$D$2:$D$1000,MATCH(4,$V$2:$V$1000,0)),"")</f>
        <v/>
      </c>
      <c r="F25" s="321">
        <f t="array" ref="F25">IFERROR(INDEX('Master Stock'!$G$2:$G$1000,MATCH(4,$V$2:$V$1000,0)),"")</f>
        <v/>
      </c>
      <c r="G25" s="330">
        <f t="array" ref="G25">IFERROR(INDEX('Master Stock'!$L$2:$L$1000,MATCH(4,$V$2:$V$1000,0)),"")</f>
        <v/>
      </c>
      <c r="H25" s="321">
        <f>IF(G25="","",MAX(0,TODAY()-G25))</f>
        <v/>
      </c>
      <c r="I25" s="331">
        <f>IF(E25="","","DUE (30+ Days)")</f>
        <v/>
      </c>
      <c r="J25" s="307" t="n"/>
      <c r="K25" s="307" t="n"/>
      <c r="L25" s="307" t="n"/>
      <c r="M25" s="307" t="n"/>
      <c r="N25" s="307" t="n"/>
      <c r="O25" s="5" t="n"/>
      <c r="P25" s="5" t="n"/>
      <c r="Q25" s="5" t="n"/>
      <c r="R25" s="5" t="n"/>
      <c r="S25" s="5" t="n"/>
      <c r="T25" s="5" t="n"/>
      <c r="U25" s="0">
        <f>IF(AND('Master Stock'!D25&lt;&gt;"",'Master Stock'!H25="OCCUPIED",'Master Stock'!J25&lt;&gt;"",'Master Stock'!K25=""),COUNT($U$1:U24)+1,"")</f>
        <v/>
      </c>
      <c r="V25" s="0">
        <f>IF(AND('Master Stock'!D25&lt;&gt;"",'Master Stock'!L25&lt;&gt;"",'Master Stock'!L25&lt;TODAY()-30),COUNT($V$1:V24)+1,"")</f>
        <v/>
      </c>
    </row>
    <row r="26" ht="22" customHeight="1" s="230">
      <c r="A26" s="321">
        <f t="array" ref="A26">IFERROR(INDEX('Master Stock'!$D$2:$D$1000,MATCH(5,$U$2:$U$1000,0)),"")</f>
        <v/>
      </c>
      <c r="B26" s="321">
        <f t="array" ref="B26">IFERROR(INDEX('Master Stock'!$G$2:$G$1000,MATCH(5,$U$2:$U$1000,0)),"")</f>
        <v/>
      </c>
      <c r="C26" s="330">
        <f t="array" ref="C26">IFERROR(INDEX('Master Stock'!$J$2:$J$1000,MATCH(5,$U$2:$U$1000,0)),"")</f>
        <v/>
      </c>
      <c r="D26" s="321">
        <f>IF(C26="","",MAX(0,TODAY()-C26))</f>
        <v/>
      </c>
      <c r="E26" s="321">
        <f t="array" ref="E26">IFERROR(INDEX('Master Stock'!$D$2:$D$1000,MATCH(5,$V$2:$V$1000,0)),"")</f>
        <v/>
      </c>
      <c r="F26" s="321">
        <f t="array" ref="F26">IFERROR(INDEX('Master Stock'!$G$2:$G$1000,MATCH(5,$V$2:$V$1000,0)),"")</f>
        <v/>
      </c>
      <c r="G26" s="330">
        <f t="array" ref="G26">IFERROR(INDEX('Master Stock'!$L$2:$L$1000,MATCH(5,$V$2:$V$1000,0)),"")</f>
        <v/>
      </c>
      <c r="H26" s="321">
        <f>IF(G26="","",MAX(0,TODAY()-G26))</f>
        <v/>
      </c>
      <c r="I26" s="331">
        <f>IF(E26="","","DUE (30+ Days)")</f>
        <v/>
      </c>
      <c r="J26" s="307" t="n"/>
      <c r="K26" s="307" t="n"/>
      <c r="L26" s="307" t="n"/>
      <c r="M26" s="307" t="n"/>
      <c r="N26" s="307" t="n"/>
      <c r="O26" s="5" t="n"/>
      <c r="P26" s="5" t="n"/>
      <c r="Q26" s="5" t="n"/>
      <c r="R26" s="5" t="n"/>
      <c r="S26" s="5" t="n"/>
      <c r="T26" s="5" t="n"/>
      <c r="U26" s="0">
        <f>IF(AND('Master Stock'!D26&lt;&gt;"",'Master Stock'!H26="OCCUPIED",'Master Stock'!J26&lt;&gt;"",'Master Stock'!K26=""),COUNT($U$1:U25)+1,"")</f>
        <v/>
      </c>
      <c r="V26" s="0">
        <f>IF(AND('Master Stock'!D26&lt;&gt;"",'Master Stock'!L26&lt;&gt;"",'Master Stock'!L26&lt;TODAY()-30),COUNT($V$1:V25)+1,"")</f>
        <v/>
      </c>
    </row>
    <row r="27" ht="22" customHeight="1" s="230">
      <c r="A27" s="321">
        <f t="array" ref="A27">IFERROR(INDEX('Master Stock'!$D$2:$D$1000,MATCH(6,$U$2:$U$1000,0)),"")</f>
        <v/>
      </c>
      <c r="B27" s="321">
        <f t="array" ref="B27">IFERROR(INDEX('Master Stock'!$G$2:$G$1000,MATCH(6,$U$2:$U$1000,0)),"")</f>
        <v/>
      </c>
      <c r="C27" s="330">
        <f t="array" ref="C27">IFERROR(INDEX('Master Stock'!$J$2:$J$1000,MATCH(6,$U$2:$U$1000,0)),"")</f>
        <v/>
      </c>
      <c r="D27" s="321">
        <f>IF(C27="","",MAX(0,TODAY()-C27))</f>
        <v/>
      </c>
      <c r="E27" s="321">
        <f t="array" ref="E27">IFERROR(INDEX('Master Stock'!$D$2:$D$1000,MATCH(6,$V$2:$V$1000,0)),"")</f>
        <v/>
      </c>
      <c r="F27" s="321">
        <f t="array" ref="F27">IFERROR(INDEX('Master Stock'!$G$2:$G$1000,MATCH(6,$V$2:$V$1000,0)),"")</f>
        <v/>
      </c>
      <c r="G27" s="330">
        <f t="array" ref="G27">IFERROR(INDEX('Master Stock'!$L$2:$L$1000,MATCH(6,$V$2:$V$1000,0)),"")</f>
        <v/>
      </c>
      <c r="H27" s="321">
        <f>IF(G27="","",MAX(0,TODAY()-G27))</f>
        <v/>
      </c>
      <c r="I27" s="331">
        <f>IF(E27="","","DUE (30+ Days)")</f>
        <v/>
      </c>
      <c r="J27" s="307" t="n"/>
      <c r="K27" s="307" t="n"/>
      <c r="L27" s="307" t="n"/>
      <c r="M27" s="307" t="n"/>
      <c r="N27" s="307" t="n"/>
      <c r="O27" s="5" t="n"/>
      <c r="P27" s="5" t="n"/>
      <c r="Q27" s="5" t="n"/>
      <c r="R27" s="5" t="n"/>
      <c r="S27" s="5" t="n"/>
      <c r="T27" s="5" t="n"/>
      <c r="U27" s="0">
        <f>IF(AND('Master Stock'!D27&lt;&gt;"",'Master Stock'!H27="OCCUPIED",'Master Stock'!J27&lt;&gt;"",'Master Stock'!K27=""),COUNT($U$1:U26)+1,"")</f>
        <v/>
      </c>
      <c r="V27" s="0">
        <f>IF(AND('Master Stock'!D27&lt;&gt;"",'Master Stock'!L27&lt;&gt;"",'Master Stock'!L27&lt;TODAY()-30),COUNT($V$1:V26)+1,"")</f>
        <v/>
      </c>
    </row>
    <row r="28" ht="22" customHeight="1" s="230">
      <c r="A28" s="334">
        <f t="array" ref="A28">IFERROR(INDEX('Master Stock'!$D$2:$D$1000,MATCH(7,$U$2:$U$1000,0)),"")</f>
        <v/>
      </c>
      <c r="B28" s="334">
        <f t="array" ref="B28">IFERROR(INDEX('Master Stock'!$G$2:$G$1000,MATCH(7,$U$2:$U$1000,0)),"")</f>
        <v/>
      </c>
      <c r="C28" s="335">
        <f t="array" ref="C28">IFERROR(INDEX('Master Stock'!$J$2:$J$1000,MATCH(7,$U$2:$U$1000,0)),"")</f>
        <v/>
      </c>
      <c r="D28" s="334">
        <f>IF(C28="","",MAX(0,TODAY()-C28))</f>
        <v/>
      </c>
      <c r="E28" s="334">
        <f t="array" ref="E28">IFERROR(INDEX('Master Stock'!$D$2:$D$1000,MATCH(7,$V$2:$V$1000,0)),"")</f>
        <v/>
      </c>
      <c r="F28" s="334">
        <f t="array" ref="F28">IFERROR(INDEX('Master Stock'!$G$2:$G$1000,MATCH(7,$V$2:$V$1000,0)),"")</f>
        <v/>
      </c>
      <c r="G28" s="335">
        <f t="array" ref="G28">IFERROR(INDEX('Master Stock'!$L$2:$L$1000,MATCH(7,$V$2:$V$1000,0)),"")</f>
        <v/>
      </c>
      <c r="H28" s="334">
        <f>IF(G28="","",MAX(0,TODAY()-G28))</f>
        <v/>
      </c>
      <c r="I28" s="336">
        <f>IF(E28="","","DUE (30+ Days)")</f>
        <v/>
      </c>
      <c r="J28" s="307" t="n"/>
      <c r="K28" s="307" t="n"/>
      <c r="L28" s="307" t="n"/>
      <c r="M28" s="307" t="n"/>
      <c r="N28" s="307" t="n"/>
      <c r="O28" s="5" t="n"/>
      <c r="P28" s="5" t="n"/>
      <c r="Q28" s="5" t="n"/>
      <c r="R28" s="5" t="n"/>
      <c r="S28" s="5" t="n"/>
      <c r="T28" s="5" t="n"/>
      <c r="U28" s="0">
        <f>IF(AND('Master Stock'!D28&lt;&gt;"",'Master Stock'!H28="OCCUPIED",'Master Stock'!J28&lt;&gt;"",'Master Stock'!K28=""),COUNT($U$1:U27)+1,"")</f>
        <v/>
      </c>
      <c r="V28" s="0">
        <f>IF(AND('Master Stock'!D28&lt;&gt;"",'Master Stock'!L28&lt;&gt;"",'Master Stock'!L28&lt;TODAY()-30),COUNT($V$1:V27)+1,"")</f>
        <v/>
      </c>
    </row>
    <row r="29" ht="8" customHeight="1" s="230">
      <c r="A29" s="337">
        <f t="array" ref="A29">IFERROR(INDEX('Master Stock'!$D$2:$D$1000,MATCH(8,$U$2:$U$1000,0)),"")</f>
        <v/>
      </c>
      <c r="B29" s="337">
        <f t="array" ref="B29">IFERROR(INDEX('Master Stock'!$G$2:$G$1000,MATCH(8,$U$2:$U$1000,0)),"")</f>
        <v/>
      </c>
      <c r="C29" s="338">
        <f t="array" ref="C29">IFERROR(INDEX('Master Stock'!$J$2:$J$1000,MATCH(8,$U$2:$U$1000,0)),"")</f>
        <v/>
      </c>
      <c r="D29" s="337">
        <f>IF(C29="","",MAX(0,TODAY()-C29))</f>
        <v/>
      </c>
      <c r="E29" s="337">
        <f t="array" ref="E29">IFERROR(INDEX('Master Stock'!$D$2:$D$1000,MATCH(8,$V$2:$V$1000,0)),"")</f>
        <v/>
      </c>
      <c r="F29" s="337">
        <f t="array" ref="F29">IFERROR(INDEX('Master Stock'!$G$2:$G$1000,MATCH(8,$V$2:$V$1000,0)),"")</f>
        <v/>
      </c>
      <c r="G29" s="338">
        <f t="array" ref="G29">IFERROR(INDEX('Master Stock'!$L$2:$L$1000,MATCH(8,$V$2:$V$1000,0)),"")</f>
        <v/>
      </c>
      <c r="H29" s="337">
        <f>IF(G29="","",MAX(0,TODAY()-G29))</f>
        <v/>
      </c>
      <c r="I29" s="336">
        <f>IF(E29="","","DUE (30+ Days)")</f>
        <v/>
      </c>
      <c r="J29" s="307" t="n"/>
      <c r="K29" s="307" t="n"/>
      <c r="L29" s="307" t="n"/>
      <c r="M29" s="307" t="n"/>
      <c r="N29" s="307" t="n"/>
      <c r="O29" s="5" t="n"/>
      <c r="P29" s="5" t="n"/>
      <c r="Q29" s="5" t="n"/>
      <c r="R29" s="5" t="n"/>
      <c r="S29" s="5" t="n"/>
      <c r="T29" s="5" t="n"/>
      <c r="U29" s="0">
        <f>IF(AND('Master Stock'!D29&lt;&gt;"",'Master Stock'!H29="OCCUPIED",'Master Stock'!J29&lt;&gt;"",'Master Stock'!K29=""),COUNT($U$1:U28)+1,"")</f>
        <v/>
      </c>
      <c r="V29" s="0">
        <f>IF(AND('Master Stock'!D29&lt;&gt;"",'Master Stock'!L29&lt;&gt;"",'Master Stock'!L29&lt;TODAY()-30),COUNT($V$1:V28)+1,"")</f>
        <v/>
      </c>
    </row>
    <row r="30" ht="8" customHeight="1" s="230">
      <c r="A30" s="334">
        <f t="array" ref="A30">IFERROR(INDEX('Master Stock'!$D$2:$D$1000,MATCH(9,$U$2:$U$1000,0)),"")</f>
        <v/>
      </c>
      <c r="B30" s="334">
        <f t="array" ref="B30">IFERROR(INDEX('Master Stock'!$G$2:$G$1000,MATCH(9,$U$2:$U$1000,0)),"")</f>
        <v/>
      </c>
      <c r="C30" s="335">
        <f t="array" ref="C30">IFERROR(INDEX('Master Stock'!$J$2:$J$1000,MATCH(9,$U$2:$U$1000,0)),"")</f>
        <v/>
      </c>
      <c r="D30" s="334">
        <f>IF(C30="","",MAX(0,TODAY()-C30))</f>
        <v/>
      </c>
      <c r="E30" s="334">
        <f t="array" ref="E30">IFERROR(INDEX('Master Stock'!$D$2:$D$1000,MATCH(9,$V$2:$V$1000,0)),"")</f>
        <v/>
      </c>
      <c r="F30" s="334">
        <f t="array" ref="F30">IFERROR(INDEX('Master Stock'!$G$2:$G$1000,MATCH(9,$V$2:$V$1000,0)),"")</f>
        <v/>
      </c>
      <c r="G30" s="335">
        <f t="array" ref="G30">IFERROR(INDEX('Master Stock'!$L$2:$L$1000,MATCH(9,$V$2:$V$1000,0)),"")</f>
        <v/>
      </c>
      <c r="H30" s="334">
        <f>IF(G30="","",MAX(0,TODAY()-G30))</f>
        <v/>
      </c>
      <c r="I30" s="336">
        <f>IF(E30="","","DUE (30+ Days)")</f>
        <v/>
      </c>
      <c r="J30" s="307" t="n"/>
      <c r="K30" s="339" t="inlineStr">
        <is>
          <t>Keep Stack Safe, Keep Quality Safe!</t>
        </is>
      </c>
      <c r="L30" s="307" t="n"/>
      <c r="M30" s="307" t="n"/>
      <c r="N30" s="307" t="n"/>
      <c r="O30" s="5" t="n"/>
      <c r="P30" s="5" t="n"/>
      <c r="Q30" s="5" t="n"/>
      <c r="R30" s="5" t="n"/>
      <c r="S30" s="5" t="n"/>
      <c r="T30" s="5" t="n"/>
      <c r="U30" s="0">
        <f>IF(AND('Master Stock'!D30&lt;&gt;"",'Master Stock'!H30="OCCUPIED",'Master Stock'!J30&lt;&gt;"",'Master Stock'!K30=""),COUNT($U$1:U29)+1,"")</f>
        <v/>
      </c>
      <c r="V30" s="0">
        <f>IF(AND('Master Stock'!D30&lt;&gt;"",'Master Stock'!L30&lt;&gt;"",'Master Stock'!L30&lt;TODAY()-30),COUNT($V$1:V29)+1,"")</f>
        <v/>
      </c>
    </row>
    <row r="31" ht="8" customHeight="1" s="230">
      <c r="A31" s="337">
        <f t="array" ref="A31">IFERROR(INDEX('Master Stock'!$D$2:$D$1000,MATCH(10,$U$2:$U$1000,0)),"")</f>
        <v/>
      </c>
      <c r="B31" s="337">
        <f t="array" ref="B31">IFERROR(INDEX('Master Stock'!$G$2:$G$1000,MATCH(10,$U$2:$U$1000,0)),"")</f>
        <v/>
      </c>
      <c r="C31" s="338">
        <f t="array" ref="C31">IFERROR(INDEX('Master Stock'!$J$2:$J$1000,MATCH(10,$U$2:$U$1000,0)),"")</f>
        <v/>
      </c>
      <c r="D31" s="337">
        <f>IF(C31="","",MAX(0,TODAY()-C31))</f>
        <v/>
      </c>
      <c r="E31" s="337">
        <f t="array" ref="E31">IFERROR(INDEX('Master Stock'!$D$2:$D$1000,MATCH(10,$V$2:$V$1000,0)),"")</f>
        <v/>
      </c>
      <c r="F31" s="337">
        <f t="array" ref="F31">IFERROR(INDEX('Master Stock'!$G$2:$G$1000,MATCH(10,$V$2:$V$1000,0)),"")</f>
        <v/>
      </c>
      <c r="G31" s="338">
        <f t="array" ref="G31">IFERROR(INDEX('Master Stock'!$L$2:$L$1000,MATCH(10,$V$2:$V$1000,0)),"")</f>
        <v/>
      </c>
      <c r="H31" s="337">
        <f>IF(G31="","",MAX(0,TODAY()-G31))</f>
        <v/>
      </c>
      <c r="I31" s="336">
        <f>IF(E31="","","DUE (30+ Days)")</f>
        <v/>
      </c>
      <c r="J31" s="307" t="n"/>
      <c r="K31" s="307" t="n"/>
      <c r="L31" s="307" t="n"/>
      <c r="M31" s="307" t="n"/>
      <c r="N31" s="307" t="n"/>
      <c r="O31" s="5" t="n"/>
      <c r="P31" s="5" t="n"/>
      <c r="Q31" s="5" t="n"/>
      <c r="R31" s="5" t="n"/>
      <c r="S31" s="5" t="n"/>
      <c r="T31" s="5" t="n"/>
      <c r="U31" s="0">
        <f>IF(AND('Master Stock'!D31&lt;&gt;"",'Master Stock'!H31="OCCUPIED",'Master Stock'!J31&lt;&gt;"",'Master Stock'!K31=""),COUNT($U$1:U30)+1,"")</f>
        <v/>
      </c>
      <c r="V31" s="0">
        <f>IF(AND('Master Stock'!D31&lt;&gt;"",'Master Stock'!L31&lt;&gt;"",'Master Stock'!L31&lt;TODAY()-30),COUNT($V$1:V30)+1,"")</f>
        <v/>
      </c>
    </row>
    <row r="32" ht="8" customHeight="1" s="230">
      <c r="A32" s="334">
        <f t="array" ref="A32">IFERROR(INDEX('Master Stock'!$D$2:$D$1000,MATCH(11,$U$2:$U$1000,0)),"")</f>
        <v/>
      </c>
      <c r="B32" s="334">
        <f t="array" ref="B32">IFERROR(INDEX('Master Stock'!$G$2:$G$1000,MATCH(11,$U$2:$U$1000,0)),"")</f>
        <v/>
      </c>
      <c r="C32" s="335">
        <f t="array" ref="C32">IFERROR(INDEX('Master Stock'!$J$2:$J$1000,MATCH(11,$U$2:$U$1000,0)),"")</f>
        <v/>
      </c>
      <c r="D32" s="334">
        <f>IF(C32="","",MAX(0,TODAY()-C32))</f>
        <v/>
      </c>
      <c r="E32" s="334">
        <f t="array" ref="E32">IFERROR(INDEX('Master Stock'!$D$2:$D$1000,MATCH(11,$V$2:$V$1000,0)),"")</f>
        <v/>
      </c>
      <c r="F32" s="334">
        <f t="array" ref="F32">IFERROR(INDEX('Master Stock'!$G$2:$G$1000,MATCH(11,$V$2:$V$1000,0)),"")</f>
        <v/>
      </c>
      <c r="G32" s="335">
        <f t="array" ref="G32">IFERROR(INDEX('Master Stock'!$L$2:$L$1000,MATCH(11,$V$2:$V$1000,0)),"")</f>
        <v/>
      </c>
      <c r="H32" s="334">
        <f>IF(G32="","",MAX(0,TODAY()-G32))</f>
        <v/>
      </c>
      <c r="I32" s="336">
        <f>IF(E32="","","DUE (30+ Days)")</f>
        <v/>
      </c>
      <c r="J32" s="307" t="n"/>
      <c r="K32" s="307" t="n"/>
      <c r="L32" s="307" t="n"/>
      <c r="M32" s="307" t="n"/>
      <c r="N32" s="307" t="n"/>
      <c r="O32" s="5" t="n"/>
      <c r="P32" s="5" t="n"/>
      <c r="Q32" s="5" t="n"/>
      <c r="R32" s="5" t="n"/>
      <c r="S32" s="5" t="n"/>
      <c r="T32" s="5" t="n"/>
      <c r="U32" s="0">
        <f>IF(AND('Master Stock'!D32&lt;&gt;"",'Master Stock'!H32="OCCUPIED",'Master Stock'!J32&lt;&gt;"",'Master Stock'!K32=""),COUNT($U$1:U31)+1,"")</f>
        <v/>
      </c>
      <c r="V32" s="0">
        <f>IF(AND('Master Stock'!D32&lt;&gt;"",'Master Stock'!L32&lt;&gt;"",'Master Stock'!L32&lt;TODAY()-30),COUNT($V$1:V31)+1,"")</f>
        <v/>
      </c>
    </row>
    <row r="33" ht="8" customHeight="1" s="230">
      <c r="A33" s="337">
        <f t="array" ref="A33">IFERROR(INDEX('Master Stock'!$D$2:$D$1000,MATCH(12,$U$2:$U$1000,0)),"")</f>
        <v/>
      </c>
      <c r="B33" s="337">
        <f t="array" ref="B33">IFERROR(INDEX('Master Stock'!$G$2:$G$1000,MATCH(12,$U$2:$U$1000,0)),"")</f>
        <v/>
      </c>
      <c r="C33" s="338">
        <f t="array" ref="C33">IFERROR(INDEX('Master Stock'!$J$2:$J$1000,MATCH(12,$U$2:$U$1000,0)),"")</f>
        <v/>
      </c>
      <c r="D33" s="337">
        <f>IF(C33="","",MAX(0,TODAY()-C33))</f>
        <v/>
      </c>
      <c r="E33" s="337">
        <f t="array" ref="E33">IFERROR(INDEX('Master Stock'!$D$2:$D$1000,MATCH(12,$V$2:$V$1000,0)),"")</f>
        <v/>
      </c>
      <c r="F33" s="337">
        <f t="array" ref="F33">IFERROR(INDEX('Master Stock'!$G$2:$G$1000,MATCH(12,$V$2:$V$1000,0)),"")</f>
        <v/>
      </c>
      <c r="G33" s="338">
        <f t="array" ref="G33">IFERROR(INDEX('Master Stock'!$L$2:$L$1000,MATCH(12,$V$2:$V$1000,0)),"")</f>
        <v/>
      </c>
      <c r="H33" s="337">
        <f>IF(G33="","",MAX(0,TODAY()-G33))</f>
        <v/>
      </c>
      <c r="I33" s="336">
        <f>IF(E33="","","DUE (30+ Days)")</f>
        <v/>
      </c>
      <c r="J33" s="307" t="n"/>
      <c r="K33" s="307" t="n"/>
      <c r="L33" s="307" t="n"/>
      <c r="M33" s="307" t="n"/>
      <c r="N33" s="307" t="n"/>
      <c r="O33" s="5" t="n"/>
      <c r="P33" s="5" t="n"/>
      <c r="Q33" s="5" t="n"/>
      <c r="R33" s="5" t="n"/>
      <c r="S33" s="5" t="n"/>
      <c r="T33" s="5" t="n"/>
      <c r="U33" s="0">
        <f>IF(AND('Master Stock'!D33&lt;&gt;"",'Master Stock'!H33="OCCUPIED",'Master Stock'!J33&lt;&gt;"",'Master Stock'!K33=""),COUNT($U$1:U32)+1,"")</f>
        <v/>
      </c>
      <c r="V33" s="0">
        <f>IF(AND('Master Stock'!D33&lt;&gt;"",'Master Stock'!L33&lt;&gt;"",'Master Stock'!L33&lt;TODAY()-30),COUNT($V$1:V32)+1,"")</f>
        <v/>
      </c>
    </row>
    <row r="34" ht="8" customHeight="1" s="230">
      <c r="A34" s="334">
        <f t="array" ref="A34">IFERROR(INDEX('Master Stock'!$D$2:$D$1000,MATCH(13,$U$2:$U$1000,0)),"")</f>
        <v/>
      </c>
      <c r="B34" s="334">
        <f t="array" ref="B34">IFERROR(INDEX('Master Stock'!$G$2:$G$1000,MATCH(13,$U$2:$U$1000,0)),"")</f>
        <v/>
      </c>
      <c r="C34" s="335">
        <f t="array" ref="C34">IFERROR(INDEX('Master Stock'!$J$2:$J$1000,MATCH(13,$U$2:$U$1000,0)),"")</f>
        <v/>
      </c>
      <c r="D34" s="334">
        <f>IF(C34="","",MAX(0,TODAY()-C34))</f>
        <v/>
      </c>
      <c r="E34" s="334">
        <f t="array" ref="E34">IFERROR(INDEX('Master Stock'!$D$2:$D$1000,MATCH(13,$V$2:$V$1000,0)),"")</f>
        <v/>
      </c>
      <c r="F34" s="334">
        <f t="array" ref="F34">IFERROR(INDEX('Master Stock'!$G$2:$G$1000,MATCH(13,$V$2:$V$1000,0)),"")</f>
        <v/>
      </c>
      <c r="G34" s="335">
        <f t="array" ref="G34">IFERROR(INDEX('Master Stock'!$L$2:$L$1000,MATCH(13,$V$2:$V$1000,0)),"")</f>
        <v/>
      </c>
      <c r="H34" s="334">
        <f>IF(G34="","",MAX(0,TODAY()-G34))</f>
        <v/>
      </c>
      <c r="I34" s="336">
        <f>IF(E34="","","DUE (30+ Days)")</f>
        <v/>
      </c>
      <c r="J34" s="307" t="n"/>
      <c r="K34" s="307" t="n"/>
      <c r="L34" s="307" t="n"/>
      <c r="M34" s="307" t="n"/>
      <c r="N34" s="307" t="n"/>
      <c r="O34" s="5" t="n"/>
      <c r="P34" s="5" t="n"/>
      <c r="Q34" s="5" t="n"/>
      <c r="R34" s="5" t="n"/>
      <c r="S34" s="5" t="n"/>
      <c r="T34" s="5" t="n"/>
      <c r="U34" s="0">
        <f>IF(AND('Master Stock'!D34&lt;&gt;"",'Master Stock'!H34="OCCUPIED",'Master Stock'!J34&lt;&gt;"",'Master Stock'!K34=""),COUNT($U$1:U33)+1,"")</f>
        <v/>
      </c>
      <c r="V34" s="0">
        <f>IF(AND('Master Stock'!D34&lt;&gt;"",'Master Stock'!L34&lt;&gt;"",'Master Stock'!L34&lt;TODAY()-30),COUNT($V$1:V33)+1,"")</f>
        <v/>
      </c>
    </row>
    <row r="35" ht="8" customHeight="1" s="230">
      <c r="A35" s="337">
        <f t="array" ref="A35">IFERROR(INDEX('Master Stock'!$D$2:$D$1000,MATCH(14,$U$2:$U$1000,0)),"")</f>
        <v/>
      </c>
      <c r="B35" s="337">
        <f t="array" ref="B35">IFERROR(INDEX('Master Stock'!$G$2:$G$1000,MATCH(14,$U$2:$U$1000,0)),"")</f>
        <v/>
      </c>
      <c r="C35" s="338">
        <f t="array" ref="C35">IFERROR(INDEX('Master Stock'!$J$2:$J$1000,MATCH(14,$U$2:$U$1000,0)),"")</f>
        <v/>
      </c>
      <c r="D35" s="337">
        <f>IF(C35="","",MAX(0,TODAY()-C35))</f>
        <v/>
      </c>
      <c r="E35" s="337">
        <f t="array" ref="E35">IFERROR(INDEX('Master Stock'!$D$2:$D$1000,MATCH(14,$V$2:$V$1000,0)),"")</f>
        <v/>
      </c>
      <c r="F35" s="337">
        <f t="array" ref="F35">IFERROR(INDEX('Master Stock'!$G$2:$G$1000,MATCH(14,$V$2:$V$1000,0)),"")</f>
        <v/>
      </c>
      <c r="G35" s="338">
        <f t="array" ref="G35">IFERROR(INDEX('Master Stock'!$L$2:$L$1000,MATCH(14,$V$2:$V$1000,0)),"")</f>
        <v/>
      </c>
      <c r="H35" s="337">
        <f>IF(G35="","",MAX(0,TODAY()-G35))</f>
        <v/>
      </c>
      <c r="I35" s="336">
        <f>IF(E35="","","DUE (30+ Days)")</f>
        <v/>
      </c>
      <c r="J35" s="307" t="n"/>
      <c r="K35" s="307" t="n"/>
      <c r="L35" s="307" t="n"/>
      <c r="M35" s="307" t="n"/>
      <c r="N35" s="307" t="n"/>
      <c r="O35" s="5" t="n"/>
      <c r="P35" s="5" t="n"/>
      <c r="Q35" s="5" t="n"/>
      <c r="R35" s="5" t="n"/>
      <c r="S35" s="5" t="n"/>
      <c r="T35" s="5" t="n"/>
      <c r="U35" s="0">
        <f>IF(AND('Master Stock'!D35&lt;&gt;"",'Master Stock'!H35="OCCUPIED",'Master Stock'!J35&lt;&gt;"",'Master Stock'!K35=""),COUNT($U$1:U34)+1,"")</f>
        <v/>
      </c>
      <c r="V35" s="0">
        <f>IF(AND('Master Stock'!D35&lt;&gt;"",'Master Stock'!L35&lt;&gt;"",'Master Stock'!L35&lt;TODAY()-30),COUNT($V$1:V34)+1,"")</f>
        <v/>
      </c>
    </row>
    <row r="36" ht="8" customHeight="1" s="230">
      <c r="A36" s="334">
        <f t="array" ref="A36">IFERROR(INDEX('Master Stock'!$D$2:$D$1000,MATCH(15,$U$2:$U$1000,0)),"")</f>
        <v/>
      </c>
      <c r="B36" s="334">
        <f t="array" ref="B36">IFERROR(INDEX('Master Stock'!$G$2:$G$1000,MATCH(15,$U$2:$U$1000,0)),"")</f>
        <v/>
      </c>
      <c r="C36" s="335">
        <f t="array" ref="C36">IFERROR(INDEX('Master Stock'!$J$2:$J$1000,MATCH(15,$U$2:$U$1000,0)),"")</f>
        <v/>
      </c>
      <c r="D36" s="334">
        <f>IF(C36="","",MAX(0,TODAY()-C36))</f>
        <v/>
      </c>
      <c r="E36" s="334">
        <f t="array" ref="E36">IFERROR(INDEX('Master Stock'!$D$2:$D$1000,MATCH(15,$V$2:$V$1000,0)),"")</f>
        <v/>
      </c>
      <c r="F36" s="334">
        <f t="array" ref="F36">IFERROR(INDEX('Master Stock'!$G$2:$G$1000,MATCH(15,$V$2:$V$1000,0)),"")</f>
        <v/>
      </c>
      <c r="G36" s="335">
        <f t="array" ref="G36">IFERROR(INDEX('Master Stock'!$L$2:$L$1000,MATCH(15,$V$2:$V$1000,0)),"")</f>
        <v/>
      </c>
      <c r="H36" s="334">
        <f>IF(G36="","",MAX(0,TODAY()-G36))</f>
        <v/>
      </c>
      <c r="I36" s="336">
        <f>IF(E36="","","DUE (30+ Days)")</f>
        <v/>
      </c>
      <c r="J36" s="307" t="n"/>
      <c r="K36" s="307" t="n"/>
      <c r="L36" s="307" t="n"/>
      <c r="M36" s="307" t="n"/>
      <c r="N36" s="307" t="n"/>
      <c r="O36" s="5" t="n"/>
      <c r="P36" s="5" t="n"/>
      <c r="Q36" s="5" t="n"/>
      <c r="R36" s="5" t="n"/>
      <c r="S36" s="5" t="n"/>
      <c r="T36" s="5" t="n"/>
      <c r="U36" s="0">
        <f>IF(AND('Master Stock'!D36&lt;&gt;"",'Master Stock'!H36="OCCUPIED",'Master Stock'!J36&lt;&gt;"",'Master Stock'!K36=""),COUNT($U$1:U35)+1,"")</f>
        <v/>
      </c>
      <c r="V36" s="0">
        <f>IF(AND('Master Stock'!D36&lt;&gt;"",'Master Stock'!L36&lt;&gt;"",'Master Stock'!L36&lt;TODAY()-30),COUNT($V$1:V35)+1,"")</f>
        <v/>
      </c>
    </row>
    <row r="37" ht="8" customHeight="1" s="230">
      <c r="A37" s="337">
        <f t="array" ref="A37">IFERROR(INDEX('Master Stock'!$D$2:$D$1000,MATCH(16,$U$2:$U$1000,0)),"")</f>
        <v/>
      </c>
      <c r="B37" s="337">
        <f t="array" ref="B37">IFERROR(INDEX('Master Stock'!$G$2:$G$1000,MATCH(16,$U$2:$U$1000,0)),"")</f>
        <v/>
      </c>
      <c r="C37" s="338">
        <f t="array" ref="C37">IFERROR(INDEX('Master Stock'!$J$2:$J$1000,MATCH(16,$U$2:$U$1000,0)),"")</f>
        <v/>
      </c>
      <c r="D37" s="337">
        <f>IF(C37="","",MAX(0,TODAY()-C37))</f>
        <v/>
      </c>
      <c r="E37" s="337">
        <f t="array" ref="E37">IFERROR(INDEX('Master Stock'!$D$2:$D$1000,MATCH(16,$V$2:$V$1000,0)),"")</f>
        <v/>
      </c>
      <c r="F37" s="337">
        <f t="array" ref="F37">IFERROR(INDEX('Master Stock'!$G$2:$G$1000,MATCH(16,$V$2:$V$1000,0)),"")</f>
        <v/>
      </c>
      <c r="G37" s="338">
        <f t="array" ref="G37">IFERROR(INDEX('Master Stock'!$L$2:$L$1000,MATCH(16,$V$2:$V$1000,0)),"")</f>
        <v/>
      </c>
      <c r="H37" s="337">
        <f>IF(G37="","",MAX(0,TODAY()-G37))</f>
        <v/>
      </c>
      <c r="I37" s="336">
        <f>IF(E37="","","DUE (30+ Days)")</f>
        <v/>
      </c>
      <c r="J37" s="307" t="n"/>
      <c r="K37" s="307" t="n"/>
      <c r="L37" s="307" t="n"/>
      <c r="M37" s="307" t="n"/>
      <c r="N37" s="307" t="n"/>
      <c r="O37" s="5" t="n"/>
      <c r="P37" s="5" t="n"/>
      <c r="Q37" s="5" t="n"/>
      <c r="R37" s="5" t="n"/>
      <c r="S37" s="5" t="n"/>
      <c r="T37" s="5" t="n"/>
      <c r="U37" s="0">
        <f>IF(AND('Master Stock'!D37&lt;&gt;"",'Master Stock'!H37="OCCUPIED",'Master Stock'!J37&lt;&gt;"",'Master Stock'!K37=""),COUNT($U$1:U36)+1,"")</f>
        <v/>
      </c>
      <c r="V37" s="0">
        <f>IF(AND('Master Stock'!D37&lt;&gt;"",'Master Stock'!L37&lt;&gt;"",'Master Stock'!L37&lt;TODAY()-30),COUNT($V$1:V36)+1,"")</f>
        <v/>
      </c>
    </row>
    <row r="38" ht="8" customHeight="1" s="230">
      <c r="A38" s="334">
        <f t="array" ref="A38">IFERROR(INDEX('Master Stock'!$D$2:$D$1000,MATCH(17,$U$2:$U$1000,0)),"")</f>
        <v/>
      </c>
      <c r="B38" s="334">
        <f t="array" ref="B38">IFERROR(INDEX('Master Stock'!$G$2:$G$1000,MATCH(17,$U$2:$U$1000,0)),"")</f>
        <v/>
      </c>
      <c r="C38" s="335">
        <f t="array" ref="C38">IFERROR(INDEX('Master Stock'!$J$2:$J$1000,MATCH(17,$U$2:$U$1000,0)),"")</f>
        <v/>
      </c>
      <c r="D38" s="334">
        <f>IF(C38="","",MAX(0,TODAY()-C38))</f>
        <v/>
      </c>
      <c r="E38" s="334">
        <f t="array" ref="E38">IFERROR(INDEX('Master Stock'!$D$2:$D$1000,MATCH(17,$V$2:$V$1000,0)),"")</f>
        <v/>
      </c>
      <c r="F38" s="334">
        <f t="array" ref="F38">IFERROR(INDEX('Master Stock'!$G$2:$G$1000,MATCH(17,$V$2:$V$1000,0)),"")</f>
        <v/>
      </c>
      <c r="G38" s="335">
        <f t="array" ref="G38">IFERROR(INDEX('Master Stock'!$L$2:$L$1000,MATCH(17,$V$2:$V$1000,0)),"")</f>
        <v/>
      </c>
      <c r="H38" s="334">
        <f>IF(G38="","",MAX(0,TODAY()-G38))</f>
        <v/>
      </c>
      <c r="I38" s="336">
        <f>IF(E38="","","DUE (30+ Days)")</f>
        <v/>
      </c>
      <c r="J38" s="307" t="n"/>
      <c r="K38" s="307" t="n"/>
      <c r="L38" s="307" t="n"/>
      <c r="M38" s="307" t="n"/>
      <c r="N38" s="307" t="n"/>
      <c r="O38" s="5" t="n"/>
      <c r="P38" s="5" t="n"/>
      <c r="Q38" s="5" t="n"/>
      <c r="R38" s="5" t="n"/>
      <c r="S38" s="5" t="n"/>
      <c r="T38" s="5" t="n"/>
      <c r="U38" s="0">
        <f>IF(AND('Master Stock'!D38&lt;&gt;"",'Master Stock'!H38="OCCUPIED",'Master Stock'!J38&lt;&gt;"",'Master Stock'!K38=""),COUNT($U$1:U37)+1,"")</f>
        <v/>
      </c>
      <c r="V38" s="0">
        <f>IF(AND('Master Stock'!D38&lt;&gt;"",'Master Stock'!L38&lt;&gt;"",'Master Stock'!L38&lt;TODAY()-30),COUNT($V$1:V37)+1,"")</f>
        <v/>
      </c>
    </row>
    <row r="39" ht="8" customHeight="1" s="230">
      <c r="A39" s="337">
        <f t="array" ref="A39">IFERROR(INDEX('Master Stock'!$D$2:$D$1000,MATCH(18,$U$2:$U$1000,0)),"")</f>
        <v/>
      </c>
      <c r="B39" s="337">
        <f t="array" ref="B39">IFERROR(INDEX('Master Stock'!$G$2:$G$1000,MATCH(18,$U$2:$U$1000,0)),"")</f>
        <v/>
      </c>
      <c r="C39" s="338">
        <f t="array" ref="C39">IFERROR(INDEX('Master Stock'!$J$2:$J$1000,MATCH(18,$U$2:$U$1000,0)),"")</f>
        <v/>
      </c>
      <c r="D39" s="337">
        <f>IF(C39="","",MAX(0,TODAY()-C39))</f>
        <v/>
      </c>
      <c r="E39" s="337">
        <f t="array" ref="E39">IFERROR(INDEX('Master Stock'!$D$2:$D$1000,MATCH(18,$V$2:$V$1000,0)),"")</f>
        <v/>
      </c>
      <c r="F39" s="337">
        <f t="array" ref="F39">IFERROR(INDEX('Master Stock'!$G$2:$G$1000,MATCH(18,$V$2:$V$1000,0)),"")</f>
        <v/>
      </c>
      <c r="G39" s="338">
        <f t="array" ref="G39">IFERROR(INDEX('Master Stock'!$L$2:$L$1000,MATCH(18,$V$2:$V$1000,0)),"")</f>
        <v/>
      </c>
      <c r="H39" s="337">
        <f>IF(G39="","",MAX(0,TODAY()-G39))</f>
        <v/>
      </c>
      <c r="I39" s="336">
        <f>IF(E39="","","DUE (30+ Days)")</f>
        <v/>
      </c>
      <c r="J39" s="307" t="n"/>
      <c r="K39" s="307" t="n"/>
      <c r="L39" s="307" t="n"/>
      <c r="M39" s="307" t="n"/>
      <c r="N39" s="307" t="n"/>
      <c r="O39" s="5" t="n"/>
      <c r="P39" s="5" t="n"/>
      <c r="Q39" s="5" t="n"/>
      <c r="R39" s="5" t="n"/>
      <c r="S39" s="5" t="n"/>
      <c r="T39" s="5" t="n"/>
      <c r="U39" s="0">
        <f>IF(AND('Master Stock'!D39&lt;&gt;"",'Master Stock'!H39="OCCUPIED",'Master Stock'!J39&lt;&gt;"",'Master Stock'!K39=""),COUNT($U$1:U38)+1,"")</f>
        <v/>
      </c>
      <c r="V39" s="0">
        <f>IF(AND('Master Stock'!D39&lt;&gt;"",'Master Stock'!L39&lt;&gt;"",'Master Stock'!L39&lt;TODAY()-30),COUNT($V$1:V38)+1,"")</f>
        <v/>
      </c>
    </row>
    <row r="40" ht="8" customHeight="1" s="230">
      <c r="A40" s="334">
        <f t="array" ref="A40">IFERROR(INDEX('Master Stock'!$D$2:$D$1000,MATCH(19,$U$2:$U$1000,0)),"")</f>
        <v/>
      </c>
      <c r="B40" s="334">
        <f t="array" ref="B40">IFERROR(INDEX('Master Stock'!$G$2:$G$1000,MATCH(19,$U$2:$U$1000,0)),"")</f>
        <v/>
      </c>
      <c r="C40" s="335">
        <f t="array" ref="C40">IFERROR(INDEX('Master Stock'!$J$2:$J$1000,MATCH(19,$U$2:$U$1000,0)),"")</f>
        <v/>
      </c>
      <c r="D40" s="334">
        <f>IF(C40="","",MAX(0,TODAY()-C40))</f>
        <v/>
      </c>
      <c r="E40" s="334">
        <f t="array" ref="E40">IFERROR(INDEX('Master Stock'!$D$2:$D$1000,MATCH(19,$V$2:$V$1000,0)),"")</f>
        <v/>
      </c>
      <c r="F40" s="334">
        <f t="array" ref="F40">IFERROR(INDEX('Master Stock'!$G$2:$G$1000,MATCH(19,$V$2:$V$1000,0)),"")</f>
        <v/>
      </c>
      <c r="G40" s="335">
        <f t="array" ref="G40">IFERROR(INDEX('Master Stock'!$L$2:$L$1000,MATCH(19,$V$2:$V$1000,0)),"")</f>
        <v/>
      </c>
      <c r="H40" s="334">
        <f>IF(G40="","",MAX(0,TODAY()-G40))</f>
        <v/>
      </c>
      <c r="I40" s="336">
        <f>IF(E40="","","DUE (30+ Days)")</f>
        <v/>
      </c>
      <c r="J40" s="307" t="n"/>
      <c r="K40" s="307" t="n"/>
      <c r="L40" s="307" t="n"/>
      <c r="M40" s="307" t="n"/>
      <c r="N40" s="307" t="n"/>
      <c r="O40" s="5" t="n"/>
      <c r="P40" s="5" t="n"/>
      <c r="Q40" s="5" t="n"/>
      <c r="R40" s="5" t="n"/>
      <c r="S40" s="5" t="n"/>
      <c r="T40" s="5" t="n"/>
      <c r="U40" s="0">
        <f>IF(AND('Master Stock'!D40&lt;&gt;"",'Master Stock'!H40="OCCUPIED",'Master Stock'!J40&lt;&gt;"",'Master Stock'!K40=""),COUNT($U$1:U39)+1,"")</f>
        <v/>
      </c>
      <c r="V40" s="0">
        <f>IF(AND('Master Stock'!D40&lt;&gt;"",'Master Stock'!L40&lt;&gt;"",'Master Stock'!L40&lt;TODAY()-30),COUNT($V$1:V39)+1,"")</f>
        <v/>
      </c>
    </row>
    <row r="41" ht="30" customHeight="1" s="230">
      <c r="A41" s="340">
        <f t="array" ref="A41">IFERROR(INDEX('Master Stock'!$D$2:$D$1000,MATCH(20,$U$2:$U$1000,0)),"")</f>
        <v/>
      </c>
      <c r="B41" s="340">
        <f t="array" ref="B41">IFERROR(INDEX('Master Stock'!$G$2:$G$1000,MATCH(20,$U$2:$U$1000,0)),"")</f>
        <v/>
      </c>
      <c r="C41" s="341">
        <f t="array" ref="C41">IFERROR(INDEX('Master Stock'!$J$2:$J$1000,MATCH(20,$U$2:$U$1000,0)),"")</f>
        <v/>
      </c>
      <c r="D41" s="342">
        <f>IF(C41="","",MAX(0,TODAY()-C41))</f>
        <v/>
      </c>
      <c r="E41" s="343">
        <f t="array" ref="E41">IFERROR(INDEX('Master Stock'!$D$2:$D$1000,MATCH(20,$V$2:$V$1000,0)),"")</f>
        <v/>
      </c>
      <c r="F41" s="343">
        <f t="array" ref="F41">IFERROR(INDEX('Master Stock'!$G$2:$G$1000,MATCH(20,$V$2:$V$1000,0)),"")</f>
        <v/>
      </c>
      <c r="G41" s="344">
        <f t="array" ref="G41">IFERROR(INDEX('Master Stock'!$L$2:$L$1000,MATCH(20,$V$2:$V$1000,0)),"")</f>
        <v/>
      </c>
      <c r="H41" s="345">
        <f>IF(G41="","",MAX(0,TODAY()-G41))</f>
        <v/>
      </c>
      <c r="I41" s="346">
        <f>IF(E41="","","DUE (30+ Days)")</f>
        <v/>
      </c>
      <c r="J41" s="307" t="n"/>
      <c r="K41" s="307" t="n"/>
      <c r="L41" s="307" t="n"/>
      <c r="M41" s="307" t="n"/>
      <c r="N41" s="307" t="n"/>
      <c r="O41" s="5" t="n"/>
      <c r="P41" s="5" t="n"/>
      <c r="Q41" s="5" t="n"/>
      <c r="R41" s="5" t="n"/>
      <c r="S41" s="5" t="n"/>
      <c r="T41" s="5" t="n"/>
      <c r="U41" s="0">
        <f>IF(AND('Master Stock'!D41&lt;&gt;"",'Master Stock'!H41="OCCUPIED",'Master Stock'!J41&lt;&gt;"",'Master Stock'!K41=""),COUNT($U$1:U40)+1,"")</f>
        <v/>
      </c>
      <c r="V41" s="0">
        <f>IF(AND('Master Stock'!D41&lt;&gt;"",'Master Stock'!L41&lt;&gt;"",'Master Stock'!L41&lt;TODAY()-30),COUNT($V$1:V40)+1,"")</f>
        <v/>
      </c>
    </row>
    <row r="42" ht="7" customHeight="1" s="230">
      <c r="A42" s="347" t="inlineStr">
        <is>
          <t>Total Infested / Under Cover</t>
        </is>
      </c>
      <c r="B42" s="347">
        <f>COUNTIF($U$2:$U$1000,"&gt;0")</f>
        <v/>
      </c>
      <c r="C42" s="347" t="n"/>
      <c r="D42" s="347" t="n"/>
      <c r="E42" s="348" t="inlineStr">
        <is>
          <t>Total Fumigation Due</t>
        </is>
      </c>
      <c r="F42" s="348">
        <f>COUNTIF($V$2:$V$1000,"&gt;0")</f>
        <v/>
      </c>
      <c r="G42" s="348" t="n"/>
      <c r="H42" s="348" t="n"/>
      <c r="I42" s="348" t="n"/>
      <c r="J42" s="307" t="n"/>
      <c r="K42" s="307" t="n"/>
      <c r="L42" s="307" t="n"/>
      <c r="M42" s="307" t="n"/>
      <c r="N42" s="307" t="n"/>
      <c r="O42" s="5" t="n"/>
      <c r="P42" s="5" t="n"/>
      <c r="Q42" s="5" t="n"/>
      <c r="R42" s="5" t="n"/>
      <c r="S42" s="5" t="n"/>
      <c r="T42" s="5" t="n"/>
      <c r="U42" s="0">
        <f>IF(AND('Master Stock'!D42&lt;&gt;"",'Master Stock'!H42="OCCUPIED",'Master Stock'!J42&lt;&gt;"",'Master Stock'!K42=""),COUNT($U$1:U41)+1,"")</f>
        <v/>
      </c>
      <c r="V42" s="0">
        <f>IF(AND('Master Stock'!D42&lt;&gt;"",'Master Stock'!L42&lt;&gt;"",'Master Stock'!L42&lt;TODAY()-30),COUNT($V$1:V41)+1,"")</f>
        <v/>
      </c>
    </row>
    <row r="43" ht="28" customHeight="1" s="230">
      <c r="A43" s="349" t="inlineStr">
        <is>
          <t>STATUS GUIDE     •  NORMAL: Fumigation Days &lt; 25     •  WARNING: 25–30     •  DUE: &gt; 30     •  ATTENTION: Infested / Under Cover</t>
        </is>
      </c>
      <c r="B43" s="349" t="n"/>
      <c r="C43" s="349" t="n"/>
      <c r="D43" s="349" t="n"/>
      <c r="E43" s="349" t="n"/>
      <c r="F43" s="349" t="n"/>
      <c r="G43" s="349" t="n"/>
      <c r="H43" s="349" t="n"/>
      <c r="I43" s="349" t="n"/>
      <c r="J43" s="349" t="n"/>
      <c r="K43" s="349" t="n"/>
      <c r="L43" s="349" t="n"/>
      <c r="M43" s="349" t="n"/>
      <c r="N43" s="349" t="n"/>
      <c r="O43" s="5" t="n"/>
      <c r="P43" s="5" t="n"/>
      <c r="Q43" s="5" t="n"/>
      <c r="R43" s="5" t="n"/>
      <c r="S43" s="5" t="n"/>
      <c r="T43" s="5" t="n"/>
      <c r="U43" s="0">
        <f>IF(AND('Master Stock'!D43&lt;&gt;"",'Master Stock'!H43="OCCUPIED",'Master Stock'!J43&lt;&gt;"",'Master Stock'!K43=""),COUNT($U$1:U42)+1,"")</f>
        <v/>
      </c>
      <c r="V43" s="0">
        <f>IF(AND('Master Stock'!D43&lt;&gt;"",'Master Stock'!L43&lt;&gt;"",'Master Stock'!L43&lt;TODAY()-30),COUNT($V$1:V42)+1,"")</f>
        <v/>
      </c>
    </row>
    <row r="44" hidden="1" ht="7" customHeight="1" s="230">
      <c r="A44" s="299" t="inlineStr">
        <is>
          <t>Shambhu Dayal Meena TA-II FSD Sabarmati</t>
        </is>
      </c>
      <c r="B44" s="233" t="n"/>
      <c r="C44" s="233" t="n"/>
      <c r="D44" s="233" t="n"/>
      <c r="E44" s="233" t="n"/>
      <c r="F44" s="233" t="n"/>
      <c r="G44" s="233" t="n"/>
      <c r="H44" s="233" t="n"/>
      <c r="I44" s="233" t="n"/>
      <c r="J44" s="233" t="n"/>
      <c r="K44" s="233" t="n"/>
      <c r="L44" s="233" t="n"/>
      <c r="M44" s="233" t="n"/>
      <c r="N44" s="232" t="n"/>
      <c r="O44" s="5" t="n"/>
      <c r="P44" s="5" t="n"/>
      <c r="Q44" s="5" t="n"/>
      <c r="R44" s="5" t="n"/>
      <c r="S44" s="5" t="n"/>
      <c r="T44" s="5" t="n"/>
      <c r="U44" s="0">
        <f>IF(AND('Master Stock'!D44&lt;&gt;"",'Master Stock'!H44="OCCUPIED",'Master Stock'!J44&lt;&gt;"",'Master Stock'!K44=""),COUNT($U$1:U43)+1,"")</f>
        <v/>
      </c>
      <c r="V44" s="0">
        <f>IF(AND('Master Stock'!D44&lt;&gt;"",'Master Stock'!L44&lt;&gt;"",'Master Stock'!L44&lt;TODAY()-30),COUNT($V$1:V43)+1,"")</f>
        <v/>
      </c>
    </row>
    <row r="45" ht="15.75" customHeight="1" s="230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0">
        <f>IF(AND('Master Stock'!D45&lt;&gt;"",'Master Stock'!H45="OCCUPIED",'Master Stock'!J45&lt;&gt;"",'Master Stock'!K45=""),COUNT($U$1:U44)+1,"")</f>
        <v/>
      </c>
      <c r="V45" s="0">
        <f>IF(AND('Master Stock'!D45&lt;&gt;"",'Master Stock'!L45&lt;&gt;"",'Master Stock'!L45&lt;TODAY()-30),COUNT($V$1:V44)+1,"")</f>
        <v/>
      </c>
    </row>
    <row r="46" ht="15.75" customHeight="1" s="230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0">
        <f>IF(AND('Master Stock'!D46&lt;&gt;"",'Master Stock'!H46="OCCUPIED",'Master Stock'!J46&lt;&gt;"",'Master Stock'!K46=""),COUNT($U$1:U45)+1,"")</f>
        <v/>
      </c>
      <c r="V46" s="0">
        <f>IF(AND('Master Stock'!D46&lt;&gt;"",'Master Stock'!L46&lt;&gt;"",'Master Stock'!L46&lt;TODAY()-30),COUNT($V$1:V45)+1,"")</f>
        <v/>
      </c>
    </row>
    <row r="47" ht="15.75" customHeight="1" s="230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0">
        <f>IF(AND('Master Stock'!D47&lt;&gt;"",'Master Stock'!H47="OCCUPIED",'Master Stock'!J47&lt;&gt;"",'Master Stock'!K47=""),COUNT($U$1:U46)+1,"")</f>
        <v/>
      </c>
      <c r="V47" s="0">
        <f>IF(AND('Master Stock'!D47&lt;&gt;"",'Master Stock'!L47&lt;&gt;"",'Master Stock'!L47&lt;TODAY()-30),COUNT($V$1:V46)+1,"")</f>
        <v/>
      </c>
    </row>
    <row r="48" ht="15.75" customHeight="1" s="230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0">
        <f>IF(AND('Master Stock'!D48&lt;&gt;"",'Master Stock'!H48="OCCUPIED",'Master Stock'!J48&lt;&gt;"",'Master Stock'!K48=""),COUNT($U$1:U47)+1,"")</f>
        <v/>
      </c>
      <c r="V48" s="0">
        <f>IF(AND('Master Stock'!D48&lt;&gt;"",'Master Stock'!L48&lt;&gt;"",'Master Stock'!L48&lt;TODAY()-30),COUNT($V$1:V47)+1,"")</f>
        <v/>
      </c>
    </row>
    <row r="49" ht="15.75" customHeight="1" s="230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0">
        <f>IF(AND('Master Stock'!D49&lt;&gt;"",'Master Stock'!H49="OCCUPIED",'Master Stock'!J49&lt;&gt;"",'Master Stock'!K49=""),COUNT($U$1:U48)+1,"")</f>
        <v/>
      </c>
      <c r="V49" s="0">
        <f>IF(AND('Master Stock'!D49&lt;&gt;"",'Master Stock'!L49&lt;&gt;"",'Master Stock'!L49&lt;TODAY()-30),COUNT($V$1:V48)+1,"")</f>
        <v/>
      </c>
    </row>
    <row r="50" ht="15.75" customHeight="1" s="23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0">
        <f>IF(AND('Master Stock'!D50&lt;&gt;"",'Master Stock'!H50="OCCUPIED",'Master Stock'!J50&lt;&gt;"",'Master Stock'!K50=""),COUNT($U$1:U49)+1,"")</f>
        <v/>
      </c>
      <c r="V50" s="0">
        <f>IF(AND('Master Stock'!D50&lt;&gt;"",'Master Stock'!L50&lt;&gt;"",'Master Stock'!L50&lt;TODAY()-30),COUNT($V$1:V49)+1,"")</f>
        <v/>
      </c>
    </row>
    <row r="51" ht="15.75" customHeight="1" s="230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0">
        <f>IF(AND('Master Stock'!D51&lt;&gt;"",'Master Stock'!H51="OCCUPIED",'Master Stock'!J51&lt;&gt;"",'Master Stock'!K51=""),COUNT($U$1:U50)+1,"")</f>
        <v/>
      </c>
      <c r="V51" s="0">
        <f>IF(AND('Master Stock'!D51&lt;&gt;"",'Master Stock'!L51&lt;&gt;"",'Master Stock'!L51&lt;TODAY()-30),COUNT($V$1:V50)+1,"")</f>
        <v/>
      </c>
    </row>
    <row r="52" ht="15.75" customHeight="1" s="230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0">
        <f>IF(AND('Master Stock'!D52&lt;&gt;"",'Master Stock'!H52="OCCUPIED",'Master Stock'!J52&lt;&gt;"",'Master Stock'!K52=""),COUNT($U$1:U51)+1,"")</f>
        <v/>
      </c>
      <c r="V52" s="0">
        <f>IF(AND('Master Stock'!D52&lt;&gt;"",'Master Stock'!L52&lt;&gt;"",'Master Stock'!L52&lt;TODAY()-30),COUNT($V$1:V51)+1,"")</f>
        <v/>
      </c>
    </row>
    <row r="53" ht="15.75" customHeight="1" s="230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0">
        <f>IF(AND('Master Stock'!D53&lt;&gt;"",'Master Stock'!H53="OCCUPIED",'Master Stock'!J53&lt;&gt;"",'Master Stock'!K53=""),COUNT($U$1:U52)+1,"")</f>
        <v/>
      </c>
      <c r="V53" s="0">
        <f>IF(AND('Master Stock'!D53&lt;&gt;"",'Master Stock'!L53&lt;&gt;"",'Master Stock'!L53&lt;TODAY()-30),COUNT($V$1:V52)+1,"")</f>
        <v/>
      </c>
    </row>
    <row r="54" ht="15.75" customHeight="1" s="230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0">
        <f>IF(AND('Master Stock'!D54&lt;&gt;"",'Master Stock'!H54="OCCUPIED",'Master Stock'!J54&lt;&gt;"",'Master Stock'!K54=""),COUNT($U$1:U53)+1,"")</f>
        <v/>
      </c>
      <c r="V54" s="0">
        <f>IF(AND('Master Stock'!D54&lt;&gt;"",'Master Stock'!L54&lt;&gt;"",'Master Stock'!L54&lt;TODAY()-30),COUNT($V$1:V53)+1,"")</f>
        <v/>
      </c>
    </row>
    <row r="55" ht="15.75" customHeight="1" s="230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0">
        <f>IF(AND('Master Stock'!D55&lt;&gt;"",'Master Stock'!H55="OCCUPIED",'Master Stock'!J55&lt;&gt;"",'Master Stock'!K55=""),COUNT($U$1:U54)+1,"")</f>
        <v/>
      </c>
      <c r="V55" s="0">
        <f>IF(AND('Master Stock'!D55&lt;&gt;"",'Master Stock'!L55&lt;&gt;"",'Master Stock'!L55&lt;TODAY()-30),COUNT($V$1:V54)+1,"")</f>
        <v/>
      </c>
    </row>
    <row r="56" ht="15.75" customHeight="1" s="230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0">
        <f>IF(AND('Master Stock'!D56&lt;&gt;"",'Master Stock'!H56="OCCUPIED",'Master Stock'!J56&lt;&gt;"",'Master Stock'!K56=""),COUNT($U$1:U55)+1,"")</f>
        <v/>
      </c>
      <c r="V56" s="0">
        <f>IF(AND('Master Stock'!D56&lt;&gt;"",'Master Stock'!L56&lt;&gt;"",'Master Stock'!L56&lt;TODAY()-30),COUNT($V$1:V55)+1,"")</f>
        <v/>
      </c>
    </row>
    <row r="57" ht="15.75" customHeight="1" s="230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0">
        <f>IF(AND('Master Stock'!D57&lt;&gt;"",'Master Stock'!H57="OCCUPIED",'Master Stock'!J57&lt;&gt;"",'Master Stock'!K57=""),COUNT($U$1:U56)+1,"")</f>
        <v/>
      </c>
      <c r="V57" s="0">
        <f>IF(AND('Master Stock'!D57&lt;&gt;"",'Master Stock'!L57&lt;&gt;"",'Master Stock'!L57&lt;TODAY()-30),COUNT($V$1:V56)+1,"")</f>
        <v/>
      </c>
    </row>
    <row r="58" ht="15.75" customHeight="1" s="230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0">
        <f>IF(AND('Master Stock'!D58&lt;&gt;"",'Master Stock'!H58="OCCUPIED",'Master Stock'!J58&lt;&gt;"",'Master Stock'!K58=""),COUNT($U$1:U57)+1,"")</f>
        <v/>
      </c>
      <c r="V58" s="0">
        <f>IF(AND('Master Stock'!D58&lt;&gt;"",'Master Stock'!L58&lt;&gt;"",'Master Stock'!L58&lt;TODAY()-30),COUNT($V$1:V57)+1,"")</f>
        <v/>
      </c>
    </row>
    <row r="59" ht="15.75" customHeight="1" s="230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0">
        <f>IF(AND('Master Stock'!D59&lt;&gt;"",'Master Stock'!H59="OCCUPIED",'Master Stock'!J59&lt;&gt;"",'Master Stock'!K59=""),COUNT($U$1:U58)+1,"")</f>
        <v/>
      </c>
      <c r="V59" s="0">
        <f>IF(AND('Master Stock'!D59&lt;&gt;"",'Master Stock'!L59&lt;&gt;"",'Master Stock'!L59&lt;TODAY()-30),COUNT($V$1:V58)+1,"")</f>
        <v/>
      </c>
    </row>
    <row r="60" ht="15.75" customHeight="1" s="23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0">
        <f>IF(AND('Master Stock'!D60&lt;&gt;"",'Master Stock'!H60="OCCUPIED",'Master Stock'!J60&lt;&gt;"",'Master Stock'!K60=""),COUNT($U$1:U59)+1,"")</f>
        <v/>
      </c>
      <c r="V60" s="0">
        <f>IF(AND('Master Stock'!D60&lt;&gt;"",'Master Stock'!L60&lt;&gt;"",'Master Stock'!L60&lt;TODAY()-30),COUNT($V$1:V59)+1,"")</f>
        <v/>
      </c>
    </row>
    <row r="61" ht="15.75" customHeight="1" s="230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0">
        <f>IF(AND('Master Stock'!D61&lt;&gt;"",'Master Stock'!H61="OCCUPIED",'Master Stock'!J61&lt;&gt;"",'Master Stock'!K61=""),COUNT($U$1:U60)+1,"")</f>
        <v/>
      </c>
      <c r="V61" s="0">
        <f>IF(AND('Master Stock'!D61&lt;&gt;"",'Master Stock'!L61&lt;&gt;"",'Master Stock'!L61&lt;TODAY()-30),COUNT($V$1:V60)+1,"")</f>
        <v/>
      </c>
    </row>
    <row r="62" ht="15.75" customHeight="1" s="230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0">
        <f>IF(AND('Master Stock'!D62&lt;&gt;"",'Master Stock'!H62="OCCUPIED",'Master Stock'!J62&lt;&gt;"",'Master Stock'!K62=""),COUNT($U$1:U61)+1,"")</f>
        <v/>
      </c>
      <c r="V62" s="0">
        <f>IF(AND('Master Stock'!D62&lt;&gt;"",'Master Stock'!L62&lt;&gt;"",'Master Stock'!L62&lt;TODAY()-30),COUNT($V$1:V61)+1,"")</f>
        <v/>
      </c>
    </row>
    <row r="63" ht="15.75" customHeight="1" s="230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0">
        <f>IF(AND('Master Stock'!D63&lt;&gt;"",'Master Stock'!H63="OCCUPIED",'Master Stock'!J63&lt;&gt;"",'Master Stock'!K63=""),COUNT($U$1:U62)+1,"")</f>
        <v/>
      </c>
      <c r="V63" s="0">
        <f>IF(AND('Master Stock'!D63&lt;&gt;"",'Master Stock'!L63&lt;&gt;"",'Master Stock'!L63&lt;TODAY()-30),COUNT($V$1:V62)+1,"")</f>
        <v/>
      </c>
    </row>
    <row r="64" ht="15.75" customHeight="1" s="230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0">
        <f>IF(AND('Master Stock'!D64&lt;&gt;"",'Master Stock'!H64="OCCUPIED",'Master Stock'!J64&lt;&gt;"",'Master Stock'!K64=""),COUNT($U$1:U63)+1,"")</f>
        <v/>
      </c>
      <c r="V64" s="0">
        <f>IF(AND('Master Stock'!D64&lt;&gt;"",'Master Stock'!L64&lt;&gt;"",'Master Stock'!L64&lt;TODAY()-30),COUNT($V$1:V63)+1,"")</f>
        <v/>
      </c>
    </row>
    <row r="65" ht="15.75" customHeight="1" s="230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0">
        <f>IF(AND('Master Stock'!D65&lt;&gt;"",'Master Stock'!H65="OCCUPIED",'Master Stock'!J65&lt;&gt;"",'Master Stock'!K65=""),COUNT($U$1:U64)+1,"")</f>
        <v/>
      </c>
      <c r="V65" s="0">
        <f>IF(AND('Master Stock'!D65&lt;&gt;"",'Master Stock'!L65&lt;&gt;"",'Master Stock'!L65&lt;TODAY()-30),COUNT($V$1:V64)+1,"")</f>
        <v/>
      </c>
    </row>
    <row r="66" ht="15.75" customHeight="1" s="230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0">
        <f>IF(AND('Master Stock'!D66&lt;&gt;"",'Master Stock'!H66="OCCUPIED",'Master Stock'!J66&lt;&gt;"",'Master Stock'!K66=""),COUNT($U$1:U65)+1,"")</f>
        <v/>
      </c>
      <c r="V66" s="0">
        <f>IF(AND('Master Stock'!D66&lt;&gt;"",'Master Stock'!L66&lt;&gt;"",'Master Stock'!L66&lt;TODAY()-30),COUNT($V$1:V65)+1,"")</f>
        <v/>
      </c>
    </row>
    <row r="67" ht="15.75" customHeight="1" s="230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0">
        <f>IF(AND('Master Stock'!D67&lt;&gt;"",'Master Stock'!H67="OCCUPIED",'Master Stock'!J67&lt;&gt;"",'Master Stock'!K67=""),COUNT($U$1:U66)+1,"")</f>
        <v/>
      </c>
      <c r="V67" s="0">
        <f>IF(AND('Master Stock'!D67&lt;&gt;"",'Master Stock'!L67&lt;&gt;"",'Master Stock'!L67&lt;TODAY()-30),COUNT($V$1:V66)+1,"")</f>
        <v/>
      </c>
    </row>
    <row r="68" ht="15.75" customHeight="1" s="230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0">
        <f>IF(AND('Master Stock'!D68&lt;&gt;"",'Master Stock'!H68="OCCUPIED",'Master Stock'!J68&lt;&gt;"",'Master Stock'!K68=""),COUNT($U$1:U67)+1,"")</f>
        <v/>
      </c>
      <c r="V68" s="0">
        <f>IF(AND('Master Stock'!D68&lt;&gt;"",'Master Stock'!L68&lt;&gt;"",'Master Stock'!L68&lt;TODAY()-30),COUNT($V$1:V67)+1,"")</f>
        <v/>
      </c>
    </row>
    <row r="69" ht="15.75" customHeight="1" s="230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0">
        <f>IF(AND('Master Stock'!D69&lt;&gt;"",'Master Stock'!H69="OCCUPIED",'Master Stock'!J69&lt;&gt;"",'Master Stock'!K69=""),COUNT($U$1:U68)+1,"")</f>
        <v/>
      </c>
      <c r="V69" s="0">
        <f>IF(AND('Master Stock'!D69&lt;&gt;"",'Master Stock'!L69&lt;&gt;"",'Master Stock'!L69&lt;TODAY()-30),COUNT($V$1:V68)+1,"")</f>
        <v/>
      </c>
    </row>
    <row r="70" ht="15.75" customHeight="1" s="23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0">
        <f>IF(AND('Master Stock'!D70&lt;&gt;"",'Master Stock'!H70="OCCUPIED",'Master Stock'!J70&lt;&gt;"",'Master Stock'!K70=""),COUNT($U$1:U69)+1,"")</f>
        <v/>
      </c>
      <c r="V70" s="0">
        <f>IF(AND('Master Stock'!D70&lt;&gt;"",'Master Stock'!L70&lt;&gt;"",'Master Stock'!L70&lt;TODAY()-30),COUNT($V$1:V69)+1,"")</f>
        <v/>
      </c>
    </row>
    <row r="71" ht="15.75" customHeight="1" s="230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0">
        <f>IF(AND('Master Stock'!D71&lt;&gt;"",'Master Stock'!H71="OCCUPIED",'Master Stock'!J71&lt;&gt;"",'Master Stock'!K71=""),COUNT($U$1:U70)+1,"")</f>
        <v/>
      </c>
      <c r="V71" s="0">
        <f>IF(AND('Master Stock'!D71&lt;&gt;"",'Master Stock'!L71&lt;&gt;"",'Master Stock'!L71&lt;TODAY()-30),COUNT($V$1:V70)+1,"")</f>
        <v/>
      </c>
    </row>
    <row r="72" ht="15.75" customHeight="1" s="230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0">
        <f>IF(AND('Master Stock'!D72&lt;&gt;"",'Master Stock'!H72="OCCUPIED",'Master Stock'!J72&lt;&gt;"",'Master Stock'!K72=""),COUNT($U$1:U71)+1,"")</f>
        <v/>
      </c>
      <c r="V72" s="0">
        <f>IF(AND('Master Stock'!D72&lt;&gt;"",'Master Stock'!L72&lt;&gt;"",'Master Stock'!L72&lt;TODAY()-30),COUNT($V$1:V71)+1,"")</f>
        <v/>
      </c>
    </row>
    <row r="73" ht="15.75" customHeight="1" s="230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0">
        <f>IF(AND('Master Stock'!D73&lt;&gt;"",'Master Stock'!H73="OCCUPIED",'Master Stock'!J73&lt;&gt;"",'Master Stock'!K73=""),COUNT($U$1:U72)+1,"")</f>
        <v/>
      </c>
      <c r="V73" s="0">
        <f>IF(AND('Master Stock'!D73&lt;&gt;"",'Master Stock'!L73&lt;&gt;"",'Master Stock'!L73&lt;TODAY()-30),COUNT($V$1:V72)+1,"")</f>
        <v/>
      </c>
    </row>
    <row r="74" ht="15.75" customHeight="1" s="230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0">
        <f>IF(AND('Master Stock'!D74&lt;&gt;"",'Master Stock'!H74="OCCUPIED",'Master Stock'!J74&lt;&gt;"",'Master Stock'!K74=""),COUNT($U$1:U73)+1,"")</f>
        <v/>
      </c>
      <c r="V74" s="0">
        <f>IF(AND('Master Stock'!D74&lt;&gt;"",'Master Stock'!L74&lt;&gt;"",'Master Stock'!L74&lt;TODAY()-30),COUNT($V$1:V73)+1,"")</f>
        <v/>
      </c>
    </row>
    <row r="75" ht="15.75" customHeight="1" s="230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0">
        <f>IF(AND('Master Stock'!D75&lt;&gt;"",'Master Stock'!H75="OCCUPIED",'Master Stock'!J75&lt;&gt;"",'Master Stock'!K75=""),COUNT($U$1:U74)+1,"")</f>
        <v/>
      </c>
      <c r="V75" s="0">
        <f>IF(AND('Master Stock'!D75&lt;&gt;"",'Master Stock'!L75&lt;&gt;"",'Master Stock'!L75&lt;TODAY()-30),COUNT($V$1:V74)+1,"")</f>
        <v/>
      </c>
    </row>
    <row r="76" ht="15.75" customHeight="1" s="230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0">
        <f>IF(AND('Master Stock'!D76&lt;&gt;"",'Master Stock'!H76="OCCUPIED",'Master Stock'!J76&lt;&gt;"",'Master Stock'!K76=""),COUNT($U$1:U75)+1,"")</f>
        <v/>
      </c>
      <c r="V76" s="0">
        <f>IF(AND('Master Stock'!D76&lt;&gt;"",'Master Stock'!L76&lt;&gt;"",'Master Stock'!L76&lt;TODAY()-30),COUNT($V$1:V75)+1,"")</f>
        <v/>
      </c>
    </row>
    <row r="77" ht="15.75" customHeight="1" s="230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0">
        <f>IF(AND('Master Stock'!D77&lt;&gt;"",'Master Stock'!H77="OCCUPIED",'Master Stock'!J77&lt;&gt;"",'Master Stock'!K77=""),COUNT($U$1:U76)+1,"")</f>
        <v/>
      </c>
      <c r="V77" s="0">
        <f>IF(AND('Master Stock'!D77&lt;&gt;"",'Master Stock'!L77&lt;&gt;"",'Master Stock'!L77&lt;TODAY()-30),COUNT($V$1:V76)+1,"")</f>
        <v/>
      </c>
    </row>
    <row r="78" ht="15.75" customHeight="1" s="230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0">
        <f>IF(AND('Master Stock'!D78&lt;&gt;"",'Master Stock'!H78="OCCUPIED",'Master Stock'!J78&lt;&gt;"",'Master Stock'!K78=""),COUNT($U$1:U77)+1,"")</f>
        <v/>
      </c>
      <c r="V78" s="0">
        <f>IF(AND('Master Stock'!D78&lt;&gt;"",'Master Stock'!L78&lt;&gt;"",'Master Stock'!L78&lt;TODAY()-30),COUNT($V$1:V77)+1,"")</f>
        <v/>
      </c>
    </row>
    <row r="79" ht="15.75" customHeight="1" s="230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0">
        <f>IF(AND('Master Stock'!D79&lt;&gt;"",'Master Stock'!H79="OCCUPIED",'Master Stock'!J79&lt;&gt;"",'Master Stock'!K79=""),COUNT($U$1:U78)+1,"")</f>
        <v/>
      </c>
      <c r="V79" s="0">
        <f>IF(AND('Master Stock'!D79&lt;&gt;"",'Master Stock'!L79&lt;&gt;"",'Master Stock'!L79&lt;TODAY()-30),COUNT($V$1:V78)+1,"")</f>
        <v/>
      </c>
    </row>
    <row r="80" ht="15.75" customHeight="1" s="23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0">
        <f>IF(AND('Master Stock'!D80&lt;&gt;"",'Master Stock'!H80="OCCUPIED",'Master Stock'!J80&lt;&gt;"",'Master Stock'!K80=""),COUNT($U$1:U79)+1,"")</f>
        <v/>
      </c>
      <c r="V80" s="0">
        <f>IF(AND('Master Stock'!D80&lt;&gt;"",'Master Stock'!L80&lt;&gt;"",'Master Stock'!L80&lt;TODAY()-30),COUNT($V$1:V79)+1,"")</f>
        <v/>
      </c>
    </row>
    <row r="81" ht="15.75" customHeight="1" s="230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0">
        <f>IF(AND('Master Stock'!D81&lt;&gt;"",'Master Stock'!H81="OCCUPIED",'Master Stock'!J81&lt;&gt;"",'Master Stock'!K81=""),COUNT($U$1:U80)+1,"")</f>
        <v/>
      </c>
      <c r="V81" s="0">
        <f>IF(AND('Master Stock'!D81&lt;&gt;"",'Master Stock'!L81&lt;&gt;"",'Master Stock'!L81&lt;TODAY()-30),COUNT($V$1:V80)+1,"")</f>
        <v/>
      </c>
    </row>
    <row r="82" ht="15.75" customHeight="1" s="230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0">
        <f>IF(AND('Master Stock'!D82&lt;&gt;"",'Master Stock'!H82="OCCUPIED",'Master Stock'!J82&lt;&gt;"",'Master Stock'!K82=""),COUNT($U$1:U81)+1,"")</f>
        <v/>
      </c>
      <c r="V82" s="0">
        <f>IF(AND('Master Stock'!D82&lt;&gt;"",'Master Stock'!L82&lt;&gt;"",'Master Stock'!L82&lt;TODAY()-30),COUNT($V$1:V81)+1,"")</f>
        <v/>
      </c>
    </row>
    <row r="83" ht="15.75" customHeight="1" s="230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0">
        <f>IF(AND('Master Stock'!D83&lt;&gt;"",'Master Stock'!H83="OCCUPIED",'Master Stock'!J83&lt;&gt;"",'Master Stock'!K83=""),COUNT($U$1:U82)+1,"")</f>
        <v/>
      </c>
      <c r="V83" s="0">
        <f>IF(AND('Master Stock'!D83&lt;&gt;"",'Master Stock'!L83&lt;&gt;"",'Master Stock'!L83&lt;TODAY()-30),COUNT($V$1:V82)+1,"")</f>
        <v/>
      </c>
    </row>
    <row r="84" ht="15.75" customHeight="1" s="230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0">
        <f>IF(AND('Master Stock'!D84&lt;&gt;"",'Master Stock'!H84="OCCUPIED",'Master Stock'!J84&lt;&gt;"",'Master Stock'!K84=""),COUNT($U$1:U83)+1,"")</f>
        <v/>
      </c>
      <c r="V84" s="0">
        <f>IF(AND('Master Stock'!D84&lt;&gt;"",'Master Stock'!L84&lt;&gt;"",'Master Stock'!L84&lt;TODAY()-30),COUNT($V$1:V83)+1,"")</f>
        <v/>
      </c>
    </row>
    <row r="85" ht="15.75" customHeight="1" s="230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0">
        <f>IF(AND('Master Stock'!D85&lt;&gt;"",'Master Stock'!H85="OCCUPIED",'Master Stock'!J85&lt;&gt;"",'Master Stock'!K85=""),COUNT($U$1:U84)+1,"")</f>
        <v/>
      </c>
      <c r="V85" s="0">
        <f>IF(AND('Master Stock'!D85&lt;&gt;"",'Master Stock'!L85&lt;&gt;"",'Master Stock'!L85&lt;TODAY()-30),COUNT($V$1:V84)+1,"")</f>
        <v/>
      </c>
    </row>
    <row r="86" ht="15.75" customHeight="1" s="230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0">
        <f>IF(AND('Master Stock'!D86&lt;&gt;"",'Master Stock'!H86="OCCUPIED",'Master Stock'!J86&lt;&gt;"",'Master Stock'!K86=""),COUNT($U$1:U85)+1,"")</f>
        <v/>
      </c>
      <c r="V86" s="0">
        <f>IF(AND('Master Stock'!D86&lt;&gt;"",'Master Stock'!L86&lt;&gt;"",'Master Stock'!L86&lt;TODAY()-30),COUNT($V$1:V85)+1,"")</f>
        <v/>
      </c>
    </row>
    <row r="87" ht="15.75" customHeight="1" s="230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0">
        <f>IF(AND('Master Stock'!D87&lt;&gt;"",'Master Stock'!H87="OCCUPIED",'Master Stock'!J87&lt;&gt;"",'Master Stock'!K87=""),COUNT($U$1:U86)+1,"")</f>
        <v/>
      </c>
      <c r="V87" s="0">
        <f>IF(AND('Master Stock'!D87&lt;&gt;"",'Master Stock'!L87&lt;&gt;"",'Master Stock'!L87&lt;TODAY()-30),COUNT($V$1:V86)+1,"")</f>
        <v/>
      </c>
    </row>
    <row r="88" ht="15.75" customHeight="1" s="230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0">
        <f>IF(AND('Master Stock'!D88&lt;&gt;"",'Master Stock'!H88="OCCUPIED",'Master Stock'!J88&lt;&gt;"",'Master Stock'!K88=""),COUNT($U$1:U87)+1,"")</f>
        <v/>
      </c>
      <c r="V88" s="0">
        <f>IF(AND('Master Stock'!D88&lt;&gt;"",'Master Stock'!L88&lt;&gt;"",'Master Stock'!L88&lt;TODAY()-30),COUNT($V$1:V87)+1,"")</f>
        <v/>
      </c>
    </row>
    <row r="89" ht="15.75" customHeight="1" s="230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0">
        <f>IF(AND('Master Stock'!D89&lt;&gt;"",'Master Stock'!H89="OCCUPIED",'Master Stock'!J89&lt;&gt;"",'Master Stock'!K89=""),COUNT($U$1:U88)+1,"")</f>
        <v/>
      </c>
      <c r="V89" s="0">
        <f>IF(AND('Master Stock'!D89&lt;&gt;"",'Master Stock'!L89&lt;&gt;"",'Master Stock'!L89&lt;TODAY()-30),COUNT($V$1:V88)+1,"")</f>
        <v/>
      </c>
    </row>
    <row r="90" ht="15.75" customHeight="1" s="23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0">
        <f>IF(AND('Master Stock'!D90&lt;&gt;"",'Master Stock'!H90="OCCUPIED",'Master Stock'!J90&lt;&gt;"",'Master Stock'!K90=""),COUNT($U$1:U89)+1,"")</f>
        <v/>
      </c>
      <c r="V90" s="0">
        <f>IF(AND('Master Stock'!D90&lt;&gt;"",'Master Stock'!L90&lt;&gt;"",'Master Stock'!L90&lt;TODAY()-30),COUNT($V$1:V89)+1,"")</f>
        <v/>
      </c>
    </row>
    <row r="91" ht="15.75" customHeight="1" s="230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0">
        <f>IF(AND('Master Stock'!D91&lt;&gt;"",'Master Stock'!H91="OCCUPIED",'Master Stock'!J91&lt;&gt;"",'Master Stock'!K91=""),COUNT($U$1:U90)+1,"")</f>
        <v/>
      </c>
      <c r="V91" s="0">
        <f>IF(AND('Master Stock'!D91&lt;&gt;"",'Master Stock'!L91&lt;&gt;"",'Master Stock'!L91&lt;TODAY()-30),COUNT($V$1:V90)+1,"")</f>
        <v/>
      </c>
    </row>
    <row r="92" ht="15.75" customHeight="1" s="230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0">
        <f>IF(AND('Master Stock'!D92&lt;&gt;"",'Master Stock'!H92="OCCUPIED",'Master Stock'!J92&lt;&gt;"",'Master Stock'!K92=""),COUNT($U$1:U91)+1,"")</f>
        <v/>
      </c>
      <c r="V92" s="0">
        <f>IF(AND('Master Stock'!D92&lt;&gt;"",'Master Stock'!L92&lt;&gt;"",'Master Stock'!L92&lt;TODAY()-30),COUNT($V$1:V91)+1,"")</f>
        <v/>
      </c>
    </row>
    <row r="93" ht="15.75" customHeight="1" s="230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0">
        <f>IF(AND('Master Stock'!D93&lt;&gt;"",'Master Stock'!H93="OCCUPIED",'Master Stock'!J93&lt;&gt;"",'Master Stock'!K93=""),COUNT($U$1:U92)+1,"")</f>
        <v/>
      </c>
      <c r="V93" s="0">
        <f>IF(AND('Master Stock'!D93&lt;&gt;"",'Master Stock'!L93&lt;&gt;"",'Master Stock'!L93&lt;TODAY()-30),COUNT($V$1:V92)+1,"")</f>
        <v/>
      </c>
    </row>
    <row r="94" ht="15.75" customHeight="1" s="230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0">
        <f>IF(AND('Master Stock'!D94&lt;&gt;"",'Master Stock'!H94="OCCUPIED",'Master Stock'!J94&lt;&gt;"",'Master Stock'!K94=""),COUNT($U$1:U93)+1,"")</f>
        <v/>
      </c>
      <c r="V94" s="0">
        <f>IF(AND('Master Stock'!D94&lt;&gt;"",'Master Stock'!L94&lt;&gt;"",'Master Stock'!L94&lt;TODAY()-30),COUNT($V$1:V93)+1,"")</f>
        <v/>
      </c>
    </row>
    <row r="95" ht="15.75" customHeight="1" s="230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0">
        <f>IF(AND('Master Stock'!D95&lt;&gt;"",'Master Stock'!H95="OCCUPIED",'Master Stock'!J95&lt;&gt;"",'Master Stock'!K95=""),COUNT($U$1:U94)+1,"")</f>
        <v/>
      </c>
      <c r="V95" s="0">
        <f>IF(AND('Master Stock'!D95&lt;&gt;"",'Master Stock'!L95&lt;&gt;"",'Master Stock'!L95&lt;TODAY()-30),COUNT($V$1:V94)+1,"")</f>
        <v/>
      </c>
    </row>
    <row r="96" ht="15.75" customHeight="1" s="230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0">
        <f>IF(AND('Master Stock'!D96&lt;&gt;"",'Master Stock'!H96="OCCUPIED",'Master Stock'!J96&lt;&gt;"",'Master Stock'!K96=""),COUNT($U$1:U95)+1,"")</f>
        <v/>
      </c>
      <c r="V96" s="0">
        <f>IF(AND('Master Stock'!D96&lt;&gt;"",'Master Stock'!L96&lt;&gt;"",'Master Stock'!L96&lt;TODAY()-30),COUNT($V$1:V95)+1,"")</f>
        <v/>
      </c>
    </row>
    <row r="97" ht="15.75" customHeight="1" s="230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0">
        <f>IF(AND('Master Stock'!D97&lt;&gt;"",'Master Stock'!H97="OCCUPIED",'Master Stock'!J97&lt;&gt;"",'Master Stock'!K97=""),COUNT($U$1:U96)+1,"")</f>
        <v/>
      </c>
      <c r="V97" s="0">
        <f>IF(AND('Master Stock'!D97&lt;&gt;"",'Master Stock'!L97&lt;&gt;"",'Master Stock'!L97&lt;TODAY()-30),COUNT($V$1:V96)+1,"")</f>
        <v/>
      </c>
    </row>
    <row r="98" ht="15.75" customHeight="1" s="230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0">
        <f>IF(AND('Master Stock'!D98&lt;&gt;"",'Master Stock'!H98="OCCUPIED",'Master Stock'!J98&lt;&gt;"",'Master Stock'!K98=""),COUNT($U$1:U97)+1,"")</f>
        <v/>
      </c>
      <c r="V98" s="0">
        <f>IF(AND('Master Stock'!D98&lt;&gt;"",'Master Stock'!L98&lt;&gt;"",'Master Stock'!L98&lt;TODAY()-30),COUNT($V$1:V97)+1,"")</f>
        <v/>
      </c>
    </row>
    <row r="99" ht="15.75" customHeight="1" s="230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0">
        <f>IF(AND('Master Stock'!D99&lt;&gt;"",'Master Stock'!H99="OCCUPIED",'Master Stock'!J99&lt;&gt;"",'Master Stock'!K99=""),COUNT($U$1:U98)+1,"")</f>
        <v/>
      </c>
      <c r="V99" s="0">
        <f>IF(AND('Master Stock'!D99&lt;&gt;"",'Master Stock'!L99&lt;&gt;"",'Master Stock'!L99&lt;TODAY()-30),COUNT($V$1:V98)+1,"")</f>
        <v/>
      </c>
    </row>
    <row r="100" ht="15.75" customHeight="1" s="23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0">
        <f>IF(AND('Master Stock'!D100&lt;&gt;"",'Master Stock'!H100="OCCUPIED",'Master Stock'!J100&lt;&gt;"",'Master Stock'!K100=""),COUNT($U$1:U99)+1,"")</f>
        <v/>
      </c>
      <c r="V100" s="0">
        <f>IF(AND('Master Stock'!D100&lt;&gt;"",'Master Stock'!L100&lt;&gt;"",'Master Stock'!L100&lt;TODAY()-30),COUNT($V$1:V99)+1,"")</f>
        <v/>
      </c>
    </row>
    <row r="101" ht="15.75" customHeight="1" s="230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0">
        <f>IF(AND('Master Stock'!D101&lt;&gt;"",'Master Stock'!H101="OCCUPIED",'Master Stock'!J101&lt;&gt;"",'Master Stock'!K101=""),COUNT($U$1:U100)+1,"")</f>
        <v/>
      </c>
      <c r="V101" s="0">
        <f>IF(AND('Master Stock'!D101&lt;&gt;"",'Master Stock'!L101&lt;&gt;"",'Master Stock'!L101&lt;TODAY()-30),COUNT($V$1:V100)+1,"")</f>
        <v/>
      </c>
    </row>
    <row r="102" ht="15.75" customHeight="1" s="230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0">
        <f>IF(AND('Master Stock'!D102&lt;&gt;"",'Master Stock'!H102="OCCUPIED",'Master Stock'!J102&lt;&gt;"",'Master Stock'!K102=""),COUNT($U$1:U101)+1,"")</f>
        <v/>
      </c>
      <c r="V102" s="0">
        <f>IF(AND('Master Stock'!D102&lt;&gt;"",'Master Stock'!L102&lt;&gt;"",'Master Stock'!L102&lt;TODAY()-30),COUNT($V$1:V101)+1,"")</f>
        <v/>
      </c>
    </row>
    <row r="103" ht="15.75" customHeight="1" s="230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0">
        <f>IF(AND('Master Stock'!D103&lt;&gt;"",'Master Stock'!H103="OCCUPIED",'Master Stock'!J103&lt;&gt;"",'Master Stock'!K103=""),COUNT($U$1:U102)+1,"")</f>
        <v/>
      </c>
      <c r="V103" s="0">
        <f>IF(AND('Master Stock'!D103&lt;&gt;"",'Master Stock'!L103&lt;&gt;"",'Master Stock'!L103&lt;TODAY()-30),COUNT($V$1:V102)+1,"")</f>
        <v/>
      </c>
    </row>
    <row r="104" ht="15.75" customHeight="1" s="230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0">
        <f>IF(AND('Master Stock'!D104&lt;&gt;"",'Master Stock'!H104="OCCUPIED",'Master Stock'!J104&lt;&gt;"",'Master Stock'!K104=""),COUNT($U$1:U103)+1,"")</f>
        <v/>
      </c>
      <c r="V104" s="0">
        <f>IF(AND('Master Stock'!D104&lt;&gt;"",'Master Stock'!L104&lt;&gt;"",'Master Stock'!L104&lt;TODAY()-30),COUNT($V$1:V103)+1,"")</f>
        <v/>
      </c>
    </row>
    <row r="105" ht="15.75" customHeight="1" s="230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0">
        <f>IF(AND('Master Stock'!D105&lt;&gt;"",'Master Stock'!H105="OCCUPIED",'Master Stock'!J105&lt;&gt;"",'Master Stock'!K105=""),COUNT($U$1:U104)+1,"")</f>
        <v/>
      </c>
      <c r="V105" s="0">
        <f>IF(AND('Master Stock'!D105&lt;&gt;"",'Master Stock'!L105&lt;&gt;"",'Master Stock'!L105&lt;TODAY()-30),COUNT($V$1:V104)+1,"")</f>
        <v/>
      </c>
    </row>
    <row r="106" ht="15.75" customHeight="1" s="230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0">
        <f>IF(AND('Master Stock'!D106&lt;&gt;"",'Master Stock'!H106="OCCUPIED",'Master Stock'!J106&lt;&gt;"",'Master Stock'!K106=""),COUNT($U$1:U105)+1,"")</f>
        <v/>
      </c>
      <c r="V106" s="0">
        <f>IF(AND('Master Stock'!D106&lt;&gt;"",'Master Stock'!L106&lt;&gt;"",'Master Stock'!L106&lt;TODAY()-30),COUNT($V$1:V105)+1,"")</f>
        <v/>
      </c>
    </row>
    <row r="107" ht="15.75" customHeight="1" s="230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0">
        <f>IF(AND('Master Stock'!D107&lt;&gt;"",'Master Stock'!H107="OCCUPIED",'Master Stock'!J107&lt;&gt;"",'Master Stock'!K107=""),COUNT($U$1:U106)+1,"")</f>
        <v/>
      </c>
      <c r="V107" s="0">
        <f>IF(AND('Master Stock'!D107&lt;&gt;"",'Master Stock'!L107&lt;&gt;"",'Master Stock'!L107&lt;TODAY()-30),COUNT($V$1:V106)+1,"")</f>
        <v/>
      </c>
    </row>
    <row r="108" ht="15.75" customHeight="1" s="230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0">
        <f>IF(AND('Master Stock'!D108&lt;&gt;"",'Master Stock'!H108="OCCUPIED",'Master Stock'!J108&lt;&gt;"",'Master Stock'!K108=""),COUNT($U$1:U107)+1,"")</f>
        <v/>
      </c>
      <c r="V108" s="0">
        <f>IF(AND('Master Stock'!D108&lt;&gt;"",'Master Stock'!L108&lt;&gt;"",'Master Stock'!L108&lt;TODAY()-30),COUNT($V$1:V107)+1,"")</f>
        <v/>
      </c>
    </row>
    <row r="109" ht="15.75" customHeight="1" s="230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0">
        <f>IF(AND('Master Stock'!D109&lt;&gt;"",'Master Stock'!H109="OCCUPIED",'Master Stock'!J109&lt;&gt;"",'Master Stock'!K109=""),COUNT($U$1:U108)+1,"")</f>
        <v/>
      </c>
      <c r="V109" s="0">
        <f>IF(AND('Master Stock'!D109&lt;&gt;"",'Master Stock'!L109&lt;&gt;"",'Master Stock'!L109&lt;TODAY()-30),COUNT($V$1:V108)+1,"")</f>
        <v/>
      </c>
    </row>
    <row r="110" ht="15.75" customHeight="1" s="23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0">
        <f>IF(AND('Master Stock'!D110&lt;&gt;"",'Master Stock'!H110="OCCUPIED",'Master Stock'!J110&lt;&gt;"",'Master Stock'!K110=""),COUNT($U$1:U109)+1,"")</f>
        <v/>
      </c>
      <c r="V110" s="0">
        <f>IF(AND('Master Stock'!D110&lt;&gt;"",'Master Stock'!L110&lt;&gt;"",'Master Stock'!L110&lt;TODAY()-30),COUNT($V$1:V109)+1,"")</f>
        <v/>
      </c>
    </row>
    <row r="111" ht="15.75" customHeight="1" s="230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0">
        <f>IF(AND('Master Stock'!D111&lt;&gt;"",'Master Stock'!H111="OCCUPIED",'Master Stock'!J111&lt;&gt;"",'Master Stock'!K111=""),COUNT($U$1:U110)+1,"")</f>
        <v/>
      </c>
      <c r="V111" s="0">
        <f>IF(AND('Master Stock'!D111&lt;&gt;"",'Master Stock'!L111&lt;&gt;"",'Master Stock'!L111&lt;TODAY()-30),COUNT($V$1:V110)+1,"")</f>
        <v/>
      </c>
    </row>
    <row r="112" ht="15.75" customHeight="1" s="230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0">
        <f>IF(AND('Master Stock'!D112&lt;&gt;"",'Master Stock'!H112="OCCUPIED",'Master Stock'!J112&lt;&gt;"",'Master Stock'!K112=""),COUNT($U$1:U111)+1,"")</f>
        <v/>
      </c>
      <c r="V112" s="0">
        <f>IF(AND('Master Stock'!D112&lt;&gt;"",'Master Stock'!L112&lt;&gt;"",'Master Stock'!L112&lt;TODAY()-30),COUNT($V$1:V111)+1,"")</f>
        <v/>
      </c>
    </row>
    <row r="113" ht="15.75" customHeight="1" s="230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0">
        <f>IF(AND('Master Stock'!D113&lt;&gt;"",'Master Stock'!H113="OCCUPIED",'Master Stock'!J113&lt;&gt;"",'Master Stock'!K113=""),COUNT($U$1:U112)+1,"")</f>
        <v/>
      </c>
      <c r="V113" s="0">
        <f>IF(AND('Master Stock'!D113&lt;&gt;"",'Master Stock'!L113&lt;&gt;"",'Master Stock'!L113&lt;TODAY()-30),COUNT($V$1:V112)+1,"")</f>
        <v/>
      </c>
    </row>
    <row r="114" ht="15.75" customHeight="1" s="230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0">
        <f>IF(AND('Master Stock'!D114&lt;&gt;"",'Master Stock'!H114="OCCUPIED",'Master Stock'!J114&lt;&gt;"",'Master Stock'!K114=""),COUNT($U$1:U113)+1,"")</f>
        <v/>
      </c>
      <c r="V114" s="0">
        <f>IF(AND('Master Stock'!D114&lt;&gt;"",'Master Stock'!L114&lt;&gt;"",'Master Stock'!L114&lt;TODAY()-30),COUNT($V$1:V113)+1,"")</f>
        <v/>
      </c>
    </row>
    <row r="115" ht="15.75" customHeight="1" s="230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0">
        <f>IF(AND('Master Stock'!D115&lt;&gt;"",'Master Stock'!H115="OCCUPIED",'Master Stock'!J115&lt;&gt;"",'Master Stock'!K115=""),COUNT($U$1:U114)+1,"")</f>
        <v/>
      </c>
      <c r="V115" s="0">
        <f>IF(AND('Master Stock'!D115&lt;&gt;"",'Master Stock'!L115&lt;&gt;"",'Master Stock'!L115&lt;TODAY()-30),COUNT($V$1:V114)+1,"")</f>
        <v/>
      </c>
    </row>
    <row r="116" ht="15.75" customHeight="1" s="230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0">
        <f>IF(AND('Master Stock'!D116&lt;&gt;"",'Master Stock'!H116="OCCUPIED",'Master Stock'!J116&lt;&gt;"",'Master Stock'!K116=""),COUNT($U$1:U115)+1,"")</f>
        <v/>
      </c>
      <c r="V116" s="0">
        <f>IF(AND('Master Stock'!D116&lt;&gt;"",'Master Stock'!L116&lt;&gt;"",'Master Stock'!L116&lt;TODAY()-30),COUNT($V$1:V115)+1,"")</f>
        <v/>
      </c>
    </row>
    <row r="117" ht="15.75" customHeight="1" s="230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0">
        <f>IF(AND('Master Stock'!D117&lt;&gt;"",'Master Stock'!H117="OCCUPIED",'Master Stock'!J117&lt;&gt;"",'Master Stock'!K117=""),COUNT($U$1:U116)+1,"")</f>
        <v/>
      </c>
      <c r="V117" s="0">
        <f>IF(AND('Master Stock'!D117&lt;&gt;"",'Master Stock'!L117&lt;&gt;"",'Master Stock'!L117&lt;TODAY()-30),COUNT($V$1:V116)+1,"")</f>
        <v/>
      </c>
    </row>
    <row r="118" ht="15.75" customHeight="1" s="230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0">
        <f>IF(AND('Master Stock'!D118&lt;&gt;"",'Master Stock'!H118="OCCUPIED",'Master Stock'!J118&lt;&gt;"",'Master Stock'!K118=""),COUNT($U$1:U117)+1,"")</f>
        <v/>
      </c>
      <c r="V118" s="0">
        <f>IF(AND('Master Stock'!D118&lt;&gt;"",'Master Stock'!L118&lt;&gt;"",'Master Stock'!L118&lt;TODAY()-30),COUNT($V$1:V117)+1,"")</f>
        <v/>
      </c>
    </row>
    <row r="119" ht="15.75" customHeight="1" s="230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0">
        <f>IF(AND('Master Stock'!D119&lt;&gt;"",'Master Stock'!H119="OCCUPIED",'Master Stock'!J119&lt;&gt;"",'Master Stock'!K119=""),COUNT($U$1:U118)+1,"")</f>
        <v/>
      </c>
      <c r="V119" s="0">
        <f>IF(AND('Master Stock'!D119&lt;&gt;"",'Master Stock'!L119&lt;&gt;"",'Master Stock'!L119&lt;TODAY()-30),COUNT($V$1:V118)+1,"")</f>
        <v/>
      </c>
    </row>
    <row r="120" ht="15.75" customHeight="1" s="23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0">
        <f>IF(AND('Master Stock'!D120&lt;&gt;"",'Master Stock'!H120="OCCUPIED",'Master Stock'!J120&lt;&gt;"",'Master Stock'!K120=""),COUNT($U$1:U119)+1,"")</f>
        <v/>
      </c>
      <c r="V120" s="0">
        <f>IF(AND('Master Stock'!D120&lt;&gt;"",'Master Stock'!L120&lt;&gt;"",'Master Stock'!L120&lt;TODAY()-30),COUNT($V$1:V119)+1,"")</f>
        <v/>
      </c>
    </row>
    <row r="121" ht="15.75" customHeight="1" s="230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0">
        <f>IF(AND('Master Stock'!D121&lt;&gt;"",'Master Stock'!H121="OCCUPIED",'Master Stock'!J121&lt;&gt;"",'Master Stock'!K121=""),COUNT($U$1:U120)+1,"")</f>
        <v/>
      </c>
      <c r="V121" s="0">
        <f>IF(AND('Master Stock'!D121&lt;&gt;"",'Master Stock'!L121&lt;&gt;"",'Master Stock'!L121&lt;TODAY()-30),COUNT($V$1:V120)+1,"")</f>
        <v/>
      </c>
    </row>
    <row r="122" ht="15.75" customHeight="1" s="230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0">
        <f>IF(AND('Master Stock'!D122&lt;&gt;"",'Master Stock'!H122="OCCUPIED",'Master Stock'!J122&lt;&gt;"",'Master Stock'!K122=""),COUNT($U$1:U121)+1,"")</f>
        <v/>
      </c>
      <c r="V122" s="0">
        <f>IF(AND('Master Stock'!D122&lt;&gt;"",'Master Stock'!L122&lt;&gt;"",'Master Stock'!L122&lt;TODAY()-30),COUNT($V$1:V121)+1,"")</f>
        <v/>
      </c>
    </row>
    <row r="123" ht="15.75" customHeight="1" s="230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0">
        <f>IF(AND('Master Stock'!D123&lt;&gt;"",'Master Stock'!H123="OCCUPIED",'Master Stock'!J123&lt;&gt;"",'Master Stock'!K123=""),COUNT($U$1:U122)+1,"")</f>
        <v/>
      </c>
      <c r="V123" s="0">
        <f>IF(AND('Master Stock'!D123&lt;&gt;"",'Master Stock'!L123&lt;&gt;"",'Master Stock'!L123&lt;TODAY()-30),COUNT($V$1:V122)+1,"")</f>
        <v/>
      </c>
    </row>
    <row r="124" ht="15.75" customHeight="1" s="230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0">
        <f>IF(AND('Master Stock'!D124&lt;&gt;"",'Master Stock'!H124="OCCUPIED",'Master Stock'!J124&lt;&gt;"",'Master Stock'!K124=""),COUNT($U$1:U123)+1,"")</f>
        <v/>
      </c>
      <c r="V124" s="0">
        <f>IF(AND('Master Stock'!D124&lt;&gt;"",'Master Stock'!L124&lt;&gt;"",'Master Stock'!L124&lt;TODAY()-30),COUNT($V$1:V123)+1,"")</f>
        <v/>
      </c>
    </row>
    <row r="125" ht="15.75" customHeight="1" s="230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0">
        <f>IF(AND('Master Stock'!D125&lt;&gt;"",'Master Stock'!H125="OCCUPIED",'Master Stock'!J125&lt;&gt;"",'Master Stock'!K125=""),COUNT($U$1:U124)+1,"")</f>
        <v/>
      </c>
      <c r="V125" s="0">
        <f>IF(AND('Master Stock'!D125&lt;&gt;"",'Master Stock'!L125&lt;&gt;"",'Master Stock'!L125&lt;TODAY()-30),COUNT($V$1:V124)+1,"")</f>
        <v/>
      </c>
    </row>
    <row r="126" ht="15.75" customHeight="1" s="230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0">
        <f>IF(AND('Master Stock'!D126&lt;&gt;"",'Master Stock'!H126="OCCUPIED",'Master Stock'!J126&lt;&gt;"",'Master Stock'!K126=""),COUNT($U$1:U125)+1,"")</f>
        <v/>
      </c>
      <c r="V126" s="0">
        <f>IF(AND('Master Stock'!D126&lt;&gt;"",'Master Stock'!L126&lt;&gt;"",'Master Stock'!L126&lt;TODAY()-30),COUNT($V$1:V125)+1,"")</f>
        <v/>
      </c>
    </row>
    <row r="127" ht="15.75" customHeight="1" s="230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0">
        <f>IF(AND('Master Stock'!D127&lt;&gt;"",'Master Stock'!H127="OCCUPIED",'Master Stock'!J127&lt;&gt;"",'Master Stock'!K127=""),COUNT($U$1:U126)+1,"")</f>
        <v/>
      </c>
      <c r="V127" s="0">
        <f>IF(AND('Master Stock'!D127&lt;&gt;"",'Master Stock'!L127&lt;&gt;"",'Master Stock'!L127&lt;TODAY()-30),COUNT($V$1:V126)+1,"")</f>
        <v/>
      </c>
    </row>
    <row r="128" ht="15.75" customHeight="1" s="230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0">
        <f>IF(AND('Master Stock'!D128&lt;&gt;"",'Master Stock'!H128="OCCUPIED",'Master Stock'!J128&lt;&gt;"",'Master Stock'!K128=""),COUNT($U$1:U127)+1,"")</f>
        <v/>
      </c>
      <c r="V128" s="0">
        <f>IF(AND('Master Stock'!D128&lt;&gt;"",'Master Stock'!L128&lt;&gt;"",'Master Stock'!L128&lt;TODAY()-30),COUNT($V$1:V127)+1,"")</f>
        <v/>
      </c>
    </row>
    <row r="129" ht="15.75" customHeight="1" s="230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0">
        <f>IF(AND('Master Stock'!D129&lt;&gt;"",'Master Stock'!H129="OCCUPIED",'Master Stock'!J129&lt;&gt;"",'Master Stock'!K129=""),COUNT($U$1:U128)+1,"")</f>
        <v/>
      </c>
      <c r="V129" s="0">
        <f>IF(AND('Master Stock'!D129&lt;&gt;"",'Master Stock'!L129&lt;&gt;"",'Master Stock'!L129&lt;TODAY()-30),COUNT($V$1:V128)+1,"")</f>
        <v/>
      </c>
    </row>
    <row r="130" ht="15.75" customHeight="1" s="2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0">
        <f>IF(AND('Master Stock'!D130&lt;&gt;"",'Master Stock'!H130="OCCUPIED",'Master Stock'!J130&lt;&gt;"",'Master Stock'!K130=""),COUNT($U$1:U129)+1,"")</f>
        <v/>
      </c>
      <c r="V130" s="0">
        <f>IF(AND('Master Stock'!D130&lt;&gt;"",'Master Stock'!L130&lt;&gt;"",'Master Stock'!L130&lt;TODAY()-30),COUNT($V$1:V129)+1,"")</f>
        <v/>
      </c>
    </row>
    <row r="131" ht="15.75" customHeight="1" s="230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0">
        <f>IF(AND('Master Stock'!D131&lt;&gt;"",'Master Stock'!H131="OCCUPIED",'Master Stock'!J131&lt;&gt;"",'Master Stock'!K131=""),COUNT($U$1:U130)+1,"")</f>
        <v/>
      </c>
      <c r="V131" s="0">
        <f>IF(AND('Master Stock'!D131&lt;&gt;"",'Master Stock'!L131&lt;&gt;"",'Master Stock'!L131&lt;TODAY()-30),COUNT($V$1:V130)+1,"")</f>
        <v/>
      </c>
    </row>
    <row r="132" ht="15.75" customHeight="1" s="230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0">
        <f>IF(AND('Master Stock'!D132&lt;&gt;"",'Master Stock'!H132="OCCUPIED",'Master Stock'!J132&lt;&gt;"",'Master Stock'!K132=""),COUNT($U$1:U131)+1,"")</f>
        <v/>
      </c>
      <c r="V132" s="0">
        <f>IF(AND('Master Stock'!D132&lt;&gt;"",'Master Stock'!L132&lt;&gt;"",'Master Stock'!L132&lt;TODAY()-30),COUNT($V$1:V131)+1,"")</f>
        <v/>
      </c>
    </row>
    <row r="133" ht="15.75" customHeight="1" s="230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0">
        <f>IF(AND('Master Stock'!D133&lt;&gt;"",'Master Stock'!H133="OCCUPIED",'Master Stock'!J133&lt;&gt;"",'Master Stock'!K133=""),COUNT($U$1:U132)+1,"")</f>
        <v/>
      </c>
      <c r="V133" s="0">
        <f>IF(AND('Master Stock'!D133&lt;&gt;"",'Master Stock'!L133&lt;&gt;"",'Master Stock'!L133&lt;TODAY()-30),COUNT($V$1:V132)+1,"")</f>
        <v/>
      </c>
    </row>
    <row r="134" ht="15.75" customHeight="1" s="230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0">
        <f>IF(AND('Master Stock'!D134&lt;&gt;"",'Master Stock'!H134="OCCUPIED",'Master Stock'!J134&lt;&gt;"",'Master Stock'!K134=""),COUNT($U$1:U133)+1,"")</f>
        <v/>
      </c>
      <c r="V134" s="0">
        <f>IF(AND('Master Stock'!D134&lt;&gt;"",'Master Stock'!L134&lt;&gt;"",'Master Stock'!L134&lt;TODAY()-30),COUNT($V$1:V133)+1,"")</f>
        <v/>
      </c>
    </row>
    <row r="135" ht="15.75" customHeight="1" s="230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0">
        <f>IF(AND('Master Stock'!D135&lt;&gt;"",'Master Stock'!H135="OCCUPIED",'Master Stock'!J135&lt;&gt;"",'Master Stock'!K135=""),COUNT($U$1:U134)+1,"")</f>
        <v/>
      </c>
      <c r="V135" s="0">
        <f>IF(AND('Master Stock'!D135&lt;&gt;"",'Master Stock'!L135&lt;&gt;"",'Master Stock'!L135&lt;TODAY()-30),COUNT($V$1:V134)+1,"")</f>
        <v/>
      </c>
    </row>
    <row r="136" ht="15.75" customHeight="1" s="230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0">
        <f>IF(AND('Master Stock'!D136&lt;&gt;"",'Master Stock'!H136="OCCUPIED",'Master Stock'!J136&lt;&gt;"",'Master Stock'!K136=""),COUNT($U$1:U135)+1,"")</f>
        <v/>
      </c>
      <c r="V136" s="0">
        <f>IF(AND('Master Stock'!D136&lt;&gt;"",'Master Stock'!L136&lt;&gt;"",'Master Stock'!L136&lt;TODAY()-30),COUNT($V$1:V135)+1,"")</f>
        <v/>
      </c>
    </row>
    <row r="137" ht="15.75" customHeight="1" s="230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0">
        <f>IF(AND('Master Stock'!D137&lt;&gt;"",'Master Stock'!H137="OCCUPIED",'Master Stock'!J137&lt;&gt;"",'Master Stock'!K137=""),COUNT($U$1:U136)+1,"")</f>
        <v/>
      </c>
      <c r="V137" s="0">
        <f>IF(AND('Master Stock'!D137&lt;&gt;"",'Master Stock'!L137&lt;&gt;"",'Master Stock'!L137&lt;TODAY()-30),COUNT($V$1:V136)+1,"")</f>
        <v/>
      </c>
    </row>
    <row r="138" ht="15.75" customHeight="1" s="230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0">
        <f>IF(AND('Master Stock'!D138&lt;&gt;"",'Master Stock'!H138="OCCUPIED",'Master Stock'!J138&lt;&gt;"",'Master Stock'!K138=""),COUNT($U$1:U137)+1,"")</f>
        <v/>
      </c>
      <c r="V138" s="0">
        <f>IF(AND('Master Stock'!D138&lt;&gt;"",'Master Stock'!L138&lt;&gt;"",'Master Stock'!L138&lt;TODAY()-30),COUNT($V$1:V137)+1,"")</f>
        <v/>
      </c>
    </row>
    <row r="139" ht="15.75" customHeight="1" s="230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0">
        <f>IF(AND('Master Stock'!D139&lt;&gt;"",'Master Stock'!H139="OCCUPIED",'Master Stock'!J139&lt;&gt;"",'Master Stock'!K139=""),COUNT($U$1:U138)+1,"")</f>
        <v/>
      </c>
      <c r="V139" s="0">
        <f>IF(AND('Master Stock'!D139&lt;&gt;"",'Master Stock'!L139&lt;&gt;"",'Master Stock'!L139&lt;TODAY()-30),COUNT($V$1:V138)+1,"")</f>
        <v/>
      </c>
    </row>
    <row r="140" ht="15.75" customHeight="1" s="23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0">
        <f>IF(AND('Master Stock'!D140&lt;&gt;"",'Master Stock'!H140="OCCUPIED",'Master Stock'!J140&lt;&gt;"",'Master Stock'!K140=""),COUNT($U$1:U139)+1,"")</f>
        <v/>
      </c>
      <c r="V140" s="0">
        <f>IF(AND('Master Stock'!D140&lt;&gt;"",'Master Stock'!L140&lt;&gt;"",'Master Stock'!L140&lt;TODAY()-30),COUNT($V$1:V139)+1,"")</f>
        <v/>
      </c>
    </row>
    <row r="141" ht="15.75" customHeight="1" s="230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0">
        <f>IF(AND('Master Stock'!D141&lt;&gt;"",'Master Stock'!H141="OCCUPIED",'Master Stock'!J141&lt;&gt;"",'Master Stock'!K141=""),COUNT($U$1:U140)+1,"")</f>
        <v/>
      </c>
      <c r="V141" s="0">
        <f>IF(AND('Master Stock'!D141&lt;&gt;"",'Master Stock'!L141&lt;&gt;"",'Master Stock'!L141&lt;TODAY()-30),COUNT($V$1:V140)+1,"")</f>
        <v/>
      </c>
    </row>
    <row r="142" ht="15.75" customHeight="1" s="230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0">
        <f>IF(AND('Master Stock'!D142&lt;&gt;"",'Master Stock'!H142="OCCUPIED",'Master Stock'!J142&lt;&gt;"",'Master Stock'!K142=""),COUNT($U$1:U141)+1,"")</f>
        <v/>
      </c>
      <c r="V142" s="0">
        <f>IF(AND('Master Stock'!D142&lt;&gt;"",'Master Stock'!L142&lt;&gt;"",'Master Stock'!L142&lt;TODAY()-30),COUNT($V$1:V141)+1,"")</f>
        <v/>
      </c>
    </row>
    <row r="143" ht="15.75" customHeight="1" s="230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0">
        <f>IF(AND('Master Stock'!D143&lt;&gt;"",'Master Stock'!H143="OCCUPIED",'Master Stock'!J143&lt;&gt;"",'Master Stock'!K143=""),COUNT($U$1:U142)+1,"")</f>
        <v/>
      </c>
      <c r="V143" s="0">
        <f>IF(AND('Master Stock'!D143&lt;&gt;"",'Master Stock'!L143&lt;&gt;"",'Master Stock'!L143&lt;TODAY()-30),COUNT($V$1:V142)+1,"")</f>
        <v/>
      </c>
    </row>
    <row r="144" ht="15.75" customHeight="1" s="230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0">
        <f>IF(AND('Master Stock'!D144&lt;&gt;"",'Master Stock'!H144="OCCUPIED",'Master Stock'!J144&lt;&gt;"",'Master Stock'!K144=""),COUNT($U$1:U143)+1,"")</f>
        <v/>
      </c>
      <c r="V144" s="0">
        <f>IF(AND('Master Stock'!D144&lt;&gt;"",'Master Stock'!L144&lt;&gt;"",'Master Stock'!L144&lt;TODAY()-30),COUNT($V$1:V143)+1,"")</f>
        <v/>
      </c>
    </row>
    <row r="145" ht="15.75" customHeight="1" s="230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0">
        <f>IF(AND('Master Stock'!D145&lt;&gt;"",'Master Stock'!H145="OCCUPIED",'Master Stock'!J145&lt;&gt;"",'Master Stock'!K145=""),COUNT($U$1:U144)+1,"")</f>
        <v/>
      </c>
      <c r="V145" s="0">
        <f>IF(AND('Master Stock'!D145&lt;&gt;"",'Master Stock'!L145&lt;&gt;"",'Master Stock'!L145&lt;TODAY()-30),COUNT($V$1:V144)+1,"")</f>
        <v/>
      </c>
    </row>
    <row r="146" ht="15.75" customHeight="1" s="230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0">
        <f>IF(AND('Master Stock'!D146&lt;&gt;"",'Master Stock'!H146="OCCUPIED",'Master Stock'!J146&lt;&gt;"",'Master Stock'!K146=""),COUNT($U$1:U145)+1,"")</f>
        <v/>
      </c>
      <c r="V146" s="0">
        <f>IF(AND('Master Stock'!D146&lt;&gt;"",'Master Stock'!L146&lt;&gt;"",'Master Stock'!L146&lt;TODAY()-30),COUNT($V$1:V145)+1,"")</f>
        <v/>
      </c>
    </row>
    <row r="147" ht="15.75" customHeight="1" s="230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0">
        <f>IF(AND('Master Stock'!D147&lt;&gt;"",'Master Stock'!H147="OCCUPIED",'Master Stock'!J147&lt;&gt;"",'Master Stock'!K147=""),COUNT($U$1:U146)+1,"")</f>
        <v/>
      </c>
      <c r="V147" s="0">
        <f>IF(AND('Master Stock'!D147&lt;&gt;"",'Master Stock'!L147&lt;&gt;"",'Master Stock'!L147&lt;TODAY()-30),COUNT($V$1:V146)+1,"")</f>
        <v/>
      </c>
    </row>
    <row r="148" ht="15.75" customHeight="1" s="230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0">
        <f>IF(AND('Master Stock'!D148&lt;&gt;"",'Master Stock'!H148="OCCUPIED",'Master Stock'!J148&lt;&gt;"",'Master Stock'!K148=""),COUNT($U$1:U147)+1,"")</f>
        <v/>
      </c>
      <c r="V148" s="0">
        <f>IF(AND('Master Stock'!D148&lt;&gt;"",'Master Stock'!L148&lt;&gt;"",'Master Stock'!L148&lt;TODAY()-30),COUNT($V$1:V147)+1,"")</f>
        <v/>
      </c>
    </row>
    <row r="149" ht="15.75" customHeight="1" s="230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0">
        <f>IF(AND('Master Stock'!D149&lt;&gt;"",'Master Stock'!H149="OCCUPIED",'Master Stock'!J149&lt;&gt;"",'Master Stock'!K149=""),COUNT($U$1:U148)+1,"")</f>
        <v/>
      </c>
      <c r="V149" s="0">
        <f>IF(AND('Master Stock'!D149&lt;&gt;"",'Master Stock'!L149&lt;&gt;"",'Master Stock'!L149&lt;TODAY()-30),COUNT($V$1:V148)+1,"")</f>
        <v/>
      </c>
    </row>
    <row r="150" ht="15.75" customHeight="1" s="23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0">
        <f>IF(AND('Master Stock'!D150&lt;&gt;"",'Master Stock'!H150="OCCUPIED",'Master Stock'!J150&lt;&gt;"",'Master Stock'!K150=""),COUNT($U$1:U149)+1,"")</f>
        <v/>
      </c>
      <c r="V150" s="0">
        <f>IF(AND('Master Stock'!D150&lt;&gt;"",'Master Stock'!L150&lt;&gt;"",'Master Stock'!L150&lt;TODAY()-30),COUNT($V$1:V149)+1,"")</f>
        <v/>
      </c>
    </row>
    <row r="151" ht="15.75" customHeight="1" s="230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0">
        <f>IF(AND('Master Stock'!D151&lt;&gt;"",'Master Stock'!H151="OCCUPIED",'Master Stock'!J151&lt;&gt;"",'Master Stock'!K151=""),COUNT($U$1:U150)+1,"")</f>
        <v/>
      </c>
      <c r="V151" s="0">
        <f>IF(AND('Master Stock'!D151&lt;&gt;"",'Master Stock'!L151&lt;&gt;"",'Master Stock'!L151&lt;TODAY()-30),COUNT($V$1:V150)+1,"")</f>
        <v/>
      </c>
    </row>
    <row r="152" ht="15.75" customHeight="1" s="230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0">
        <f>IF(AND('Master Stock'!D152&lt;&gt;"",'Master Stock'!H152="OCCUPIED",'Master Stock'!J152&lt;&gt;"",'Master Stock'!K152=""),COUNT($U$1:U151)+1,"")</f>
        <v/>
      </c>
      <c r="V152" s="0">
        <f>IF(AND('Master Stock'!D152&lt;&gt;"",'Master Stock'!L152&lt;&gt;"",'Master Stock'!L152&lt;TODAY()-30),COUNT($V$1:V151)+1,"")</f>
        <v/>
      </c>
    </row>
    <row r="153" ht="15.75" customHeight="1" s="230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0">
        <f>IF(AND('Master Stock'!D153&lt;&gt;"",'Master Stock'!H153="OCCUPIED",'Master Stock'!J153&lt;&gt;"",'Master Stock'!K153=""),COUNT($U$1:U152)+1,"")</f>
        <v/>
      </c>
      <c r="V153" s="0">
        <f>IF(AND('Master Stock'!D153&lt;&gt;"",'Master Stock'!L153&lt;&gt;"",'Master Stock'!L153&lt;TODAY()-30),COUNT($V$1:V152)+1,"")</f>
        <v/>
      </c>
    </row>
    <row r="154" ht="15.75" customHeight="1" s="230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0">
        <f>IF(AND('Master Stock'!D154&lt;&gt;"",'Master Stock'!H154="OCCUPIED",'Master Stock'!J154&lt;&gt;"",'Master Stock'!K154=""),COUNT($U$1:U153)+1,"")</f>
        <v/>
      </c>
      <c r="V154" s="0">
        <f>IF(AND('Master Stock'!D154&lt;&gt;"",'Master Stock'!L154&lt;&gt;"",'Master Stock'!L154&lt;TODAY()-30),COUNT($V$1:V153)+1,"")</f>
        <v/>
      </c>
    </row>
    <row r="155" ht="15.75" customHeight="1" s="230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0">
        <f>IF(AND('Master Stock'!D155&lt;&gt;"",'Master Stock'!H155="OCCUPIED",'Master Stock'!J155&lt;&gt;"",'Master Stock'!K155=""),COUNT($U$1:U154)+1,"")</f>
        <v/>
      </c>
      <c r="V155" s="0">
        <f>IF(AND('Master Stock'!D155&lt;&gt;"",'Master Stock'!L155&lt;&gt;"",'Master Stock'!L155&lt;TODAY()-30),COUNT($V$1:V154)+1,"")</f>
        <v/>
      </c>
    </row>
    <row r="156" ht="15.75" customHeight="1" s="230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0">
        <f>IF(AND('Master Stock'!D156&lt;&gt;"",'Master Stock'!H156="OCCUPIED",'Master Stock'!J156&lt;&gt;"",'Master Stock'!K156=""),COUNT($U$1:U155)+1,"")</f>
        <v/>
      </c>
      <c r="V156" s="0">
        <f>IF(AND('Master Stock'!D156&lt;&gt;"",'Master Stock'!L156&lt;&gt;"",'Master Stock'!L156&lt;TODAY()-30),COUNT($V$1:V155)+1,"")</f>
        <v/>
      </c>
    </row>
    <row r="157" ht="15.75" customHeight="1" s="230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0">
        <f>IF(AND('Master Stock'!D157&lt;&gt;"",'Master Stock'!H157="OCCUPIED",'Master Stock'!J157&lt;&gt;"",'Master Stock'!K157=""),COUNT($U$1:U156)+1,"")</f>
        <v/>
      </c>
      <c r="V157" s="0">
        <f>IF(AND('Master Stock'!D157&lt;&gt;"",'Master Stock'!L157&lt;&gt;"",'Master Stock'!L157&lt;TODAY()-30),COUNT($V$1:V156)+1,"")</f>
        <v/>
      </c>
    </row>
    <row r="158" ht="15.75" customHeight="1" s="230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0">
        <f>IF(AND('Master Stock'!D158&lt;&gt;"",'Master Stock'!H158="OCCUPIED",'Master Stock'!J158&lt;&gt;"",'Master Stock'!K158=""),COUNT($U$1:U157)+1,"")</f>
        <v/>
      </c>
      <c r="V158" s="0">
        <f>IF(AND('Master Stock'!D158&lt;&gt;"",'Master Stock'!L158&lt;&gt;"",'Master Stock'!L158&lt;TODAY()-30),COUNT($V$1:V157)+1,"")</f>
        <v/>
      </c>
    </row>
    <row r="159" ht="15.75" customHeight="1" s="230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0">
        <f>IF(AND('Master Stock'!D159&lt;&gt;"",'Master Stock'!H159="OCCUPIED",'Master Stock'!J159&lt;&gt;"",'Master Stock'!K159=""),COUNT($U$1:U158)+1,"")</f>
        <v/>
      </c>
      <c r="V159" s="0">
        <f>IF(AND('Master Stock'!D159&lt;&gt;"",'Master Stock'!L159&lt;&gt;"",'Master Stock'!L159&lt;TODAY()-30),COUNT($V$1:V158)+1,"")</f>
        <v/>
      </c>
    </row>
    <row r="160" ht="15.75" customHeight="1" s="23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0">
        <f>IF(AND('Master Stock'!D160&lt;&gt;"",'Master Stock'!H160="OCCUPIED",'Master Stock'!J160&lt;&gt;"",'Master Stock'!K160=""),COUNT($U$1:U159)+1,"")</f>
        <v/>
      </c>
      <c r="V160" s="0">
        <f>IF(AND('Master Stock'!D160&lt;&gt;"",'Master Stock'!L160&lt;&gt;"",'Master Stock'!L160&lt;TODAY()-30),COUNT($V$1:V159)+1,"")</f>
        <v/>
      </c>
    </row>
    <row r="161" ht="15.75" customHeight="1" s="230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0">
        <f>IF(AND('Master Stock'!D161&lt;&gt;"",'Master Stock'!H161="OCCUPIED",'Master Stock'!J161&lt;&gt;"",'Master Stock'!K161=""),COUNT($U$1:U160)+1,"")</f>
        <v/>
      </c>
      <c r="V161" s="0">
        <f>IF(AND('Master Stock'!D161&lt;&gt;"",'Master Stock'!L161&lt;&gt;"",'Master Stock'!L161&lt;TODAY()-30),COUNT($V$1:V160)+1,"")</f>
        <v/>
      </c>
    </row>
    <row r="162" ht="15.75" customHeight="1" s="230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0">
        <f>IF(AND('Master Stock'!D162&lt;&gt;"",'Master Stock'!H162="OCCUPIED",'Master Stock'!J162&lt;&gt;"",'Master Stock'!K162=""),COUNT($U$1:U161)+1,"")</f>
        <v/>
      </c>
      <c r="V162" s="0">
        <f>IF(AND('Master Stock'!D162&lt;&gt;"",'Master Stock'!L162&lt;&gt;"",'Master Stock'!L162&lt;TODAY()-30),COUNT($V$1:V161)+1,"")</f>
        <v/>
      </c>
    </row>
    <row r="163" ht="15.75" customHeight="1" s="230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0">
        <f>IF(AND('Master Stock'!D163&lt;&gt;"",'Master Stock'!H163="OCCUPIED",'Master Stock'!J163&lt;&gt;"",'Master Stock'!K163=""),COUNT($U$1:U162)+1,"")</f>
        <v/>
      </c>
      <c r="V163" s="0">
        <f>IF(AND('Master Stock'!D163&lt;&gt;"",'Master Stock'!L163&lt;&gt;"",'Master Stock'!L163&lt;TODAY()-30),COUNT($V$1:V162)+1,"")</f>
        <v/>
      </c>
    </row>
    <row r="164" ht="15.75" customHeight="1" s="230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0">
        <f>IF(AND('Master Stock'!D164&lt;&gt;"",'Master Stock'!H164="OCCUPIED",'Master Stock'!J164&lt;&gt;"",'Master Stock'!K164=""),COUNT($U$1:U163)+1,"")</f>
        <v/>
      </c>
      <c r="V164" s="0">
        <f>IF(AND('Master Stock'!D164&lt;&gt;"",'Master Stock'!L164&lt;&gt;"",'Master Stock'!L164&lt;TODAY()-30),COUNT($V$1:V163)+1,"")</f>
        <v/>
      </c>
    </row>
    <row r="165" ht="15.75" customHeight="1" s="230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0">
        <f>IF(AND('Master Stock'!D165&lt;&gt;"",'Master Stock'!H165="OCCUPIED",'Master Stock'!J165&lt;&gt;"",'Master Stock'!K165=""),COUNT($U$1:U164)+1,"")</f>
        <v/>
      </c>
      <c r="V165" s="0">
        <f>IF(AND('Master Stock'!D165&lt;&gt;"",'Master Stock'!L165&lt;&gt;"",'Master Stock'!L165&lt;TODAY()-30),COUNT($V$1:V164)+1,"")</f>
        <v/>
      </c>
    </row>
    <row r="166" ht="15.75" customHeight="1" s="230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0">
        <f>IF(AND('Master Stock'!D166&lt;&gt;"",'Master Stock'!H166="OCCUPIED",'Master Stock'!J166&lt;&gt;"",'Master Stock'!K166=""),COUNT($U$1:U165)+1,"")</f>
        <v/>
      </c>
      <c r="V166" s="0">
        <f>IF(AND('Master Stock'!D166&lt;&gt;"",'Master Stock'!L166&lt;&gt;"",'Master Stock'!L166&lt;TODAY()-30),COUNT($V$1:V165)+1,"")</f>
        <v/>
      </c>
    </row>
    <row r="167" ht="15.75" customHeight="1" s="230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0">
        <f>IF(AND('Master Stock'!D167&lt;&gt;"",'Master Stock'!H167="OCCUPIED",'Master Stock'!J167&lt;&gt;"",'Master Stock'!K167=""),COUNT($U$1:U166)+1,"")</f>
        <v/>
      </c>
      <c r="V167" s="0">
        <f>IF(AND('Master Stock'!D167&lt;&gt;"",'Master Stock'!L167&lt;&gt;"",'Master Stock'!L167&lt;TODAY()-30),COUNT($V$1:V166)+1,"")</f>
        <v/>
      </c>
    </row>
    <row r="168" ht="15.75" customHeight="1" s="230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0">
        <f>IF(AND('Master Stock'!D168&lt;&gt;"",'Master Stock'!H168="OCCUPIED",'Master Stock'!J168&lt;&gt;"",'Master Stock'!K168=""),COUNT($U$1:U167)+1,"")</f>
        <v/>
      </c>
      <c r="V168" s="0">
        <f>IF(AND('Master Stock'!D168&lt;&gt;"",'Master Stock'!L168&lt;&gt;"",'Master Stock'!L168&lt;TODAY()-30),COUNT($V$1:V167)+1,"")</f>
        <v/>
      </c>
    </row>
    <row r="169" ht="15.75" customHeight="1" s="230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0">
        <f>IF(AND('Master Stock'!D169&lt;&gt;"",'Master Stock'!H169="OCCUPIED",'Master Stock'!J169&lt;&gt;"",'Master Stock'!K169=""),COUNT($U$1:U168)+1,"")</f>
        <v/>
      </c>
      <c r="V169" s="0">
        <f>IF(AND('Master Stock'!D169&lt;&gt;"",'Master Stock'!L169&lt;&gt;"",'Master Stock'!L169&lt;TODAY()-30),COUNT($V$1:V168)+1,"")</f>
        <v/>
      </c>
    </row>
    <row r="170" ht="15.75" customHeight="1" s="23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0">
        <f>IF(AND('Master Stock'!D170&lt;&gt;"",'Master Stock'!H170="OCCUPIED",'Master Stock'!J170&lt;&gt;"",'Master Stock'!K170=""),COUNT($U$1:U169)+1,"")</f>
        <v/>
      </c>
      <c r="V170" s="0">
        <f>IF(AND('Master Stock'!D170&lt;&gt;"",'Master Stock'!L170&lt;&gt;"",'Master Stock'!L170&lt;TODAY()-30),COUNT($V$1:V169)+1,"")</f>
        <v/>
      </c>
    </row>
    <row r="171" ht="15.75" customHeight="1" s="230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0">
        <f>IF(AND('Master Stock'!D171&lt;&gt;"",'Master Stock'!H171="OCCUPIED",'Master Stock'!J171&lt;&gt;"",'Master Stock'!K171=""),COUNT($U$1:U170)+1,"")</f>
        <v/>
      </c>
      <c r="V171" s="0">
        <f>IF(AND('Master Stock'!D171&lt;&gt;"",'Master Stock'!L171&lt;&gt;"",'Master Stock'!L171&lt;TODAY()-30),COUNT($V$1:V170)+1,"")</f>
        <v/>
      </c>
    </row>
    <row r="172" ht="15.75" customHeight="1" s="230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0">
        <f>IF(AND('Master Stock'!D172&lt;&gt;"",'Master Stock'!H172="OCCUPIED",'Master Stock'!J172&lt;&gt;"",'Master Stock'!K172=""),COUNT($U$1:U171)+1,"")</f>
        <v/>
      </c>
      <c r="V172" s="0">
        <f>IF(AND('Master Stock'!D172&lt;&gt;"",'Master Stock'!L172&lt;&gt;"",'Master Stock'!L172&lt;TODAY()-30),COUNT($V$1:V171)+1,"")</f>
        <v/>
      </c>
    </row>
    <row r="173" ht="15.75" customHeight="1" s="230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0">
        <f>IF(AND('Master Stock'!D173&lt;&gt;"",'Master Stock'!H173="OCCUPIED",'Master Stock'!J173&lt;&gt;"",'Master Stock'!K173=""),COUNT($U$1:U172)+1,"")</f>
        <v/>
      </c>
      <c r="V173" s="0">
        <f>IF(AND('Master Stock'!D173&lt;&gt;"",'Master Stock'!L173&lt;&gt;"",'Master Stock'!L173&lt;TODAY()-30),COUNT($V$1:V172)+1,"")</f>
        <v/>
      </c>
    </row>
    <row r="174" ht="15.75" customHeight="1" s="230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0">
        <f>IF(AND('Master Stock'!D174&lt;&gt;"",'Master Stock'!H174="OCCUPIED",'Master Stock'!J174&lt;&gt;"",'Master Stock'!K174=""),COUNT($U$1:U173)+1,"")</f>
        <v/>
      </c>
      <c r="V174" s="0">
        <f>IF(AND('Master Stock'!D174&lt;&gt;"",'Master Stock'!L174&lt;&gt;"",'Master Stock'!L174&lt;TODAY()-30),COUNT($V$1:V173)+1,"")</f>
        <v/>
      </c>
    </row>
    <row r="175" ht="15.75" customHeight="1" s="230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0">
        <f>IF(AND('Master Stock'!D175&lt;&gt;"",'Master Stock'!H175="OCCUPIED",'Master Stock'!J175&lt;&gt;"",'Master Stock'!K175=""),COUNT($U$1:U174)+1,"")</f>
        <v/>
      </c>
      <c r="V175" s="0">
        <f>IF(AND('Master Stock'!D175&lt;&gt;"",'Master Stock'!L175&lt;&gt;"",'Master Stock'!L175&lt;TODAY()-30),COUNT($V$1:V174)+1,"")</f>
        <v/>
      </c>
    </row>
    <row r="176" ht="15.75" customHeight="1" s="230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0">
        <f>IF(AND('Master Stock'!D176&lt;&gt;"",'Master Stock'!H176="OCCUPIED",'Master Stock'!J176&lt;&gt;"",'Master Stock'!K176=""),COUNT($U$1:U175)+1,"")</f>
        <v/>
      </c>
      <c r="V176" s="0">
        <f>IF(AND('Master Stock'!D176&lt;&gt;"",'Master Stock'!L176&lt;&gt;"",'Master Stock'!L176&lt;TODAY()-30),COUNT($V$1:V175)+1,"")</f>
        <v/>
      </c>
    </row>
    <row r="177" ht="15.75" customHeight="1" s="230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0">
        <f>IF(AND('Master Stock'!D177&lt;&gt;"",'Master Stock'!H177="OCCUPIED",'Master Stock'!J177&lt;&gt;"",'Master Stock'!K177=""),COUNT($U$1:U176)+1,"")</f>
        <v/>
      </c>
      <c r="V177" s="0">
        <f>IF(AND('Master Stock'!D177&lt;&gt;"",'Master Stock'!L177&lt;&gt;"",'Master Stock'!L177&lt;TODAY()-30),COUNT($V$1:V176)+1,"")</f>
        <v/>
      </c>
    </row>
    <row r="178" ht="15.75" customHeight="1" s="230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0">
        <f>IF(AND('Master Stock'!D178&lt;&gt;"",'Master Stock'!H178="OCCUPIED",'Master Stock'!J178&lt;&gt;"",'Master Stock'!K178=""),COUNT($U$1:U177)+1,"")</f>
        <v/>
      </c>
      <c r="V178" s="0">
        <f>IF(AND('Master Stock'!D178&lt;&gt;"",'Master Stock'!L178&lt;&gt;"",'Master Stock'!L178&lt;TODAY()-30),COUNT($V$1:V177)+1,"")</f>
        <v/>
      </c>
    </row>
    <row r="179" ht="15.75" customHeight="1" s="230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0">
        <f>IF(AND('Master Stock'!D179&lt;&gt;"",'Master Stock'!H179="OCCUPIED",'Master Stock'!J179&lt;&gt;"",'Master Stock'!K179=""),COUNT($U$1:U178)+1,"")</f>
        <v/>
      </c>
      <c r="V179" s="0">
        <f>IF(AND('Master Stock'!D179&lt;&gt;"",'Master Stock'!L179&lt;&gt;"",'Master Stock'!L179&lt;TODAY()-30),COUNT($V$1:V178)+1,"")</f>
        <v/>
      </c>
    </row>
    <row r="180" ht="15.75" customHeight="1" s="23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0">
        <f>IF(AND('Master Stock'!D180&lt;&gt;"",'Master Stock'!H180="OCCUPIED",'Master Stock'!J180&lt;&gt;"",'Master Stock'!K180=""),COUNT($U$1:U179)+1,"")</f>
        <v/>
      </c>
      <c r="V180" s="0">
        <f>IF(AND('Master Stock'!D180&lt;&gt;"",'Master Stock'!L180&lt;&gt;"",'Master Stock'!L180&lt;TODAY()-30),COUNT($V$1:V179)+1,"")</f>
        <v/>
      </c>
    </row>
    <row r="181" ht="15.75" customHeight="1" s="230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0">
        <f>IF(AND('Master Stock'!D181&lt;&gt;"",'Master Stock'!H181="OCCUPIED",'Master Stock'!J181&lt;&gt;"",'Master Stock'!K181=""),COUNT($U$1:U180)+1,"")</f>
        <v/>
      </c>
      <c r="V181" s="0">
        <f>IF(AND('Master Stock'!D181&lt;&gt;"",'Master Stock'!L181&lt;&gt;"",'Master Stock'!L181&lt;TODAY()-30),COUNT($V$1:V180)+1,"")</f>
        <v/>
      </c>
    </row>
    <row r="182" ht="15.75" customHeight="1" s="230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0">
        <f>IF(AND('Master Stock'!D182&lt;&gt;"",'Master Stock'!H182="OCCUPIED",'Master Stock'!J182&lt;&gt;"",'Master Stock'!K182=""),COUNT($U$1:U181)+1,"")</f>
        <v/>
      </c>
      <c r="V182" s="0">
        <f>IF(AND('Master Stock'!D182&lt;&gt;"",'Master Stock'!L182&lt;&gt;"",'Master Stock'!L182&lt;TODAY()-30),COUNT($V$1:V181)+1,"")</f>
        <v/>
      </c>
    </row>
    <row r="183" ht="15.75" customHeight="1" s="230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0">
        <f>IF(AND('Master Stock'!D183&lt;&gt;"",'Master Stock'!H183="OCCUPIED",'Master Stock'!J183&lt;&gt;"",'Master Stock'!K183=""),COUNT($U$1:U182)+1,"")</f>
        <v/>
      </c>
      <c r="V183" s="0">
        <f>IF(AND('Master Stock'!D183&lt;&gt;"",'Master Stock'!L183&lt;&gt;"",'Master Stock'!L183&lt;TODAY()-30),COUNT($V$1:V182)+1,"")</f>
        <v/>
      </c>
    </row>
    <row r="184" ht="15.75" customHeight="1" s="230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0">
        <f>IF(AND('Master Stock'!D184&lt;&gt;"",'Master Stock'!H184="OCCUPIED",'Master Stock'!J184&lt;&gt;"",'Master Stock'!K184=""),COUNT($U$1:U183)+1,"")</f>
        <v/>
      </c>
      <c r="V184" s="0">
        <f>IF(AND('Master Stock'!D184&lt;&gt;"",'Master Stock'!L184&lt;&gt;"",'Master Stock'!L184&lt;TODAY()-30),COUNT($V$1:V183)+1,"")</f>
        <v/>
      </c>
    </row>
    <row r="185" ht="15.75" customHeight="1" s="230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0">
        <f>IF(AND('Master Stock'!D185&lt;&gt;"",'Master Stock'!H185="OCCUPIED",'Master Stock'!J185&lt;&gt;"",'Master Stock'!K185=""),COUNT($U$1:U184)+1,"")</f>
        <v/>
      </c>
      <c r="V185" s="0">
        <f>IF(AND('Master Stock'!D185&lt;&gt;"",'Master Stock'!L185&lt;&gt;"",'Master Stock'!L185&lt;TODAY()-30),COUNT($V$1:V184)+1,"")</f>
        <v/>
      </c>
    </row>
    <row r="186" ht="15.75" customHeight="1" s="230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0">
        <f>IF(AND('Master Stock'!D186&lt;&gt;"",'Master Stock'!H186="OCCUPIED",'Master Stock'!J186&lt;&gt;"",'Master Stock'!K186=""),COUNT($U$1:U185)+1,"")</f>
        <v/>
      </c>
      <c r="V186" s="0">
        <f>IF(AND('Master Stock'!D186&lt;&gt;"",'Master Stock'!L186&lt;&gt;"",'Master Stock'!L186&lt;TODAY()-30),COUNT($V$1:V185)+1,"")</f>
        <v/>
      </c>
    </row>
    <row r="187" ht="15.75" customHeight="1" s="230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0">
        <f>IF(AND('Master Stock'!D187&lt;&gt;"",'Master Stock'!H187="OCCUPIED",'Master Stock'!J187&lt;&gt;"",'Master Stock'!K187=""),COUNT($U$1:U186)+1,"")</f>
        <v/>
      </c>
      <c r="V187" s="0">
        <f>IF(AND('Master Stock'!D187&lt;&gt;"",'Master Stock'!L187&lt;&gt;"",'Master Stock'!L187&lt;TODAY()-30),COUNT($V$1:V186)+1,"")</f>
        <v/>
      </c>
    </row>
    <row r="188" ht="15.75" customHeight="1" s="230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0">
        <f>IF(AND('Master Stock'!D188&lt;&gt;"",'Master Stock'!H188="OCCUPIED",'Master Stock'!J188&lt;&gt;"",'Master Stock'!K188=""),COUNT($U$1:U187)+1,"")</f>
        <v/>
      </c>
      <c r="V188" s="0">
        <f>IF(AND('Master Stock'!D188&lt;&gt;"",'Master Stock'!L188&lt;&gt;"",'Master Stock'!L188&lt;TODAY()-30),COUNT($V$1:V187)+1,"")</f>
        <v/>
      </c>
    </row>
    <row r="189" ht="15.75" customHeight="1" s="230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0">
        <f>IF(AND('Master Stock'!D189&lt;&gt;"",'Master Stock'!H189="OCCUPIED",'Master Stock'!J189&lt;&gt;"",'Master Stock'!K189=""),COUNT($U$1:U188)+1,"")</f>
        <v/>
      </c>
      <c r="V189" s="0">
        <f>IF(AND('Master Stock'!D189&lt;&gt;"",'Master Stock'!L189&lt;&gt;"",'Master Stock'!L189&lt;TODAY()-30),COUNT($V$1:V188)+1,"")</f>
        <v/>
      </c>
    </row>
    <row r="190" ht="15.75" customHeight="1" s="23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0">
        <f>IF(AND('Master Stock'!D190&lt;&gt;"",'Master Stock'!H190="OCCUPIED",'Master Stock'!J190&lt;&gt;"",'Master Stock'!K190=""),COUNT($U$1:U189)+1,"")</f>
        <v/>
      </c>
      <c r="V190" s="0">
        <f>IF(AND('Master Stock'!D190&lt;&gt;"",'Master Stock'!L190&lt;&gt;"",'Master Stock'!L190&lt;TODAY()-30),COUNT($V$1:V189)+1,"")</f>
        <v/>
      </c>
    </row>
    <row r="191" ht="15.75" customHeight="1" s="230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0">
        <f>IF(AND('Master Stock'!D191&lt;&gt;"",'Master Stock'!H191="OCCUPIED",'Master Stock'!J191&lt;&gt;"",'Master Stock'!K191=""),COUNT($U$1:U190)+1,"")</f>
        <v/>
      </c>
      <c r="V191" s="0">
        <f>IF(AND('Master Stock'!D191&lt;&gt;"",'Master Stock'!L191&lt;&gt;"",'Master Stock'!L191&lt;TODAY()-30),COUNT($V$1:V190)+1,"")</f>
        <v/>
      </c>
    </row>
    <row r="192" ht="15.75" customHeight="1" s="230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0">
        <f>IF(AND('Master Stock'!D192&lt;&gt;"",'Master Stock'!H192="OCCUPIED",'Master Stock'!J192&lt;&gt;"",'Master Stock'!K192=""),COUNT($U$1:U191)+1,"")</f>
        <v/>
      </c>
      <c r="V192" s="0">
        <f>IF(AND('Master Stock'!D192&lt;&gt;"",'Master Stock'!L192&lt;&gt;"",'Master Stock'!L192&lt;TODAY()-30),COUNT($V$1:V191)+1,"")</f>
        <v/>
      </c>
    </row>
    <row r="193" ht="15.75" customHeight="1" s="230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0">
        <f>IF(AND('Master Stock'!D193&lt;&gt;"",'Master Stock'!H193="OCCUPIED",'Master Stock'!J193&lt;&gt;"",'Master Stock'!K193=""),COUNT($U$1:U192)+1,"")</f>
        <v/>
      </c>
      <c r="V193" s="0">
        <f>IF(AND('Master Stock'!D193&lt;&gt;"",'Master Stock'!L193&lt;&gt;"",'Master Stock'!L193&lt;TODAY()-30),COUNT($V$1:V192)+1,"")</f>
        <v/>
      </c>
    </row>
    <row r="194" ht="15.75" customHeight="1" s="230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0">
        <f>IF(AND('Master Stock'!D194&lt;&gt;"",'Master Stock'!H194="OCCUPIED",'Master Stock'!J194&lt;&gt;"",'Master Stock'!K194=""),COUNT($U$1:U193)+1,"")</f>
        <v/>
      </c>
      <c r="V194" s="0">
        <f>IF(AND('Master Stock'!D194&lt;&gt;"",'Master Stock'!L194&lt;&gt;"",'Master Stock'!L194&lt;TODAY()-30),COUNT($V$1:V193)+1,"")</f>
        <v/>
      </c>
    </row>
    <row r="195" ht="15.75" customHeight="1" s="230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0">
        <f>IF(AND('Master Stock'!D195&lt;&gt;"",'Master Stock'!H195="OCCUPIED",'Master Stock'!J195&lt;&gt;"",'Master Stock'!K195=""),COUNT($U$1:U194)+1,"")</f>
        <v/>
      </c>
      <c r="V195" s="0">
        <f>IF(AND('Master Stock'!D195&lt;&gt;"",'Master Stock'!L195&lt;&gt;"",'Master Stock'!L195&lt;TODAY()-30),COUNT($V$1:V194)+1,"")</f>
        <v/>
      </c>
    </row>
    <row r="196" ht="15.75" customHeight="1" s="230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0">
        <f>IF(AND('Master Stock'!D196&lt;&gt;"",'Master Stock'!H196="OCCUPIED",'Master Stock'!J196&lt;&gt;"",'Master Stock'!K196=""),COUNT($U$1:U195)+1,"")</f>
        <v/>
      </c>
      <c r="V196" s="0">
        <f>IF(AND('Master Stock'!D196&lt;&gt;"",'Master Stock'!L196&lt;&gt;"",'Master Stock'!L196&lt;TODAY()-30),COUNT($V$1:V195)+1,"")</f>
        <v/>
      </c>
    </row>
    <row r="197" ht="15.75" customHeight="1" s="230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0">
        <f>IF(AND('Master Stock'!D197&lt;&gt;"",'Master Stock'!H197="OCCUPIED",'Master Stock'!J197&lt;&gt;"",'Master Stock'!K197=""),COUNT($U$1:U196)+1,"")</f>
        <v/>
      </c>
      <c r="V197" s="0">
        <f>IF(AND('Master Stock'!D197&lt;&gt;"",'Master Stock'!L197&lt;&gt;"",'Master Stock'!L197&lt;TODAY()-30),COUNT($V$1:V196)+1,"")</f>
        <v/>
      </c>
    </row>
    <row r="198" ht="15.75" customHeight="1" s="230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0">
        <f>IF(AND('Master Stock'!D198&lt;&gt;"",'Master Stock'!H198="OCCUPIED",'Master Stock'!J198&lt;&gt;"",'Master Stock'!K198=""),COUNT($U$1:U197)+1,"")</f>
        <v/>
      </c>
      <c r="V198" s="0">
        <f>IF(AND('Master Stock'!D198&lt;&gt;"",'Master Stock'!L198&lt;&gt;"",'Master Stock'!L198&lt;TODAY()-30),COUNT($V$1:V197)+1,"")</f>
        <v/>
      </c>
    </row>
    <row r="199" ht="15.75" customHeight="1" s="230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0">
        <f>IF(AND('Master Stock'!D199&lt;&gt;"",'Master Stock'!H199="OCCUPIED",'Master Stock'!J199&lt;&gt;"",'Master Stock'!K199=""),COUNT($U$1:U198)+1,"")</f>
        <v/>
      </c>
      <c r="V199" s="0">
        <f>IF(AND('Master Stock'!D199&lt;&gt;"",'Master Stock'!L199&lt;&gt;"",'Master Stock'!L199&lt;TODAY()-30),COUNT($V$1:V198)+1,"")</f>
        <v/>
      </c>
    </row>
    <row r="200" ht="15.75" customHeight="1" s="23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0">
        <f>IF(AND('Master Stock'!D200&lt;&gt;"",'Master Stock'!H200="OCCUPIED",'Master Stock'!J200&lt;&gt;"",'Master Stock'!K200=""),COUNT($U$1:U199)+1,"")</f>
        <v/>
      </c>
      <c r="V200" s="0">
        <f>IF(AND('Master Stock'!D200&lt;&gt;"",'Master Stock'!L200&lt;&gt;"",'Master Stock'!L200&lt;TODAY()-30),COUNT($V$1:V199)+1,"")</f>
        <v/>
      </c>
    </row>
    <row r="201" ht="15.75" customHeight="1" s="230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0">
        <f>IF(AND('Master Stock'!D201&lt;&gt;"",'Master Stock'!H201="OCCUPIED",'Master Stock'!J201&lt;&gt;"",'Master Stock'!K201=""),COUNT($U$1:U200)+1,"")</f>
        <v/>
      </c>
      <c r="V201" s="0">
        <f>IF(AND('Master Stock'!D201&lt;&gt;"",'Master Stock'!L201&lt;&gt;"",'Master Stock'!L201&lt;TODAY()-30),COUNT($V$1:V200)+1,"")</f>
        <v/>
      </c>
    </row>
    <row r="202" ht="15.75" customHeight="1" s="230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0">
        <f>IF(AND('Master Stock'!D202&lt;&gt;"",'Master Stock'!H202="OCCUPIED",'Master Stock'!J202&lt;&gt;"",'Master Stock'!K202=""),COUNT($U$1:U201)+1,"")</f>
        <v/>
      </c>
      <c r="V202" s="0">
        <f>IF(AND('Master Stock'!D202&lt;&gt;"",'Master Stock'!L202&lt;&gt;"",'Master Stock'!L202&lt;TODAY()-30),COUNT($V$1:V201)+1,"")</f>
        <v/>
      </c>
    </row>
    <row r="203" ht="15.75" customHeight="1" s="230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0">
        <f>IF(AND('Master Stock'!D203&lt;&gt;"",'Master Stock'!H203="OCCUPIED",'Master Stock'!J203&lt;&gt;"",'Master Stock'!K203=""),COUNT($U$1:U202)+1,"")</f>
        <v/>
      </c>
      <c r="V203" s="0">
        <f>IF(AND('Master Stock'!D203&lt;&gt;"",'Master Stock'!L203&lt;&gt;"",'Master Stock'!L203&lt;TODAY()-30),COUNT($V$1:V202)+1,"")</f>
        <v/>
      </c>
    </row>
    <row r="204" ht="15.75" customHeight="1" s="230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0">
        <f>IF(AND('Master Stock'!D204&lt;&gt;"",'Master Stock'!H204="OCCUPIED",'Master Stock'!J204&lt;&gt;"",'Master Stock'!K204=""),COUNT($U$1:U203)+1,"")</f>
        <v/>
      </c>
      <c r="V204" s="0">
        <f>IF(AND('Master Stock'!D204&lt;&gt;"",'Master Stock'!L204&lt;&gt;"",'Master Stock'!L204&lt;TODAY()-30),COUNT($V$1:V203)+1,"")</f>
        <v/>
      </c>
    </row>
    <row r="205" ht="15.75" customHeight="1" s="230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0">
        <f>IF(AND('Master Stock'!D205&lt;&gt;"",'Master Stock'!H205="OCCUPIED",'Master Stock'!J205&lt;&gt;"",'Master Stock'!K205=""),COUNT($U$1:U204)+1,"")</f>
        <v/>
      </c>
      <c r="V205" s="0">
        <f>IF(AND('Master Stock'!D205&lt;&gt;"",'Master Stock'!L205&lt;&gt;"",'Master Stock'!L205&lt;TODAY()-30),COUNT($V$1:V204)+1,"")</f>
        <v/>
      </c>
    </row>
    <row r="206" ht="15.75" customHeight="1" s="230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0">
        <f>IF(AND('Master Stock'!D206&lt;&gt;"",'Master Stock'!H206="OCCUPIED",'Master Stock'!J206&lt;&gt;"",'Master Stock'!K206=""),COUNT($U$1:U205)+1,"")</f>
        <v/>
      </c>
      <c r="V206" s="0">
        <f>IF(AND('Master Stock'!D206&lt;&gt;"",'Master Stock'!L206&lt;&gt;"",'Master Stock'!L206&lt;TODAY()-30),COUNT($V$1:V205)+1,"")</f>
        <v/>
      </c>
    </row>
    <row r="207" ht="15.75" customHeight="1" s="230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0">
        <f>IF(AND('Master Stock'!D207&lt;&gt;"",'Master Stock'!H207="OCCUPIED",'Master Stock'!J207&lt;&gt;"",'Master Stock'!K207=""),COUNT($U$1:U206)+1,"")</f>
        <v/>
      </c>
      <c r="V207" s="0">
        <f>IF(AND('Master Stock'!D207&lt;&gt;"",'Master Stock'!L207&lt;&gt;"",'Master Stock'!L207&lt;TODAY()-30),COUNT($V$1:V206)+1,"")</f>
        <v/>
      </c>
    </row>
    <row r="208" ht="15.75" customHeight="1" s="230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0">
        <f>IF(AND('Master Stock'!D208&lt;&gt;"",'Master Stock'!H208="OCCUPIED",'Master Stock'!J208&lt;&gt;"",'Master Stock'!K208=""),COUNT($U$1:U207)+1,"")</f>
        <v/>
      </c>
      <c r="V208" s="0">
        <f>IF(AND('Master Stock'!D208&lt;&gt;"",'Master Stock'!L208&lt;&gt;"",'Master Stock'!L208&lt;TODAY()-30),COUNT($V$1:V207)+1,"")</f>
        <v/>
      </c>
    </row>
    <row r="209" ht="15.75" customHeight="1" s="230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0">
        <f>IF(AND('Master Stock'!D209&lt;&gt;"",'Master Stock'!H209="OCCUPIED",'Master Stock'!J209&lt;&gt;"",'Master Stock'!K209=""),COUNT($U$1:U208)+1,"")</f>
        <v/>
      </c>
      <c r="V209" s="0">
        <f>IF(AND('Master Stock'!D209&lt;&gt;"",'Master Stock'!L209&lt;&gt;"",'Master Stock'!L209&lt;TODAY()-30),COUNT($V$1:V208)+1,"")</f>
        <v/>
      </c>
    </row>
    <row r="210" ht="15.75" customHeight="1" s="23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0">
        <f>IF(AND('Master Stock'!D210&lt;&gt;"",'Master Stock'!H210="OCCUPIED",'Master Stock'!J210&lt;&gt;"",'Master Stock'!K210=""),COUNT($U$1:U209)+1,"")</f>
        <v/>
      </c>
      <c r="V210" s="0">
        <f>IF(AND('Master Stock'!D210&lt;&gt;"",'Master Stock'!L210&lt;&gt;"",'Master Stock'!L210&lt;TODAY()-30),COUNT($V$1:V209)+1,"")</f>
        <v/>
      </c>
    </row>
    <row r="211" ht="15.75" customHeight="1" s="230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0">
        <f>IF(AND('Master Stock'!D211&lt;&gt;"",'Master Stock'!H211="OCCUPIED",'Master Stock'!J211&lt;&gt;"",'Master Stock'!K211=""),COUNT($U$1:U210)+1,"")</f>
        <v/>
      </c>
      <c r="V211" s="0">
        <f>IF(AND('Master Stock'!D211&lt;&gt;"",'Master Stock'!L211&lt;&gt;"",'Master Stock'!L211&lt;TODAY()-30),COUNT($V$1:V210)+1,"")</f>
        <v/>
      </c>
    </row>
    <row r="212" ht="15.75" customHeight="1" s="230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0">
        <f>IF(AND('Master Stock'!D212&lt;&gt;"",'Master Stock'!H212="OCCUPIED",'Master Stock'!J212&lt;&gt;"",'Master Stock'!K212=""),COUNT($U$1:U211)+1,"")</f>
        <v/>
      </c>
      <c r="V212" s="0">
        <f>IF(AND('Master Stock'!D212&lt;&gt;"",'Master Stock'!L212&lt;&gt;"",'Master Stock'!L212&lt;TODAY()-30),COUNT($V$1:V211)+1,"")</f>
        <v/>
      </c>
    </row>
    <row r="213" ht="15.75" customHeight="1" s="230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0">
        <f>IF(AND('Master Stock'!D213&lt;&gt;"",'Master Stock'!H213="OCCUPIED",'Master Stock'!J213&lt;&gt;"",'Master Stock'!K213=""),COUNT($U$1:U212)+1,"")</f>
        <v/>
      </c>
      <c r="V213" s="0">
        <f>IF(AND('Master Stock'!D213&lt;&gt;"",'Master Stock'!L213&lt;&gt;"",'Master Stock'!L213&lt;TODAY()-30),COUNT($V$1:V212)+1,"")</f>
        <v/>
      </c>
    </row>
    <row r="214" ht="15.75" customHeight="1" s="230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0">
        <f>IF(AND('Master Stock'!D214&lt;&gt;"",'Master Stock'!H214="OCCUPIED",'Master Stock'!J214&lt;&gt;"",'Master Stock'!K214=""),COUNT($U$1:U213)+1,"")</f>
        <v/>
      </c>
      <c r="V214" s="0">
        <f>IF(AND('Master Stock'!D214&lt;&gt;"",'Master Stock'!L214&lt;&gt;"",'Master Stock'!L214&lt;TODAY()-30),COUNT($V$1:V213)+1,"")</f>
        <v/>
      </c>
    </row>
    <row r="215" ht="15.75" customHeight="1" s="230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0">
        <f>IF(AND('Master Stock'!D215&lt;&gt;"",'Master Stock'!H215="OCCUPIED",'Master Stock'!J215&lt;&gt;"",'Master Stock'!K215=""),COUNT($U$1:U214)+1,"")</f>
        <v/>
      </c>
      <c r="V215" s="0">
        <f>IF(AND('Master Stock'!D215&lt;&gt;"",'Master Stock'!L215&lt;&gt;"",'Master Stock'!L215&lt;TODAY()-30),COUNT($V$1:V214)+1,"")</f>
        <v/>
      </c>
    </row>
    <row r="216" ht="15.75" customHeight="1" s="230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0">
        <f>IF(AND('Master Stock'!D216&lt;&gt;"",'Master Stock'!H216="OCCUPIED",'Master Stock'!J216&lt;&gt;"",'Master Stock'!K216=""),COUNT($U$1:U215)+1,"")</f>
        <v/>
      </c>
      <c r="V216" s="0">
        <f>IF(AND('Master Stock'!D216&lt;&gt;"",'Master Stock'!L216&lt;&gt;"",'Master Stock'!L216&lt;TODAY()-30),COUNT($V$1:V215)+1,"")</f>
        <v/>
      </c>
    </row>
    <row r="217" ht="15.75" customHeight="1" s="230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0">
        <f>IF(AND('Master Stock'!D217&lt;&gt;"",'Master Stock'!H217="OCCUPIED",'Master Stock'!J217&lt;&gt;"",'Master Stock'!K217=""),COUNT($U$1:U216)+1,"")</f>
        <v/>
      </c>
      <c r="V217" s="0">
        <f>IF(AND('Master Stock'!D217&lt;&gt;"",'Master Stock'!L217&lt;&gt;"",'Master Stock'!L217&lt;TODAY()-30),COUNT($V$1:V216)+1,"")</f>
        <v/>
      </c>
    </row>
    <row r="218" ht="15.75" customHeight="1" s="230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0">
        <f>IF(AND('Master Stock'!D218&lt;&gt;"",'Master Stock'!H218="OCCUPIED",'Master Stock'!J218&lt;&gt;"",'Master Stock'!K218=""),COUNT($U$1:U217)+1,"")</f>
        <v/>
      </c>
      <c r="V218" s="0">
        <f>IF(AND('Master Stock'!D218&lt;&gt;"",'Master Stock'!L218&lt;&gt;"",'Master Stock'!L218&lt;TODAY()-30),COUNT($V$1:V217)+1,"")</f>
        <v/>
      </c>
    </row>
    <row r="219" ht="15.75" customHeight="1" s="230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0">
        <f>IF(AND('Master Stock'!D219&lt;&gt;"",'Master Stock'!H219="OCCUPIED",'Master Stock'!J219&lt;&gt;"",'Master Stock'!K219=""),COUNT($U$1:U218)+1,"")</f>
        <v/>
      </c>
      <c r="V219" s="0">
        <f>IF(AND('Master Stock'!D219&lt;&gt;"",'Master Stock'!L219&lt;&gt;"",'Master Stock'!L219&lt;TODAY()-30),COUNT($V$1:V218)+1,"")</f>
        <v/>
      </c>
    </row>
    <row r="220" ht="15.75" customHeight="1" s="23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0">
        <f>IF(AND('Master Stock'!D220&lt;&gt;"",'Master Stock'!H220="OCCUPIED",'Master Stock'!J220&lt;&gt;"",'Master Stock'!K220=""),COUNT($U$1:U219)+1,"")</f>
        <v/>
      </c>
      <c r="V220" s="0">
        <f>IF(AND('Master Stock'!D220&lt;&gt;"",'Master Stock'!L220&lt;&gt;"",'Master Stock'!L220&lt;TODAY()-30),COUNT($V$1:V219)+1,"")</f>
        <v/>
      </c>
    </row>
    <row r="221" ht="15.75" customHeight="1" s="230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0">
        <f>IF(AND('Master Stock'!D221&lt;&gt;"",'Master Stock'!H221="OCCUPIED",'Master Stock'!J221&lt;&gt;"",'Master Stock'!K221=""),COUNT($U$1:U220)+1,"")</f>
        <v/>
      </c>
      <c r="V221" s="0">
        <f>IF(AND('Master Stock'!D221&lt;&gt;"",'Master Stock'!L221&lt;&gt;"",'Master Stock'!L221&lt;TODAY()-30),COUNT($V$1:V220)+1,"")</f>
        <v/>
      </c>
    </row>
    <row r="222" ht="15.75" customHeight="1" s="230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0">
        <f>IF(AND('Master Stock'!D222&lt;&gt;"",'Master Stock'!H222="OCCUPIED",'Master Stock'!J222&lt;&gt;"",'Master Stock'!K222=""),COUNT($U$1:U221)+1,"")</f>
        <v/>
      </c>
      <c r="V222" s="0">
        <f>IF(AND('Master Stock'!D222&lt;&gt;"",'Master Stock'!L222&lt;&gt;"",'Master Stock'!L222&lt;TODAY()-30),COUNT($V$1:V221)+1,"")</f>
        <v/>
      </c>
    </row>
    <row r="223" ht="15.75" customHeight="1" s="230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0">
        <f>IF(AND('Master Stock'!D223&lt;&gt;"",'Master Stock'!H223="OCCUPIED",'Master Stock'!J223&lt;&gt;"",'Master Stock'!K223=""),COUNT($U$1:U222)+1,"")</f>
        <v/>
      </c>
      <c r="V223" s="0">
        <f>IF(AND('Master Stock'!D223&lt;&gt;"",'Master Stock'!L223&lt;&gt;"",'Master Stock'!L223&lt;TODAY()-30),COUNT($V$1:V222)+1,"")</f>
        <v/>
      </c>
    </row>
    <row r="224" ht="15.75" customHeight="1" s="230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0">
        <f>IF(AND('Master Stock'!D224&lt;&gt;"",'Master Stock'!H224="OCCUPIED",'Master Stock'!J224&lt;&gt;"",'Master Stock'!K224=""),COUNT($U$1:U223)+1,"")</f>
        <v/>
      </c>
      <c r="V224" s="0">
        <f>IF(AND('Master Stock'!D224&lt;&gt;"",'Master Stock'!L224&lt;&gt;"",'Master Stock'!L224&lt;TODAY()-30),COUNT($V$1:V223)+1,"")</f>
        <v/>
      </c>
    </row>
    <row r="225" ht="15.75" customHeight="1" s="230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0">
        <f>IF(AND('Master Stock'!D225&lt;&gt;"",'Master Stock'!H225="OCCUPIED",'Master Stock'!J225&lt;&gt;"",'Master Stock'!K225=""),COUNT($U$1:U224)+1,"")</f>
        <v/>
      </c>
      <c r="V225" s="0">
        <f>IF(AND('Master Stock'!D225&lt;&gt;"",'Master Stock'!L225&lt;&gt;"",'Master Stock'!L225&lt;TODAY()-30),COUNT($V$1:V224)+1,"")</f>
        <v/>
      </c>
    </row>
    <row r="226" ht="15.75" customHeight="1" s="230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0">
        <f>IF(AND('Master Stock'!D226&lt;&gt;"",'Master Stock'!H226="OCCUPIED",'Master Stock'!J226&lt;&gt;"",'Master Stock'!K226=""),COUNT($U$1:U225)+1,"")</f>
        <v/>
      </c>
      <c r="V226" s="0">
        <f>IF(AND('Master Stock'!D226&lt;&gt;"",'Master Stock'!L226&lt;&gt;"",'Master Stock'!L226&lt;TODAY()-30),COUNT($V$1:V225)+1,"")</f>
        <v/>
      </c>
    </row>
    <row r="227" ht="15.75" customHeight="1" s="230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0">
        <f>IF(AND('Master Stock'!D227&lt;&gt;"",'Master Stock'!H227="OCCUPIED",'Master Stock'!J227&lt;&gt;"",'Master Stock'!K227=""),COUNT($U$1:U226)+1,"")</f>
        <v/>
      </c>
      <c r="V227" s="0">
        <f>IF(AND('Master Stock'!D227&lt;&gt;"",'Master Stock'!L227&lt;&gt;"",'Master Stock'!L227&lt;TODAY()-30),COUNT($V$1:V226)+1,"")</f>
        <v/>
      </c>
    </row>
    <row r="228" ht="15.75" customHeight="1" s="230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0">
        <f>IF(AND('Master Stock'!D228&lt;&gt;"",'Master Stock'!H228="OCCUPIED",'Master Stock'!J228&lt;&gt;"",'Master Stock'!K228=""),COUNT($U$1:U227)+1,"")</f>
        <v/>
      </c>
      <c r="V228" s="0">
        <f>IF(AND('Master Stock'!D228&lt;&gt;"",'Master Stock'!L228&lt;&gt;"",'Master Stock'!L228&lt;TODAY()-30),COUNT($V$1:V227)+1,"")</f>
        <v/>
      </c>
    </row>
    <row r="229" ht="15.75" customHeight="1" s="230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0">
        <f>IF(AND('Master Stock'!D229&lt;&gt;"",'Master Stock'!H229="OCCUPIED",'Master Stock'!J229&lt;&gt;"",'Master Stock'!K229=""),COUNT($U$1:U228)+1,"")</f>
        <v/>
      </c>
      <c r="V229" s="0">
        <f>IF(AND('Master Stock'!D229&lt;&gt;"",'Master Stock'!L229&lt;&gt;"",'Master Stock'!L229&lt;TODAY()-30),COUNT($V$1:V228)+1,"")</f>
        <v/>
      </c>
    </row>
    <row r="230" ht="15.75" customHeight="1" s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0">
        <f>IF(AND('Master Stock'!D230&lt;&gt;"",'Master Stock'!H230="OCCUPIED",'Master Stock'!J230&lt;&gt;"",'Master Stock'!K230=""),COUNT($U$1:U229)+1,"")</f>
        <v/>
      </c>
      <c r="V230" s="0">
        <f>IF(AND('Master Stock'!D230&lt;&gt;"",'Master Stock'!L230&lt;&gt;"",'Master Stock'!L230&lt;TODAY()-30),COUNT($V$1:V229)+1,"")</f>
        <v/>
      </c>
    </row>
    <row r="231" ht="15.75" customHeight="1" s="230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0">
        <f>IF(AND('Master Stock'!D231&lt;&gt;"",'Master Stock'!H231="OCCUPIED",'Master Stock'!J231&lt;&gt;"",'Master Stock'!K231=""),COUNT($U$1:U230)+1,"")</f>
        <v/>
      </c>
      <c r="V231" s="0">
        <f>IF(AND('Master Stock'!D231&lt;&gt;"",'Master Stock'!L231&lt;&gt;"",'Master Stock'!L231&lt;TODAY()-30),COUNT($V$1:V230)+1,"")</f>
        <v/>
      </c>
    </row>
    <row r="232" ht="15.75" customHeight="1" s="230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0">
        <f>IF(AND('Master Stock'!D232&lt;&gt;"",'Master Stock'!H232="OCCUPIED",'Master Stock'!J232&lt;&gt;"",'Master Stock'!K232=""),COUNT($U$1:U231)+1,"")</f>
        <v/>
      </c>
      <c r="V232" s="0">
        <f>IF(AND('Master Stock'!D232&lt;&gt;"",'Master Stock'!L232&lt;&gt;"",'Master Stock'!L232&lt;TODAY()-30),COUNT($V$1:V231)+1,"")</f>
        <v/>
      </c>
    </row>
    <row r="233" ht="15.75" customHeight="1" s="230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0">
        <f>IF(AND('Master Stock'!D233&lt;&gt;"",'Master Stock'!H233="OCCUPIED",'Master Stock'!J233&lt;&gt;"",'Master Stock'!K233=""),COUNT($U$1:U232)+1,"")</f>
        <v/>
      </c>
      <c r="V233" s="0">
        <f>IF(AND('Master Stock'!D233&lt;&gt;"",'Master Stock'!L233&lt;&gt;"",'Master Stock'!L233&lt;TODAY()-30),COUNT($V$1:V232)+1,"")</f>
        <v/>
      </c>
    </row>
    <row r="234" ht="15.75" customHeight="1" s="230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0">
        <f>IF(AND('Master Stock'!D234&lt;&gt;"",'Master Stock'!H234="OCCUPIED",'Master Stock'!J234&lt;&gt;"",'Master Stock'!K234=""),COUNT($U$1:U233)+1,"")</f>
        <v/>
      </c>
      <c r="V234" s="0">
        <f>IF(AND('Master Stock'!D234&lt;&gt;"",'Master Stock'!L234&lt;&gt;"",'Master Stock'!L234&lt;TODAY()-30),COUNT($V$1:V233)+1,"")</f>
        <v/>
      </c>
    </row>
    <row r="235" ht="15.75" customHeight="1" s="230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0">
        <f>IF(AND('Master Stock'!D235&lt;&gt;"",'Master Stock'!H235="OCCUPIED",'Master Stock'!J235&lt;&gt;"",'Master Stock'!K235=""),COUNT($U$1:U234)+1,"")</f>
        <v/>
      </c>
      <c r="V235" s="0">
        <f>IF(AND('Master Stock'!D235&lt;&gt;"",'Master Stock'!L235&lt;&gt;"",'Master Stock'!L235&lt;TODAY()-30),COUNT($V$1:V234)+1,"")</f>
        <v/>
      </c>
    </row>
    <row r="236" ht="15.75" customHeight="1" s="230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0">
        <f>IF(AND('Master Stock'!D236&lt;&gt;"",'Master Stock'!H236="OCCUPIED",'Master Stock'!J236&lt;&gt;"",'Master Stock'!K236=""),COUNT($U$1:U235)+1,"")</f>
        <v/>
      </c>
      <c r="V236" s="0">
        <f>IF(AND('Master Stock'!D236&lt;&gt;"",'Master Stock'!L236&lt;&gt;"",'Master Stock'!L236&lt;TODAY()-30),COUNT($V$1:V235)+1,"")</f>
        <v/>
      </c>
    </row>
    <row r="237" ht="15.75" customHeight="1" s="230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0">
        <f>IF(AND('Master Stock'!D237&lt;&gt;"",'Master Stock'!H237="OCCUPIED",'Master Stock'!J237&lt;&gt;"",'Master Stock'!K237=""),COUNT($U$1:U236)+1,"")</f>
        <v/>
      </c>
      <c r="V237" s="0">
        <f>IF(AND('Master Stock'!D237&lt;&gt;"",'Master Stock'!L237&lt;&gt;"",'Master Stock'!L237&lt;TODAY()-30),COUNT($V$1:V236)+1,"")</f>
        <v/>
      </c>
    </row>
    <row r="238" ht="15.75" customHeight="1" s="230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0">
        <f>IF(AND('Master Stock'!D238&lt;&gt;"",'Master Stock'!H238="OCCUPIED",'Master Stock'!J238&lt;&gt;"",'Master Stock'!K238=""),COUNT($U$1:U237)+1,"")</f>
        <v/>
      </c>
      <c r="V238" s="0">
        <f>IF(AND('Master Stock'!D238&lt;&gt;"",'Master Stock'!L238&lt;&gt;"",'Master Stock'!L238&lt;TODAY()-30),COUNT($V$1:V237)+1,"")</f>
        <v/>
      </c>
    </row>
    <row r="239" ht="15.75" customHeight="1" s="230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0">
        <f>IF(AND('Master Stock'!D239&lt;&gt;"",'Master Stock'!H239="OCCUPIED",'Master Stock'!J239&lt;&gt;"",'Master Stock'!K239=""),COUNT($U$1:U238)+1,"")</f>
        <v/>
      </c>
      <c r="V239" s="0">
        <f>IF(AND('Master Stock'!D239&lt;&gt;"",'Master Stock'!L239&lt;&gt;"",'Master Stock'!L239&lt;TODAY()-30),COUNT($V$1:V238)+1,"")</f>
        <v/>
      </c>
    </row>
    <row r="240" ht="15.75" customHeight="1" s="23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0">
        <f>IF(AND('Master Stock'!D240&lt;&gt;"",'Master Stock'!H240="OCCUPIED",'Master Stock'!J240&lt;&gt;"",'Master Stock'!K240=""),COUNT($U$1:U239)+1,"")</f>
        <v/>
      </c>
      <c r="V240" s="0">
        <f>IF(AND('Master Stock'!D240&lt;&gt;"",'Master Stock'!L240&lt;&gt;"",'Master Stock'!L240&lt;TODAY()-30),COUNT($V$1:V239)+1,"")</f>
        <v/>
      </c>
    </row>
    <row r="241" ht="15.75" customHeight="1" s="230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0">
        <f>IF(AND('Master Stock'!D241&lt;&gt;"",'Master Stock'!H241="OCCUPIED",'Master Stock'!J241&lt;&gt;"",'Master Stock'!K241=""),COUNT($U$1:U240)+1,"")</f>
        <v/>
      </c>
      <c r="V241" s="0">
        <f>IF(AND('Master Stock'!D241&lt;&gt;"",'Master Stock'!L241&lt;&gt;"",'Master Stock'!L241&lt;TODAY()-30),COUNT($V$1:V240)+1,"")</f>
        <v/>
      </c>
    </row>
    <row r="242" ht="15.75" customHeight="1" s="23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0">
        <f>IF(AND('Master Stock'!D242&lt;&gt;"",'Master Stock'!H242="OCCUPIED",'Master Stock'!J242&lt;&gt;"",'Master Stock'!K242=""),COUNT($U$1:U241)+1,"")</f>
        <v/>
      </c>
      <c r="V242" s="0">
        <f>IF(AND('Master Stock'!D242&lt;&gt;"",'Master Stock'!L242&lt;&gt;"",'Master Stock'!L242&lt;TODAY()-30),COUNT($V$1:V241)+1,"")</f>
        <v/>
      </c>
    </row>
    <row r="243" ht="15.75" customHeight="1" s="23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0">
        <f>IF(AND('Master Stock'!D243&lt;&gt;"",'Master Stock'!H243="OCCUPIED",'Master Stock'!J243&lt;&gt;"",'Master Stock'!K243=""),COUNT($U$1:U242)+1,"")</f>
        <v/>
      </c>
      <c r="V243" s="0">
        <f>IF(AND('Master Stock'!D243&lt;&gt;"",'Master Stock'!L243&lt;&gt;"",'Master Stock'!L243&lt;TODAY()-30),COUNT($V$1:V242)+1,"")</f>
        <v/>
      </c>
    </row>
    <row r="244" ht="15.75" customHeight="1" s="23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0">
        <f>IF(AND('Master Stock'!D244&lt;&gt;"",'Master Stock'!H244="OCCUPIED",'Master Stock'!J244&lt;&gt;"",'Master Stock'!K244=""),COUNT($U$1:U243)+1,"")</f>
        <v/>
      </c>
      <c r="V244" s="0">
        <f>IF(AND('Master Stock'!D244&lt;&gt;"",'Master Stock'!L244&lt;&gt;"",'Master Stock'!L244&lt;TODAY()-30),COUNT($V$1:V243)+1,"")</f>
        <v/>
      </c>
    </row>
    <row r="245" ht="15.75" customHeight="1" s="230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0">
        <f>IF(AND('Master Stock'!D245&lt;&gt;"",'Master Stock'!H245="OCCUPIED",'Master Stock'!J245&lt;&gt;"",'Master Stock'!K245=""),COUNT($U$1:U244)+1,"")</f>
        <v/>
      </c>
      <c r="V245" s="0">
        <f>IF(AND('Master Stock'!D245&lt;&gt;"",'Master Stock'!L245&lt;&gt;"",'Master Stock'!L245&lt;TODAY()-30),COUNT($V$1:V244)+1,"")</f>
        <v/>
      </c>
    </row>
    <row r="246" ht="15.75" customHeight="1" s="230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0">
        <f>IF(AND('Master Stock'!D246&lt;&gt;"",'Master Stock'!H246="OCCUPIED",'Master Stock'!J246&lt;&gt;"",'Master Stock'!K246=""),COUNT($U$1:U245)+1,"")</f>
        <v/>
      </c>
      <c r="V246" s="0">
        <f>IF(AND('Master Stock'!D246&lt;&gt;"",'Master Stock'!L246&lt;&gt;"",'Master Stock'!L246&lt;TODAY()-30),COUNT($V$1:V245)+1,"")</f>
        <v/>
      </c>
    </row>
    <row r="247" ht="15.75" customHeight="1" s="230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0">
        <f>IF(AND('Master Stock'!D247&lt;&gt;"",'Master Stock'!H247="OCCUPIED",'Master Stock'!J247&lt;&gt;"",'Master Stock'!K247=""),COUNT($U$1:U246)+1,"")</f>
        <v/>
      </c>
      <c r="V247" s="0">
        <f>IF(AND('Master Stock'!D247&lt;&gt;"",'Master Stock'!L247&lt;&gt;"",'Master Stock'!L247&lt;TODAY()-30),COUNT($V$1:V246)+1,"")</f>
        <v/>
      </c>
    </row>
    <row r="248" ht="15.75" customHeight="1" s="230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0">
        <f>IF(AND('Master Stock'!D248&lt;&gt;"",'Master Stock'!H248="OCCUPIED",'Master Stock'!J248&lt;&gt;"",'Master Stock'!K248=""),COUNT($U$1:U247)+1,"")</f>
        <v/>
      </c>
      <c r="V248" s="0">
        <f>IF(AND('Master Stock'!D248&lt;&gt;"",'Master Stock'!L248&lt;&gt;"",'Master Stock'!L248&lt;TODAY()-30),COUNT($V$1:V247)+1,"")</f>
        <v/>
      </c>
    </row>
    <row r="249" ht="15.75" customHeight="1" s="230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0">
        <f>IF(AND('Master Stock'!D249&lt;&gt;"",'Master Stock'!H249="OCCUPIED",'Master Stock'!J249&lt;&gt;"",'Master Stock'!K249=""),COUNT($U$1:U248)+1,"")</f>
        <v/>
      </c>
      <c r="V249" s="0">
        <f>IF(AND('Master Stock'!D249&lt;&gt;"",'Master Stock'!L249&lt;&gt;"",'Master Stock'!L249&lt;TODAY()-30),COUNT($V$1:V248)+1,"")</f>
        <v/>
      </c>
    </row>
    <row r="250" ht="15.75" customHeight="1" s="23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0">
        <f>IF(AND('Master Stock'!D250&lt;&gt;"",'Master Stock'!H250="OCCUPIED",'Master Stock'!J250&lt;&gt;"",'Master Stock'!K250=""),COUNT($U$1:U249)+1,"")</f>
        <v/>
      </c>
      <c r="V250" s="0">
        <f>IF(AND('Master Stock'!D250&lt;&gt;"",'Master Stock'!L250&lt;&gt;"",'Master Stock'!L250&lt;TODAY()-30),COUNT($V$1:V249)+1,"")</f>
        <v/>
      </c>
    </row>
    <row r="251" ht="15.75" customHeight="1" s="230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0">
        <f>IF(AND('Master Stock'!D251&lt;&gt;"",'Master Stock'!H251="OCCUPIED",'Master Stock'!J251&lt;&gt;"",'Master Stock'!K251=""),COUNT($U$1:U250)+1,"")</f>
        <v/>
      </c>
      <c r="V251" s="0">
        <f>IF(AND('Master Stock'!D251&lt;&gt;"",'Master Stock'!L251&lt;&gt;"",'Master Stock'!L251&lt;TODAY()-30),COUNT($V$1:V250)+1,"")</f>
        <v/>
      </c>
    </row>
    <row r="252" ht="15.75" customHeight="1" s="230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0">
        <f>IF(AND('Master Stock'!D252&lt;&gt;"",'Master Stock'!H252="OCCUPIED",'Master Stock'!J252&lt;&gt;"",'Master Stock'!K252=""),COUNT($U$1:U251)+1,"")</f>
        <v/>
      </c>
      <c r="V252" s="0">
        <f>IF(AND('Master Stock'!D252&lt;&gt;"",'Master Stock'!L252&lt;&gt;"",'Master Stock'!L252&lt;TODAY()-30),COUNT($V$1:V251)+1,"")</f>
        <v/>
      </c>
    </row>
    <row r="253" ht="15.75" customHeight="1" s="230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0">
        <f>IF(AND('Master Stock'!D253&lt;&gt;"",'Master Stock'!H253="OCCUPIED",'Master Stock'!J253&lt;&gt;"",'Master Stock'!K253=""),COUNT($U$1:U252)+1,"")</f>
        <v/>
      </c>
      <c r="V253" s="0">
        <f>IF(AND('Master Stock'!D253&lt;&gt;"",'Master Stock'!L253&lt;&gt;"",'Master Stock'!L253&lt;TODAY()-30),COUNT($V$1:V252)+1,"")</f>
        <v/>
      </c>
    </row>
    <row r="254" ht="15.75" customHeight="1" s="230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0">
        <f>IF(AND('Master Stock'!D254&lt;&gt;"",'Master Stock'!H254="OCCUPIED",'Master Stock'!J254&lt;&gt;"",'Master Stock'!K254=""),COUNT($U$1:U253)+1,"")</f>
        <v/>
      </c>
      <c r="V254" s="0">
        <f>IF(AND('Master Stock'!D254&lt;&gt;"",'Master Stock'!L254&lt;&gt;"",'Master Stock'!L254&lt;TODAY()-30),COUNT($V$1:V253)+1,"")</f>
        <v/>
      </c>
    </row>
    <row r="255" ht="15.75" customHeight="1" s="230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0">
        <f>IF(AND('Master Stock'!D255&lt;&gt;"",'Master Stock'!H255="OCCUPIED",'Master Stock'!J255&lt;&gt;"",'Master Stock'!K255=""),COUNT($U$1:U254)+1,"")</f>
        <v/>
      </c>
      <c r="V255" s="0">
        <f>IF(AND('Master Stock'!D255&lt;&gt;"",'Master Stock'!L255&lt;&gt;"",'Master Stock'!L255&lt;TODAY()-30),COUNT($V$1:V254)+1,"")</f>
        <v/>
      </c>
    </row>
    <row r="256" ht="15.75" customHeight="1" s="230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0">
        <f>IF(AND('Master Stock'!D256&lt;&gt;"",'Master Stock'!H256="OCCUPIED",'Master Stock'!J256&lt;&gt;"",'Master Stock'!K256=""),COUNT($U$1:U255)+1,"")</f>
        <v/>
      </c>
      <c r="V256" s="0">
        <f>IF(AND('Master Stock'!D256&lt;&gt;"",'Master Stock'!L256&lt;&gt;"",'Master Stock'!L256&lt;TODAY()-30),COUNT($V$1:V255)+1,"")</f>
        <v/>
      </c>
    </row>
    <row r="257" ht="15.75" customHeight="1" s="230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0">
        <f>IF(AND('Master Stock'!D257&lt;&gt;"",'Master Stock'!H257="OCCUPIED",'Master Stock'!J257&lt;&gt;"",'Master Stock'!K257=""),COUNT($U$1:U256)+1,"")</f>
        <v/>
      </c>
      <c r="V257" s="0">
        <f>IF(AND('Master Stock'!D257&lt;&gt;"",'Master Stock'!L257&lt;&gt;"",'Master Stock'!L257&lt;TODAY()-30),COUNT($V$1:V256)+1,"")</f>
        <v/>
      </c>
    </row>
    <row r="258" ht="15.75" customHeight="1" s="230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0">
        <f>IF(AND('Master Stock'!D258&lt;&gt;"",'Master Stock'!H258="OCCUPIED",'Master Stock'!J258&lt;&gt;"",'Master Stock'!K258=""),COUNT($U$1:U257)+1,"")</f>
        <v/>
      </c>
      <c r="V258" s="0">
        <f>IF(AND('Master Stock'!D258&lt;&gt;"",'Master Stock'!L258&lt;&gt;"",'Master Stock'!L258&lt;TODAY()-30),COUNT($V$1:V257)+1,"")</f>
        <v/>
      </c>
    </row>
    <row r="259" ht="15.75" customHeight="1" s="230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0">
        <f>IF(AND('Master Stock'!D259&lt;&gt;"",'Master Stock'!H259="OCCUPIED",'Master Stock'!J259&lt;&gt;"",'Master Stock'!K259=""),COUNT($U$1:U258)+1,"")</f>
        <v/>
      </c>
      <c r="V259" s="0">
        <f>IF(AND('Master Stock'!D259&lt;&gt;"",'Master Stock'!L259&lt;&gt;"",'Master Stock'!L259&lt;TODAY()-30),COUNT($V$1:V258)+1,"")</f>
        <v/>
      </c>
    </row>
    <row r="260" ht="15.75" customHeight="1" s="23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0">
        <f>IF(AND('Master Stock'!D260&lt;&gt;"",'Master Stock'!H260="OCCUPIED",'Master Stock'!J260&lt;&gt;"",'Master Stock'!K260=""),COUNT($U$1:U259)+1,"")</f>
        <v/>
      </c>
      <c r="V260" s="0">
        <f>IF(AND('Master Stock'!D260&lt;&gt;"",'Master Stock'!L260&lt;&gt;"",'Master Stock'!L260&lt;TODAY()-30),COUNT($V$1:V259)+1,"")</f>
        <v/>
      </c>
    </row>
    <row r="261" ht="15.75" customHeight="1" s="230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0">
        <f>IF(AND('Master Stock'!D261&lt;&gt;"",'Master Stock'!H261="OCCUPIED",'Master Stock'!J261&lt;&gt;"",'Master Stock'!K261=""),COUNT($U$1:U260)+1,"")</f>
        <v/>
      </c>
      <c r="V261" s="0">
        <f>IF(AND('Master Stock'!D261&lt;&gt;"",'Master Stock'!L261&lt;&gt;"",'Master Stock'!L261&lt;TODAY()-30),COUNT($V$1:V260)+1,"")</f>
        <v/>
      </c>
    </row>
    <row r="262" ht="15.75" customHeight="1" s="230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0">
        <f>IF(AND('Master Stock'!D262&lt;&gt;"",'Master Stock'!H262="OCCUPIED",'Master Stock'!J262&lt;&gt;"",'Master Stock'!K262=""),COUNT($U$1:U261)+1,"")</f>
        <v/>
      </c>
      <c r="V262" s="0">
        <f>IF(AND('Master Stock'!D262&lt;&gt;"",'Master Stock'!L262&lt;&gt;"",'Master Stock'!L262&lt;TODAY()-30),COUNT($V$1:V261)+1,"")</f>
        <v/>
      </c>
    </row>
    <row r="263" ht="15.75" customHeight="1" s="230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0">
        <f>IF(AND('Master Stock'!D263&lt;&gt;"",'Master Stock'!H263="OCCUPIED",'Master Stock'!J263&lt;&gt;"",'Master Stock'!K263=""),COUNT($U$1:U262)+1,"")</f>
        <v/>
      </c>
      <c r="V263" s="0">
        <f>IF(AND('Master Stock'!D263&lt;&gt;"",'Master Stock'!L263&lt;&gt;"",'Master Stock'!L263&lt;TODAY()-30),COUNT($V$1:V262)+1,"")</f>
        <v/>
      </c>
    </row>
    <row r="264" ht="15.75" customHeight="1" s="230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0">
        <f>IF(AND('Master Stock'!D264&lt;&gt;"",'Master Stock'!H264="OCCUPIED",'Master Stock'!J264&lt;&gt;"",'Master Stock'!K264=""),COUNT($U$1:U263)+1,"")</f>
        <v/>
      </c>
      <c r="V264" s="0">
        <f>IF(AND('Master Stock'!D264&lt;&gt;"",'Master Stock'!L264&lt;&gt;"",'Master Stock'!L264&lt;TODAY()-30),COUNT($V$1:V263)+1,"")</f>
        <v/>
      </c>
    </row>
    <row r="265" ht="15.75" customHeight="1" s="230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0">
        <f>IF(AND('Master Stock'!D265&lt;&gt;"",'Master Stock'!H265="OCCUPIED",'Master Stock'!J265&lt;&gt;"",'Master Stock'!K265=""),COUNT($U$1:U264)+1,"")</f>
        <v/>
      </c>
      <c r="V265" s="0">
        <f>IF(AND('Master Stock'!D265&lt;&gt;"",'Master Stock'!L265&lt;&gt;"",'Master Stock'!L265&lt;TODAY()-30),COUNT($V$1:V264)+1,"")</f>
        <v/>
      </c>
    </row>
    <row r="266" ht="15.75" customHeight="1" s="230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0">
        <f>IF(AND('Master Stock'!D266&lt;&gt;"",'Master Stock'!H266="OCCUPIED",'Master Stock'!J266&lt;&gt;"",'Master Stock'!K266=""),COUNT($U$1:U265)+1,"")</f>
        <v/>
      </c>
      <c r="V266" s="0">
        <f>IF(AND('Master Stock'!D266&lt;&gt;"",'Master Stock'!L266&lt;&gt;"",'Master Stock'!L266&lt;TODAY()-30),COUNT($V$1:V265)+1,"")</f>
        <v/>
      </c>
    </row>
    <row r="267" ht="15.75" customHeight="1" s="230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0">
        <f>IF(AND('Master Stock'!D267&lt;&gt;"",'Master Stock'!H267="OCCUPIED",'Master Stock'!J267&lt;&gt;"",'Master Stock'!K267=""),COUNT($U$1:U266)+1,"")</f>
        <v/>
      </c>
      <c r="V267" s="0">
        <f>IF(AND('Master Stock'!D267&lt;&gt;"",'Master Stock'!L267&lt;&gt;"",'Master Stock'!L267&lt;TODAY()-30),COUNT($V$1:V266)+1,"")</f>
        <v/>
      </c>
    </row>
    <row r="268" ht="15.75" customHeight="1" s="230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0">
        <f>IF(AND('Master Stock'!D268&lt;&gt;"",'Master Stock'!H268="OCCUPIED",'Master Stock'!J268&lt;&gt;"",'Master Stock'!K268=""),COUNT($U$1:U267)+1,"")</f>
        <v/>
      </c>
      <c r="V268" s="0">
        <f>IF(AND('Master Stock'!D268&lt;&gt;"",'Master Stock'!L268&lt;&gt;"",'Master Stock'!L268&lt;TODAY()-30),COUNT($V$1:V267)+1,"")</f>
        <v/>
      </c>
    </row>
    <row r="269" ht="15.75" customHeight="1" s="230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0">
        <f>IF(AND('Master Stock'!D269&lt;&gt;"",'Master Stock'!H269="OCCUPIED",'Master Stock'!J269&lt;&gt;"",'Master Stock'!K269=""),COUNT($U$1:U268)+1,"")</f>
        <v/>
      </c>
      <c r="V269" s="0">
        <f>IF(AND('Master Stock'!D269&lt;&gt;"",'Master Stock'!L269&lt;&gt;"",'Master Stock'!L269&lt;TODAY()-30),COUNT($V$1:V268)+1,"")</f>
        <v/>
      </c>
    </row>
    <row r="270" ht="15.75" customHeight="1" s="23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0">
        <f>IF(AND('Master Stock'!D270&lt;&gt;"",'Master Stock'!H270="OCCUPIED",'Master Stock'!J270&lt;&gt;"",'Master Stock'!K270=""),COUNT($U$1:U269)+1,"")</f>
        <v/>
      </c>
      <c r="V270" s="0">
        <f>IF(AND('Master Stock'!D270&lt;&gt;"",'Master Stock'!L270&lt;&gt;"",'Master Stock'!L270&lt;TODAY()-30),COUNT($V$1:V269)+1,"")</f>
        <v/>
      </c>
    </row>
    <row r="271" ht="15.75" customHeight="1" s="230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0">
        <f>IF(AND('Master Stock'!D271&lt;&gt;"",'Master Stock'!H271="OCCUPIED",'Master Stock'!J271&lt;&gt;"",'Master Stock'!K271=""),COUNT($U$1:U270)+1,"")</f>
        <v/>
      </c>
      <c r="V271" s="0">
        <f>IF(AND('Master Stock'!D271&lt;&gt;"",'Master Stock'!L271&lt;&gt;"",'Master Stock'!L271&lt;TODAY()-30),COUNT($V$1:V270)+1,"")</f>
        <v/>
      </c>
    </row>
    <row r="272" ht="15.75" customHeight="1" s="230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0">
        <f>IF(AND('Master Stock'!D272&lt;&gt;"",'Master Stock'!H272="OCCUPIED",'Master Stock'!J272&lt;&gt;"",'Master Stock'!K272=""),COUNT($U$1:U271)+1,"")</f>
        <v/>
      </c>
      <c r="V272" s="0">
        <f>IF(AND('Master Stock'!D272&lt;&gt;"",'Master Stock'!L272&lt;&gt;"",'Master Stock'!L272&lt;TODAY()-30),COUNT($V$1:V271)+1,"")</f>
        <v/>
      </c>
    </row>
    <row r="273" ht="15.75" customHeight="1" s="230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0">
        <f>IF(AND('Master Stock'!D273&lt;&gt;"",'Master Stock'!H273="OCCUPIED",'Master Stock'!J273&lt;&gt;"",'Master Stock'!K273=""),COUNT($U$1:U272)+1,"")</f>
        <v/>
      </c>
      <c r="V273" s="0">
        <f>IF(AND('Master Stock'!D273&lt;&gt;"",'Master Stock'!L273&lt;&gt;"",'Master Stock'!L273&lt;TODAY()-30),COUNT($V$1:V272)+1,"")</f>
        <v/>
      </c>
    </row>
    <row r="274" ht="15.75" customHeight="1" s="230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0">
        <f>IF(AND('Master Stock'!D274&lt;&gt;"",'Master Stock'!H274="OCCUPIED",'Master Stock'!J274&lt;&gt;"",'Master Stock'!K274=""),COUNT($U$1:U273)+1,"")</f>
        <v/>
      </c>
      <c r="V274" s="0">
        <f>IF(AND('Master Stock'!D274&lt;&gt;"",'Master Stock'!L274&lt;&gt;"",'Master Stock'!L274&lt;TODAY()-30),COUNT($V$1:V273)+1,"")</f>
        <v/>
      </c>
    </row>
    <row r="275" ht="15.75" customHeight="1" s="230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0">
        <f>IF(AND('Master Stock'!D275&lt;&gt;"",'Master Stock'!H275="OCCUPIED",'Master Stock'!J275&lt;&gt;"",'Master Stock'!K275=""),COUNT($U$1:U274)+1,"")</f>
        <v/>
      </c>
      <c r="V275" s="0">
        <f>IF(AND('Master Stock'!D275&lt;&gt;"",'Master Stock'!L275&lt;&gt;"",'Master Stock'!L275&lt;TODAY()-30),COUNT($V$1:V274)+1,"")</f>
        <v/>
      </c>
    </row>
    <row r="276" ht="15.75" customHeight="1" s="230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0">
        <f>IF(AND('Master Stock'!D276&lt;&gt;"",'Master Stock'!H276="OCCUPIED",'Master Stock'!J276&lt;&gt;"",'Master Stock'!K276=""),COUNT($U$1:U275)+1,"")</f>
        <v/>
      </c>
      <c r="V276" s="0">
        <f>IF(AND('Master Stock'!D276&lt;&gt;"",'Master Stock'!L276&lt;&gt;"",'Master Stock'!L276&lt;TODAY()-30),COUNT($V$1:V275)+1,"")</f>
        <v/>
      </c>
    </row>
    <row r="277" ht="15.75" customHeight="1" s="230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0">
        <f>IF(AND('Master Stock'!D277&lt;&gt;"",'Master Stock'!H277="OCCUPIED",'Master Stock'!J277&lt;&gt;"",'Master Stock'!K277=""),COUNT($U$1:U276)+1,"")</f>
        <v/>
      </c>
      <c r="V277" s="0">
        <f>IF(AND('Master Stock'!D277&lt;&gt;"",'Master Stock'!L277&lt;&gt;"",'Master Stock'!L277&lt;TODAY()-30),COUNT($V$1:V276)+1,"")</f>
        <v/>
      </c>
    </row>
    <row r="278" ht="15.75" customHeight="1" s="230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0">
        <f>IF(AND('Master Stock'!D278&lt;&gt;"",'Master Stock'!H278="OCCUPIED",'Master Stock'!J278&lt;&gt;"",'Master Stock'!K278=""),COUNT($U$1:U277)+1,"")</f>
        <v/>
      </c>
      <c r="V278" s="0">
        <f>IF(AND('Master Stock'!D278&lt;&gt;"",'Master Stock'!L278&lt;&gt;"",'Master Stock'!L278&lt;TODAY()-30),COUNT($V$1:V277)+1,"")</f>
        <v/>
      </c>
    </row>
    <row r="279" ht="15.75" customHeight="1" s="230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0">
        <f>IF(AND('Master Stock'!D279&lt;&gt;"",'Master Stock'!H279="OCCUPIED",'Master Stock'!J279&lt;&gt;"",'Master Stock'!K279=""),COUNT($U$1:U278)+1,"")</f>
        <v/>
      </c>
      <c r="V279" s="0">
        <f>IF(AND('Master Stock'!D279&lt;&gt;"",'Master Stock'!L279&lt;&gt;"",'Master Stock'!L279&lt;TODAY()-30),COUNT($V$1:V278)+1,"")</f>
        <v/>
      </c>
    </row>
    <row r="280" ht="15.75" customHeight="1" s="23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0">
        <f>IF(AND('Master Stock'!D280&lt;&gt;"",'Master Stock'!H280="OCCUPIED",'Master Stock'!J280&lt;&gt;"",'Master Stock'!K280=""),COUNT($U$1:U279)+1,"")</f>
        <v/>
      </c>
      <c r="V280" s="0">
        <f>IF(AND('Master Stock'!D280&lt;&gt;"",'Master Stock'!L280&lt;&gt;"",'Master Stock'!L280&lt;TODAY()-30),COUNT($V$1:V279)+1,"")</f>
        <v/>
      </c>
    </row>
    <row r="281" ht="15.75" customHeight="1" s="230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0">
        <f>IF(AND('Master Stock'!D281&lt;&gt;"",'Master Stock'!H281="OCCUPIED",'Master Stock'!J281&lt;&gt;"",'Master Stock'!K281=""),COUNT($U$1:U280)+1,"")</f>
        <v/>
      </c>
      <c r="V281" s="0">
        <f>IF(AND('Master Stock'!D281&lt;&gt;"",'Master Stock'!L281&lt;&gt;"",'Master Stock'!L281&lt;TODAY()-30),COUNT($V$1:V280)+1,"")</f>
        <v/>
      </c>
    </row>
    <row r="282" ht="15.75" customHeight="1" s="230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0">
        <f>IF(AND('Master Stock'!D282&lt;&gt;"",'Master Stock'!H282="OCCUPIED",'Master Stock'!J282&lt;&gt;"",'Master Stock'!K282=""),COUNT($U$1:U281)+1,"")</f>
        <v/>
      </c>
      <c r="V282" s="0">
        <f>IF(AND('Master Stock'!D282&lt;&gt;"",'Master Stock'!L282&lt;&gt;"",'Master Stock'!L282&lt;TODAY()-30),COUNT($V$1:V281)+1,"")</f>
        <v/>
      </c>
    </row>
    <row r="283" ht="15.75" customHeight="1" s="230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0">
        <f>IF(AND('Master Stock'!D283&lt;&gt;"",'Master Stock'!H283="OCCUPIED",'Master Stock'!J283&lt;&gt;"",'Master Stock'!K283=""),COUNT($U$1:U282)+1,"")</f>
        <v/>
      </c>
      <c r="V283" s="0">
        <f>IF(AND('Master Stock'!D283&lt;&gt;"",'Master Stock'!L283&lt;&gt;"",'Master Stock'!L283&lt;TODAY()-30),COUNT($V$1:V282)+1,"")</f>
        <v/>
      </c>
    </row>
    <row r="284" ht="15.75" customHeight="1" s="230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0">
        <f>IF(AND('Master Stock'!D284&lt;&gt;"",'Master Stock'!H284="OCCUPIED",'Master Stock'!J284&lt;&gt;"",'Master Stock'!K284=""),COUNT($U$1:U283)+1,"")</f>
        <v/>
      </c>
      <c r="V284" s="0">
        <f>IF(AND('Master Stock'!D284&lt;&gt;"",'Master Stock'!L284&lt;&gt;"",'Master Stock'!L284&lt;TODAY()-30),COUNT($V$1:V283)+1,"")</f>
        <v/>
      </c>
    </row>
    <row r="285" ht="15.75" customHeight="1" s="230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0">
        <f>IF(AND('Master Stock'!D285&lt;&gt;"",'Master Stock'!H285="OCCUPIED",'Master Stock'!J285&lt;&gt;"",'Master Stock'!K285=""),COUNT($U$1:U284)+1,"")</f>
        <v/>
      </c>
      <c r="V285" s="0">
        <f>IF(AND('Master Stock'!D285&lt;&gt;"",'Master Stock'!L285&lt;&gt;"",'Master Stock'!L285&lt;TODAY()-30),COUNT($V$1:V284)+1,"")</f>
        <v/>
      </c>
    </row>
    <row r="286" ht="15.75" customHeight="1" s="230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0">
        <f>IF(AND('Master Stock'!D286&lt;&gt;"",'Master Stock'!H286="OCCUPIED",'Master Stock'!J286&lt;&gt;"",'Master Stock'!K286=""),COUNT($U$1:U285)+1,"")</f>
        <v/>
      </c>
      <c r="V286" s="0">
        <f>IF(AND('Master Stock'!D286&lt;&gt;"",'Master Stock'!L286&lt;&gt;"",'Master Stock'!L286&lt;TODAY()-30),COUNT($V$1:V285)+1,"")</f>
        <v/>
      </c>
    </row>
    <row r="287" ht="15.75" customHeight="1" s="230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0">
        <f>IF(AND('Master Stock'!D287&lt;&gt;"",'Master Stock'!H287="OCCUPIED",'Master Stock'!J287&lt;&gt;"",'Master Stock'!K287=""),COUNT($U$1:U286)+1,"")</f>
        <v/>
      </c>
      <c r="V287" s="0">
        <f>IF(AND('Master Stock'!D287&lt;&gt;"",'Master Stock'!L287&lt;&gt;"",'Master Stock'!L287&lt;TODAY()-30),COUNT($V$1:V286)+1,"")</f>
        <v/>
      </c>
    </row>
    <row r="288" ht="15.75" customHeight="1" s="230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0">
        <f>IF(AND('Master Stock'!D288&lt;&gt;"",'Master Stock'!H288="OCCUPIED",'Master Stock'!J288&lt;&gt;"",'Master Stock'!K288=""),COUNT($U$1:U287)+1,"")</f>
        <v/>
      </c>
      <c r="V288" s="0">
        <f>IF(AND('Master Stock'!D288&lt;&gt;"",'Master Stock'!L288&lt;&gt;"",'Master Stock'!L288&lt;TODAY()-30),COUNT($V$1:V287)+1,"")</f>
        <v/>
      </c>
    </row>
    <row r="289" ht="15.75" customHeight="1" s="230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0">
        <f>IF(AND('Master Stock'!D289&lt;&gt;"",'Master Stock'!H289="OCCUPIED",'Master Stock'!J289&lt;&gt;"",'Master Stock'!K289=""),COUNT($U$1:U288)+1,"")</f>
        <v/>
      </c>
      <c r="V289" s="0">
        <f>IF(AND('Master Stock'!D289&lt;&gt;"",'Master Stock'!L289&lt;&gt;"",'Master Stock'!L289&lt;TODAY()-30),COUNT($V$1:V288)+1,"")</f>
        <v/>
      </c>
    </row>
    <row r="290" ht="15.75" customHeight="1" s="23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0">
        <f>IF(AND('Master Stock'!D290&lt;&gt;"",'Master Stock'!H290="OCCUPIED",'Master Stock'!J290&lt;&gt;"",'Master Stock'!K290=""),COUNT($U$1:U289)+1,"")</f>
        <v/>
      </c>
      <c r="V290" s="0">
        <f>IF(AND('Master Stock'!D290&lt;&gt;"",'Master Stock'!L290&lt;&gt;"",'Master Stock'!L290&lt;TODAY()-30),COUNT($V$1:V289)+1,"")</f>
        <v/>
      </c>
    </row>
    <row r="291" ht="15.75" customHeight="1" s="230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0">
        <f>IF(AND('Master Stock'!D291&lt;&gt;"",'Master Stock'!H291="OCCUPIED",'Master Stock'!J291&lt;&gt;"",'Master Stock'!K291=""),COUNT($U$1:U290)+1,"")</f>
        <v/>
      </c>
      <c r="V291" s="0">
        <f>IF(AND('Master Stock'!D291&lt;&gt;"",'Master Stock'!L291&lt;&gt;"",'Master Stock'!L291&lt;TODAY()-30),COUNT($V$1:V290)+1,"")</f>
        <v/>
      </c>
    </row>
    <row r="292" ht="15.75" customHeight="1" s="230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0">
        <f>IF(AND('Master Stock'!D292&lt;&gt;"",'Master Stock'!H292="OCCUPIED",'Master Stock'!J292&lt;&gt;"",'Master Stock'!K292=""),COUNT($U$1:U291)+1,"")</f>
        <v/>
      </c>
      <c r="V292" s="0">
        <f>IF(AND('Master Stock'!D292&lt;&gt;"",'Master Stock'!L292&lt;&gt;"",'Master Stock'!L292&lt;TODAY()-30),COUNT($V$1:V291)+1,"")</f>
        <v/>
      </c>
    </row>
    <row r="293" ht="15.75" customHeight="1" s="230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0">
        <f>IF(AND('Master Stock'!D293&lt;&gt;"",'Master Stock'!H293="OCCUPIED",'Master Stock'!J293&lt;&gt;"",'Master Stock'!K293=""),COUNT($U$1:U292)+1,"")</f>
        <v/>
      </c>
      <c r="V293" s="0">
        <f>IF(AND('Master Stock'!D293&lt;&gt;"",'Master Stock'!L293&lt;&gt;"",'Master Stock'!L293&lt;TODAY()-30),COUNT($V$1:V292)+1,"")</f>
        <v/>
      </c>
    </row>
    <row r="294" ht="15.75" customHeight="1" s="230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0">
        <f>IF(AND('Master Stock'!D294&lt;&gt;"",'Master Stock'!H294="OCCUPIED",'Master Stock'!J294&lt;&gt;"",'Master Stock'!K294=""),COUNT($U$1:U293)+1,"")</f>
        <v/>
      </c>
      <c r="V294" s="0">
        <f>IF(AND('Master Stock'!D294&lt;&gt;"",'Master Stock'!L294&lt;&gt;"",'Master Stock'!L294&lt;TODAY()-30),COUNT($V$1:V293)+1,"")</f>
        <v/>
      </c>
    </row>
    <row r="295" ht="15.75" customHeight="1" s="230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0">
        <f>IF(AND('Master Stock'!D295&lt;&gt;"",'Master Stock'!H295="OCCUPIED",'Master Stock'!J295&lt;&gt;"",'Master Stock'!K295=""),COUNT($U$1:U294)+1,"")</f>
        <v/>
      </c>
      <c r="V295" s="0">
        <f>IF(AND('Master Stock'!D295&lt;&gt;"",'Master Stock'!L295&lt;&gt;"",'Master Stock'!L295&lt;TODAY()-30),COUNT($V$1:V294)+1,"")</f>
        <v/>
      </c>
    </row>
    <row r="296" ht="15.75" customHeight="1" s="230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0">
        <f>IF(AND('Master Stock'!D296&lt;&gt;"",'Master Stock'!H296="OCCUPIED",'Master Stock'!J296&lt;&gt;"",'Master Stock'!K296=""),COUNT($U$1:U295)+1,"")</f>
        <v/>
      </c>
      <c r="V296" s="0">
        <f>IF(AND('Master Stock'!D296&lt;&gt;"",'Master Stock'!L296&lt;&gt;"",'Master Stock'!L296&lt;TODAY()-30),COUNT($V$1:V295)+1,"")</f>
        <v/>
      </c>
    </row>
    <row r="297" ht="15.75" customHeight="1" s="230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0">
        <f>IF(AND('Master Stock'!D297&lt;&gt;"",'Master Stock'!H297="OCCUPIED",'Master Stock'!J297&lt;&gt;"",'Master Stock'!K297=""),COUNT($U$1:U296)+1,"")</f>
        <v/>
      </c>
      <c r="V297" s="0">
        <f>IF(AND('Master Stock'!D297&lt;&gt;"",'Master Stock'!L297&lt;&gt;"",'Master Stock'!L297&lt;TODAY()-30),COUNT($V$1:V296)+1,"")</f>
        <v/>
      </c>
    </row>
    <row r="298" ht="15.75" customHeight="1" s="230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0">
        <f>IF(AND('Master Stock'!D298&lt;&gt;"",'Master Stock'!H298="OCCUPIED",'Master Stock'!J298&lt;&gt;"",'Master Stock'!K298=""),COUNT($U$1:U297)+1,"")</f>
        <v/>
      </c>
      <c r="V298" s="0">
        <f>IF(AND('Master Stock'!D298&lt;&gt;"",'Master Stock'!L298&lt;&gt;"",'Master Stock'!L298&lt;TODAY()-30),COUNT($V$1:V297)+1,"")</f>
        <v/>
      </c>
    </row>
    <row r="299" ht="15.75" customHeight="1" s="230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0">
        <f>IF(AND('Master Stock'!D299&lt;&gt;"",'Master Stock'!H299="OCCUPIED",'Master Stock'!J299&lt;&gt;"",'Master Stock'!K299=""),COUNT($U$1:U298)+1,"")</f>
        <v/>
      </c>
      <c r="V299" s="0">
        <f>IF(AND('Master Stock'!D299&lt;&gt;"",'Master Stock'!L299&lt;&gt;"",'Master Stock'!L299&lt;TODAY()-30),COUNT($V$1:V298)+1,"")</f>
        <v/>
      </c>
    </row>
    <row r="300" ht="15.75" customHeight="1" s="23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0">
        <f>IF(AND('Master Stock'!D300&lt;&gt;"",'Master Stock'!H300="OCCUPIED",'Master Stock'!J300&lt;&gt;"",'Master Stock'!K300=""),COUNT($U$1:U299)+1,"")</f>
        <v/>
      </c>
      <c r="V300" s="0">
        <f>IF(AND('Master Stock'!D300&lt;&gt;"",'Master Stock'!L300&lt;&gt;"",'Master Stock'!L300&lt;TODAY()-30),COUNT($V$1:V299)+1,"")</f>
        <v/>
      </c>
    </row>
    <row r="301" ht="15.75" customHeight="1" s="230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0">
        <f>IF(AND('Master Stock'!D301&lt;&gt;"",'Master Stock'!H301="OCCUPIED",'Master Stock'!J301&lt;&gt;"",'Master Stock'!K301=""),COUNT($U$1:U300)+1,"")</f>
        <v/>
      </c>
      <c r="V301" s="0">
        <f>IF(AND('Master Stock'!D301&lt;&gt;"",'Master Stock'!L301&lt;&gt;"",'Master Stock'!L301&lt;TODAY()-30),COUNT($V$1:V300)+1,"")</f>
        <v/>
      </c>
    </row>
    <row r="302" ht="15.75" customHeight="1" s="230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0">
        <f>IF(AND('Master Stock'!D302&lt;&gt;"",'Master Stock'!H302="OCCUPIED",'Master Stock'!J302&lt;&gt;"",'Master Stock'!K302=""),COUNT($U$1:U301)+1,"")</f>
        <v/>
      </c>
      <c r="V302" s="0">
        <f>IF(AND('Master Stock'!D302&lt;&gt;"",'Master Stock'!L302&lt;&gt;"",'Master Stock'!L302&lt;TODAY()-30),COUNT($V$1:V301)+1,"")</f>
        <v/>
      </c>
    </row>
    <row r="303" ht="15.75" customHeight="1" s="230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0">
        <f>IF(AND('Master Stock'!D303&lt;&gt;"",'Master Stock'!H303="OCCUPIED",'Master Stock'!J303&lt;&gt;"",'Master Stock'!K303=""),COUNT($U$1:U302)+1,"")</f>
        <v/>
      </c>
      <c r="V303" s="0">
        <f>IF(AND('Master Stock'!D303&lt;&gt;"",'Master Stock'!L303&lt;&gt;"",'Master Stock'!L303&lt;TODAY()-30),COUNT($V$1:V302)+1,"")</f>
        <v/>
      </c>
    </row>
    <row r="304" ht="15.75" customHeight="1" s="230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0">
        <f>IF(AND('Master Stock'!D304&lt;&gt;"",'Master Stock'!H304="OCCUPIED",'Master Stock'!J304&lt;&gt;"",'Master Stock'!K304=""),COUNT($U$1:U303)+1,"")</f>
        <v/>
      </c>
      <c r="V304" s="0">
        <f>IF(AND('Master Stock'!D304&lt;&gt;"",'Master Stock'!L304&lt;&gt;"",'Master Stock'!L304&lt;TODAY()-30),COUNT($V$1:V303)+1,"")</f>
        <v/>
      </c>
    </row>
    <row r="305" ht="15.75" customHeight="1" s="230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0">
        <f>IF(AND('Master Stock'!D305&lt;&gt;"",'Master Stock'!H305="OCCUPIED",'Master Stock'!J305&lt;&gt;"",'Master Stock'!K305=""),COUNT($U$1:U304)+1,"")</f>
        <v/>
      </c>
      <c r="V305" s="0">
        <f>IF(AND('Master Stock'!D305&lt;&gt;"",'Master Stock'!L305&lt;&gt;"",'Master Stock'!L305&lt;TODAY()-30),COUNT($V$1:V304)+1,"")</f>
        <v/>
      </c>
    </row>
    <row r="306" ht="15.75" customHeight="1" s="230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0">
        <f>IF(AND('Master Stock'!D306&lt;&gt;"",'Master Stock'!H306="OCCUPIED",'Master Stock'!J306&lt;&gt;"",'Master Stock'!K306=""),COUNT($U$1:U305)+1,"")</f>
        <v/>
      </c>
      <c r="V306" s="0">
        <f>IF(AND('Master Stock'!D306&lt;&gt;"",'Master Stock'!L306&lt;&gt;"",'Master Stock'!L306&lt;TODAY()-30),COUNT($V$1:V305)+1,"")</f>
        <v/>
      </c>
    </row>
    <row r="307" ht="15.75" customHeight="1" s="230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0">
        <f>IF(AND('Master Stock'!D307&lt;&gt;"",'Master Stock'!H307="OCCUPIED",'Master Stock'!J307&lt;&gt;"",'Master Stock'!K307=""),COUNT($U$1:U306)+1,"")</f>
        <v/>
      </c>
      <c r="V307" s="0">
        <f>IF(AND('Master Stock'!D307&lt;&gt;"",'Master Stock'!L307&lt;&gt;"",'Master Stock'!L307&lt;TODAY()-30),COUNT($V$1:V306)+1,"")</f>
        <v/>
      </c>
    </row>
    <row r="308" ht="15.75" customHeight="1" s="230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0">
        <f>IF(AND('Master Stock'!D308&lt;&gt;"",'Master Stock'!H308="OCCUPIED",'Master Stock'!J308&lt;&gt;"",'Master Stock'!K308=""),COUNT($U$1:U307)+1,"")</f>
        <v/>
      </c>
      <c r="V308" s="0">
        <f>IF(AND('Master Stock'!D308&lt;&gt;"",'Master Stock'!L308&lt;&gt;"",'Master Stock'!L308&lt;TODAY()-30),COUNT($V$1:V307)+1,"")</f>
        <v/>
      </c>
    </row>
    <row r="309" ht="15.75" customHeight="1" s="230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0">
        <f>IF(AND('Master Stock'!D309&lt;&gt;"",'Master Stock'!H309="OCCUPIED",'Master Stock'!J309&lt;&gt;"",'Master Stock'!K309=""),COUNT($U$1:U308)+1,"")</f>
        <v/>
      </c>
      <c r="V309" s="0">
        <f>IF(AND('Master Stock'!D309&lt;&gt;"",'Master Stock'!L309&lt;&gt;"",'Master Stock'!L309&lt;TODAY()-30),COUNT($V$1:V308)+1,"")</f>
        <v/>
      </c>
    </row>
    <row r="310" ht="15.75" customHeight="1" s="23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0">
        <f>IF(AND('Master Stock'!D310&lt;&gt;"",'Master Stock'!H310="OCCUPIED",'Master Stock'!J310&lt;&gt;"",'Master Stock'!K310=""),COUNT($U$1:U309)+1,"")</f>
        <v/>
      </c>
      <c r="V310" s="0">
        <f>IF(AND('Master Stock'!D310&lt;&gt;"",'Master Stock'!L310&lt;&gt;"",'Master Stock'!L310&lt;TODAY()-30),COUNT($V$1:V309)+1,"")</f>
        <v/>
      </c>
    </row>
    <row r="311" ht="15.75" customHeight="1" s="230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0">
        <f>IF(AND('Master Stock'!D311&lt;&gt;"",'Master Stock'!H311="OCCUPIED",'Master Stock'!J311&lt;&gt;"",'Master Stock'!K311=""),COUNT($U$1:U310)+1,"")</f>
        <v/>
      </c>
      <c r="V311" s="0">
        <f>IF(AND('Master Stock'!D311&lt;&gt;"",'Master Stock'!L311&lt;&gt;"",'Master Stock'!L311&lt;TODAY()-30),COUNT($V$1:V310)+1,"")</f>
        <v/>
      </c>
    </row>
    <row r="312" ht="15.75" customHeight="1" s="230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0">
        <f>IF(AND('Master Stock'!D312&lt;&gt;"",'Master Stock'!H312="OCCUPIED",'Master Stock'!J312&lt;&gt;"",'Master Stock'!K312=""),COUNT($U$1:U311)+1,"")</f>
        <v/>
      </c>
      <c r="V312" s="0">
        <f>IF(AND('Master Stock'!D312&lt;&gt;"",'Master Stock'!L312&lt;&gt;"",'Master Stock'!L312&lt;TODAY()-30),COUNT($V$1:V311)+1,"")</f>
        <v/>
      </c>
    </row>
    <row r="313" ht="15.75" customHeight="1" s="230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0">
        <f>IF(AND('Master Stock'!D313&lt;&gt;"",'Master Stock'!H313="OCCUPIED",'Master Stock'!J313&lt;&gt;"",'Master Stock'!K313=""),COUNT($U$1:U312)+1,"")</f>
        <v/>
      </c>
      <c r="V313" s="0">
        <f>IF(AND('Master Stock'!D313&lt;&gt;"",'Master Stock'!L313&lt;&gt;"",'Master Stock'!L313&lt;TODAY()-30),COUNT($V$1:V312)+1,"")</f>
        <v/>
      </c>
    </row>
    <row r="314" ht="15.75" customHeight="1" s="230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0">
        <f>IF(AND('Master Stock'!D314&lt;&gt;"",'Master Stock'!H314="OCCUPIED",'Master Stock'!J314&lt;&gt;"",'Master Stock'!K314=""),COUNT($U$1:U313)+1,"")</f>
        <v/>
      </c>
      <c r="V314" s="0">
        <f>IF(AND('Master Stock'!D314&lt;&gt;"",'Master Stock'!L314&lt;&gt;"",'Master Stock'!L314&lt;TODAY()-30),COUNT($V$1:V313)+1,"")</f>
        <v/>
      </c>
    </row>
    <row r="315" ht="15.75" customHeight="1" s="230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0">
        <f>IF(AND('Master Stock'!D315&lt;&gt;"",'Master Stock'!H315="OCCUPIED",'Master Stock'!J315&lt;&gt;"",'Master Stock'!K315=""),COUNT($U$1:U314)+1,"")</f>
        <v/>
      </c>
      <c r="V315" s="0">
        <f>IF(AND('Master Stock'!D315&lt;&gt;"",'Master Stock'!L315&lt;&gt;"",'Master Stock'!L315&lt;TODAY()-30),COUNT($V$1:V314)+1,"")</f>
        <v/>
      </c>
    </row>
    <row r="316" ht="15.75" customHeight="1" s="230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0">
        <f>IF(AND('Master Stock'!D316&lt;&gt;"",'Master Stock'!H316="OCCUPIED",'Master Stock'!J316&lt;&gt;"",'Master Stock'!K316=""),COUNT($U$1:U315)+1,"")</f>
        <v/>
      </c>
      <c r="V316" s="0">
        <f>IF(AND('Master Stock'!D316&lt;&gt;"",'Master Stock'!L316&lt;&gt;"",'Master Stock'!L316&lt;TODAY()-30),COUNT($V$1:V315)+1,"")</f>
        <v/>
      </c>
    </row>
    <row r="317" ht="15.75" customHeight="1" s="230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0">
        <f>IF(AND('Master Stock'!D317&lt;&gt;"",'Master Stock'!H317="OCCUPIED",'Master Stock'!J317&lt;&gt;"",'Master Stock'!K317=""),COUNT($U$1:U316)+1,"")</f>
        <v/>
      </c>
      <c r="V317" s="0">
        <f>IF(AND('Master Stock'!D317&lt;&gt;"",'Master Stock'!L317&lt;&gt;"",'Master Stock'!L317&lt;TODAY()-30),COUNT($V$1:V316)+1,"")</f>
        <v/>
      </c>
    </row>
    <row r="318" ht="15.75" customHeight="1" s="230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0">
        <f>IF(AND('Master Stock'!D318&lt;&gt;"",'Master Stock'!H318="OCCUPIED",'Master Stock'!J318&lt;&gt;"",'Master Stock'!K318=""),COUNT($U$1:U317)+1,"")</f>
        <v/>
      </c>
      <c r="V318" s="0">
        <f>IF(AND('Master Stock'!D318&lt;&gt;"",'Master Stock'!L318&lt;&gt;"",'Master Stock'!L318&lt;TODAY()-30),COUNT($V$1:V317)+1,"")</f>
        <v/>
      </c>
    </row>
    <row r="319" ht="15.75" customHeight="1" s="230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0">
        <f>IF(AND('Master Stock'!D319&lt;&gt;"",'Master Stock'!H319="OCCUPIED",'Master Stock'!J319&lt;&gt;"",'Master Stock'!K319=""),COUNT($U$1:U318)+1,"")</f>
        <v/>
      </c>
      <c r="V319" s="0">
        <f>IF(AND('Master Stock'!D319&lt;&gt;"",'Master Stock'!L319&lt;&gt;"",'Master Stock'!L319&lt;TODAY()-30),COUNT($V$1:V318)+1,"")</f>
        <v/>
      </c>
    </row>
    <row r="320" ht="15.75" customHeight="1" s="23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0">
        <f>IF(AND('Master Stock'!D320&lt;&gt;"",'Master Stock'!H320="OCCUPIED",'Master Stock'!J320&lt;&gt;"",'Master Stock'!K320=""),COUNT($U$1:U319)+1,"")</f>
        <v/>
      </c>
      <c r="V320" s="0">
        <f>IF(AND('Master Stock'!D320&lt;&gt;"",'Master Stock'!L320&lt;&gt;"",'Master Stock'!L320&lt;TODAY()-30),COUNT($V$1:V319)+1,"")</f>
        <v/>
      </c>
    </row>
    <row r="321" ht="15.75" customHeight="1" s="230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0">
        <f>IF(AND('Master Stock'!D321&lt;&gt;"",'Master Stock'!H321="OCCUPIED",'Master Stock'!J321&lt;&gt;"",'Master Stock'!K321=""),COUNT($U$1:U320)+1,"")</f>
        <v/>
      </c>
      <c r="V321" s="0">
        <f>IF(AND('Master Stock'!D321&lt;&gt;"",'Master Stock'!L321&lt;&gt;"",'Master Stock'!L321&lt;TODAY()-30),COUNT($V$1:V320)+1,"")</f>
        <v/>
      </c>
    </row>
    <row r="322" ht="15.75" customHeight="1" s="230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0">
        <f>IF(AND('Master Stock'!D322&lt;&gt;"",'Master Stock'!H322="OCCUPIED",'Master Stock'!J322&lt;&gt;"",'Master Stock'!K322=""),COUNT($U$1:U321)+1,"")</f>
        <v/>
      </c>
      <c r="V322" s="0">
        <f>IF(AND('Master Stock'!D322&lt;&gt;"",'Master Stock'!L322&lt;&gt;"",'Master Stock'!L322&lt;TODAY()-30),COUNT($V$1:V321)+1,"")</f>
        <v/>
      </c>
    </row>
    <row r="323" ht="15.75" customHeight="1" s="230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0">
        <f>IF(AND('Master Stock'!D323&lt;&gt;"",'Master Stock'!H323="OCCUPIED",'Master Stock'!J323&lt;&gt;"",'Master Stock'!K323=""),COUNT($U$1:U322)+1,"")</f>
        <v/>
      </c>
      <c r="V323" s="0">
        <f>IF(AND('Master Stock'!D323&lt;&gt;"",'Master Stock'!L323&lt;&gt;"",'Master Stock'!L323&lt;TODAY()-30),COUNT($V$1:V322)+1,"")</f>
        <v/>
      </c>
    </row>
    <row r="324" ht="15.75" customHeight="1" s="230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0">
        <f>IF(AND('Master Stock'!D324&lt;&gt;"",'Master Stock'!H324="OCCUPIED",'Master Stock'!J324&lt;&gt;"",'Master Stock'!K324=""),COUNT($U$1:U323)+1,"")</f>
        <v/>
      </c>
      <c r="V324" s="0">
        <f>IF(AND('Master Stock'!D324&lt;&gt;"",'Master Stock'!L324&lt;&gt;"",'Master Stock'!L324&lt;TODAY()-30),COUNT($V$1:V323)+1,"")</f>
        <v/>
      </c>
    </row>
    <row r="325" ht="15.75" customHeight="1" s="230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0">
        <f>IF(AND('Master Stock'!D325&lt;&gt;"",'Master Stock'!H325="OCCUPIED",'Master Stock'!J325&lt;&gt;"",'Master Stock'!K325=""),COUNT($U$1:U324)+1,"")</f>
        <v/>
      </c>
      <c r="V325" s="0">
        <f>IF(AND('Master Stock'!D325&lt;&gt;"",'Master Stock'!L325&lt;&gt;"",'Master Stock'!L325&lt;TODAY()-30),COUNT($V$1:V324)+1,"")</f>
        <v/>
      </c>
    </row>
    <row r="326" ht="15.75" customHeight="1" s="230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0">
        <f>IF(AND('Master Stock'!D326&lt;&gt;"",'Master Stock'!H326="OCCUPIED",'Master Stock'!J326&lt;&gt;"",'Master Stock'!K326=""),COUNT($U$1:U325)+1,"")</f>
        <v/>
      </c>
      <c r="V326" s="0">
        <f>IF(AND('Master Stock'!D326&lt;&gt;"",'Master Stock'!L326&lt;&gt;"",'Master Stock'!L326&lt;TODAY()-30),COUNT($V$1:V325)+1,"")</f>
        <v/>
      </c>
    </row>
    <row r="327" ht="15.75" customHeight="1" s="230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0">
        <f>IF(AND('Master Stock'!D327&lt;&gt;"",'Master Stock'!H327="OCCUPIED",'Master Stock'!J327&lt;&gt;"",'Master Stock'!K327=""),COUNT($U$1:U326)+1,"")</f>
        <v/>
      </c>
      <c r="V327" s="0">
        <f>IF(AND('Master Stock'!D327&lt;&gt;"",'Master Stock'!L327&lt;&gt;"",'Master Stock'!L327&lt;TODAY()-30),COUNT($V$1:V326)+1,"")</f>
        <v/>
      </c>
    </row>
    <row r="328" ht="15.75" customHeight="1" s="230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0">
        <f>IF(AND('Master Stock'!D328&lt;&gt;"",'Master Stock'!H328="OCCUPIED",'Master Stock'!J328&lt;&gt;"",'Master Stock'!K328=""),COUNT($U$1:U327)+1,"")</f>
        <v/>
      </c>
      <c r="V328" s="0">
        <f>IF(AND('Master Stock'!D328&lt;&gt;"",'Master Stock'!L328&lt;&gt;"",'Master Stock'!L328&lt;TODAY()-30),COUNT($V$1:V327)+1,"")</f>
        <v/>
      </c>
    </row>
    <row r="329" ht="15.75" customHeight="1" s="230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0">
        <f>IF(AND('Master Stock'!D329&lt;&gt;"",'Master Stock'!H329="OCCUPIED",'Master Stock'!J329&lt;&gt;"",'Master Stock'!K329=""),COUNT($U$1:U328)+1,"")</f>
        <v/>
      </c>
      <c r="V329" s="0">
        <f>IF(AND('Master Stock'!D329&lt;&gt;"",'Master Stock'!L329&lt;&gt;"",'Master Stock'!L329&lt;TODAY()-30),COUNT($V$1:V328)+1,"")</f>
        <v/>
      </c>
    </row>
    <row r="330" ht="15.75" customHeight="1" s="2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0">
        <f>IF(AND('Master Stock'!D330&lt;&gt;"",'Master Stock'!H330="OCCUPIED",'Master Stock'!J330&lt;&gt;"",'Master Stock'!K330=""),COUNT($U$1:U329)+1,"")</f>
        <v/>
      </c>
      <c r="V330" s="0">
        <f>IF(AND('Master Stock'!D330&lt;&gt;"",'Master Stock'!L330&lt;&gt;"",'Master Stock'!L330&lt;TODAY()-30),COUNT($V$1:V329)+1,"")</f>
        <v/>
      </c>
    </row>
    <row r="331" ht="15.75" customHeight="1" s="230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0">
        <f>IF(AND('Master Stock'!D331&lt;&gt;"",'Master Stock'!H331="OCCUPIED",'Master Stock'!J331&lt;&gt;"",'Master Stock'!K331=""),COUNT($U$1:U330)+1,"")</f>
        <v/>
      </c>
      <c r="V331" s="0">
        <f>IF(AND('Master Stock'!D331&lt;&gt;"",'Master Stock'!L331&lt;&gt;"",'Master Stock'!L331&lt;TODAY()-30),COUNT($V$1:V330)+1,"")</f>
        <v/>
      </c>
    </row>
    <row r="332" ht="15.75" customHeight="1" s="230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0">
        <f>IF(AND('Master Stock'!D332&lt;&gt;"",'Master Stock'!H332="OCCUPIED",'Master Stock'!J332&lt;&gt;"",'Master Stock'!K332=""),COUNT($U$1:U331)+1,"")</f>
        <v/>
      </c>
      <c r="V332" s="0">
        <f>IF(AND('Master Stock'!D332&lt;&gt;"",'Master Stock'!L332&lt;&gt;"",'Master Stock'!L332&lt;TODAY()-30),COUNT($V$1:V331)+1,"")</f>
        <v/>
      </c>
    </row>
    <row r="333" ht="15.75" customHeight="1" s="230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0">
        <f>IF(AND('Master Stock'!D333&lt;&gt;"",'Master Stock'!H333="OCCUPIED",'Master Stock'!J333&lt;&gt;"",'Master Stock'!K333=""),COUNT($U$1:U332)+1,"")</f>
        <v/>
      </c>
      <c r="V333" s="0">
        <f>IF(AND('Master Stock'!D333&lt;&gt;"",'Master Stock'!L333&lt;&gt;"",'Master Stock'!L333&lt;TODAY()-30),COUNT($V$1:V332)+1,"")</f>
        <v/>
      </c>
    </row>
    <row r="334" ht="15.75" customHeight="1" s="230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0">
        <f>IF(AND('Master Stock'!D334&lt;&gt;"",'Master Stock'!H334="OCCUPIED",'Master Stock'!J334&lt;&gt;"",'Master Stock'!K334=""),COUNT($U$1:U333)+1,"")</f>
        <v/>
      </c>
      <c r="V334" s="0">
        <f>IF(AND('Master Stock'!D334&lt;&gt;"",'Master Stock'!L334&lt;&gt;"",'Master Stock'!L334&lt;TODAY()-30),COUNT($V$1:V333)+1,"")</f>
        <v/>
      </c>
    </row>
    <row r="335" ht="15.75" customHeight="1" s="230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0">
        <f>IF(AND('Master Stock'!D335&lt;&gt;"",'Master Stock'!H335="OCCUPIED",'Master Stock'!J335&lt;&gt;"",'Master Stock'!K335=""),COUNT($U$1:U334)+1,"")</f>
        <v/>
      </c>
      <c r="V335" s="0">
        <f>IF(AND('Master Stock'!D335&lt;&gt;"",'Master Stock'!L335&lt;&gt;"",'Master Stock'!L335&lt;TODAY()-30),COUNT($V$1:V334)+1,"")</f>
        <v/>
      </c>
    </row>
    <row r="336" ht="15.75" customHeight="1" s="230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0">
        <f>IF(AND('Master Stock'!D336&lt;&gt;"",'Master Stock'!H336="OCCUPIED",'Master Stock'!J336&lt;&gt;"",'Master Stock'!K336=""),COUNT($U$1:U335)+1,"")</f>
        <v/>
      </c>
      <c r="V336" s="0">
        <f>IF(AND('Master Stock'!D336&lt;&gt;"",'Master Stock'!L336&lt;&gt;"",'Master Stock'!L336&lt;TODAY()-30),COUNT($V$1:V335)+1,"")</f>
        <v/>
      </c>
    </row>
    <row r="337" ht="15.75" customHeight="1" s="230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0">
        <f>IF(AND('Master Stock'!D337&lt;&gt;"",'Master Stock'!H337="OCCUPIED",'Master Stock'!J337&lt;&gt;"",'Master Stock'!K337=""),COUNT($U$1:U336)+1,"")</f>
        <v/>
      </c>
      <c r="V337" s="0">
        <f>IF(AND('Master Stock'!D337&lt;&gt;"",'Master Stock'!L337&lt;&gt;"",'Master Stock'!L337&lt;TODAY()-30),COUNT($V$1:V336)+1,"")</f>
        <v/>
      </c>
    </row>
    <row r="338" ht="15.75" customHeight="1" s="230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0">
        <f>IF(AND('Master Stock'!D338&lt;&gt;"",'Master Stock'!H338="OCCUPIED",'Master Stock'!J338&lt;&gt;"",'Master Stock'!K338=""),COUNT($U$1:U337)+1,"")</f>
        <v/>
      </c>
      <c r="V338" s="0">
        <f>IF(AND('Master Stock'!D338&lt;&gt;"",'Master Stock'!L338&lt;&gt;"",'Master Stock'!L338&lt;TODAY()-30),COUNT($V$1:V337)+1,"")</f>
        <v/>
      </c>
    </row>
    <row r="339" ht="15.75" customHeight="1" s="230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0">
        <f>IF(AND('Master Stock'!D339&lt;&gt;"",'Master Stock'!H339="OCCUPIED",'Master Stock'!J339&lt;&gt;"",'Master Stock'!K339=""),COUNT($U$1:U338)+1,"")</f>
        <v/>
      </c>
      <c r="V339" s="0">
        <f>IF(AND('Master Stock'!D339&lt;&gt;"",'Master Stock'!L339&lt;&gt;"",'Master Stock'!L339&lt;TODAY()-30),COUNT($V$1:V338)+1,"")</f>
        <v/>
      </c>
    </row>
    <row r="340" ht="15.75" customHeight="1" s="23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0">
        <f>IF(AND('Master Stock'!D340&lt;&gt;"",'Master Stock'!H340="OCCUPIED",'Master Stock'!J340&lt;&gt;"",'Master Stock'!K340=""),COUNT($U$1:U339)+1,"")</f>
        <v/>
      </c>
      <c r="V340" s="0">
        <f>IF(AND('Master Stock'!D340&lt;&gt;"",'Master Stock'!L340&lt;&gt;"",'Master Stock'!L340&lt;TODAY()-30),COUNT($V$1:V339)+1,"")</f>
        <v/>
      </c>
    </row>
    <row r="341" ht="15.75" customHeight="1" s="230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0">
        <f>IF(AND('Master Stock'!D341&lt;&gt;"",'Master Stock'!H341="OCCUPIED",'Master Stock'!J341&lt;&gt;"",'Master Stock'!K341=""),COUNT($U$1:U340)+1,"")</f>
        <v/>
      </c>
      <c r="V341" s="0">
        <f>IF(AND('Master Stock'!D341&lt;&gt;"",'Master Stock'!L341&lt;&gt;"",'Master Stock'!L341&lt;TODAY()-30),COUNT($V$1:V340)+1,"")</f>
        <v/>
      </c>
    </row>
    <row r="342" ht="15.75" customHeight="1" s="230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0">
        <f>IF(AND('Master Stock'!D342&lt;&gt;"",'Master Stock'!H342="OCCUPIED",'Master Stock'!J342&lt;&gt;"",'Master Stock'!K342=""),COUNT($U$1:U341)+1,"")</f>
        <v/>
      </c>
      <c r="V342" s="0">
        <f>IF(AND('Master Stock'!D342&lt;&gt;"",'Master Stock'!L342&lt;&gt;"",'Master Stock'!L342&lt;TODAY()-30),COUNT($V$1:V341)+1,"")</f>
        <v/>
      </c>
    </row>
    <row r="343" ht="15.75" customHeight="1" s="230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0">
        <f>IF(AND('Master Stock'!D343&lt;&gt;"",'Master Stock'!H343="OCCUPIED",'Master Stock'!J343&lt;&gt;"",'Master Stock'!K343=""),COUNT($U$1:U342)+1,"")</f>
        <v/>
      </c>
      <c r="V343" s="0">
        <f>IF(AND('Master Stock'!D343&lt;&gt;"",'Master Stock'!L343&lt;&gt;"",'Master Stock'!L343&lt;TODAY()-30),COUNT($V$1:V342)+1,"")</f>
        <v/>
      </c>
    </row>
    <row r="344" ht="15.75" customHeight="1" s="230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0">
        <f>IF(AND('Master Stock'!D344&lt;&gt;"",'Master Stock'!H344="OCCUPIED",'Master Stock'!J344&lt;&gt;"",'Master Stock'!K344=""),COUNT($U$1:U343)+1,"")</f>
        <v/>
      </c>
      <c r="V344" s="0">
        <f>IF(AND('Master Stock'!D344&lt;&gt;"",'Master Stock'!L344&lt;&gt;"",'Master Stock'!L344&lt;TODAY()-30),COUNT($V$1:V343)+1,"")</f>
        <v/>
      </c>
    </row>
    <row r="345" ht="15.75" customHeight="1" s="230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0">
        <f>IF(AND('Master Stock'!D345&lt;&gt;"",'Master Stock'!H345="OCCUPIED",'Master Stock'!J345&lt;&gt;"",'Master Stock'!K345=""),COUNT($U$1:U344)+1,"")</f>
        <v/>
      </c>
      <c r="V345" s="0">
        <f>IF(AND('Master Stock'!D345&lt;&gt;"",'Master Stock'!L345&lt;&gt;"",'Master Stock'!L345&lt;TODAY()-30),COUNT($V$1:V344)+1,"")</f>
        <v/>
      </c>
    </row>
    <row r="346" ht="15.75" customHeight="1" s="230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0">
        <f>IF(AND('Master Stock'!D346&lt;&gt;"",'Master Stock'!H346="OCCUPIED",'Master Stock'!J346&lt;&gt;"",'Master Stock'!K346=""),COUNT($U$1:U345)+1,"")</f>
        <v/>
      </c>
      <c r="V346" s="0">
        <f>IF(AND('Master Stock'!D346&lt;&gt;"",'Master Stock'!L346&lt;&gt;"",'Master Stock'!L346&lt;TODAY()-30),COUNT($V$1:V345)+1,"")</f>
        <v/>
      </c>
    </row>
    <row r="347" ht="15.75" customHeight="1" s="230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0">
        <f>IF(AND('Master Stock'!D347&lt;&gt;"",'Master Stock'!H347="OCCUPIED",'Master Stock'!J347&lt;&gt;"",'Master Stock'!K347=""),COUNT($U$1:U346)+1,"")</f>
        <v/>
      </c>
      <c r="V347" s="0">
        <f>IF(AND('Master Stock'!D347&lt;&gt;"",'Master Stock'!L347&lt;&gt;"",'Master Stock'!L347&lt;TODAY()-30),COUNT($V$1:V346)+1,"")</f>
        <v/>
      </c>
    </row>
    <row r="348" ht="15.75" customHeight="1" s="230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0">
        <f>IF(AND('Master Stock'!D348&lt;&gt;"",'Master Stock'!H348="OCCUPIED",'Master Stock'!J348&lt;&gt;"",'Master Stock'!K348=""),COUNT($U$1:U347)+1,"")</f>
        <v/>
      </c>
      <c r="V348" s="0">
        <f>IF(AND('Master Stock'!D348&lt;&gt;"",'Master Stock'!L348&lt;&gt;"",'Master Stock'!L348&lt;TODAY()-30),COUNT($V$1:V347)+1,"")</f>
        <v/>
      </c>
    </row>
    <row r="349" ht="15.75" customHeight="1" s="230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0">
        <f>IF(AND('Master Stock'!D349&lt;&gt;"",'Master Stock'!H349="OCCUPIED",'Master Stock'!J349&lt;&gt;"",'Master Stock'!K349=""),COUNT($U$1:U348)+1,"")</f>
        <v/>
      </c>
      <c r="V349" s="0">
        <f>IF(AND('Master Stock'!D349&lt;&gt;"",'Master Stock'!L349&lt;&gt;"",'Master Stock'!L349&lt;TODAY()-30),COUNT($V$1:V348)+1,"")</f>
        <v/>
      </c>
    </row>
    <row r="350" ht="15.75" customHeight="1" s="23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0">
        <f>IF(AND('Master Stock'!D350&lt;&gt;"",'Master Stock'!H350="OCCUPIED",'Master Stock'!J350&lt;&gt;"",'Master Stock'!K350=""),COUNT($U$1:U349)+1,"")</f>
        <v/>
      </c>
      <c r="V350" s="0">
        <f>IF(AND('Master Stock'!D350&lt;&gt;"",'Master Stock'!L350&lt;&gt;"",'Master Stock'!L350&lt;TODAY()-30),COUNT($V$1:V349)+1,"")</f>
        <v/>
      </c>
    </row>
    <row r="351" ht="15.75" customHeight="1" s="230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0">
        <f>IF(AND('Master Stock'!D351&lt;&gt;"",'Master Stock'!H351="OCCUPIED",'Master Stock'!J351&lt;&gt;"",'Master Stock'!K351=""),COUNT($U$1:U350)+1,"")</f>
        <v/>
      </c>
      <c r="V351" s="0">
        <f>IF(AND('Master Stock'!D351&lt;&gt;"",'Master Stock'!L351&lt;&gt;"",'Master Stock'!L351&lt;TODAY()-30),COUNT($V$1:V350)+1,"")</f>
        <v/>
      </c>
    </row>
    <row r="352" ht="15.75" customHeight="1" s="230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0">
        <f>IF(AND('Master Stock'!D352&lt;&gt;"",'Master Stock'!H352="OCCUPIED",'Master Stock'!J352&lt;&gt;"",'Master Stock'!K352=""),COUNT($U$1:U351)+1,"")</f>
        <v/>
      </c>
      <c r="V352" s="0">
        <f>IF(AND('Master Stock'!D352&lt;&gt;"",'Master Stock'!L352&lt;&gt;"",'Master Stock'!L352&lt;TODAY()-30),COUNT($V$1:V351)+1,"")</f>
        <v/>
      </c>
    </row>
    <row r="353" ht="15.75" customHeight="1" s="230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0">
        <f>IF(AND('Master Stock'!D353&lt;&gt;"",'Master Stock'!H353="OCCUPIED",'Master Stock'!J353&lt;&gt;"",'Master Stock'!K353=""),COUNT($U$1:U352)+1,"")</f>
        <v/>
      </c>
      <c r="V353" s="0">
        <f>IF(AND('Master Stock'!D353&lt;&gt;"",'Master Stock'!L353&lt;&gt;"",'Master Stock'!L353&lt;TODAY()-30),COUNT($V$1:V352)+1,"")</f>
        <v/>
      </c>
    </row>
    <row r="354" ht="15.75" customHeight="1" s="230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0">
        <f>IF(AND('Master Stock'!D354&lt;&gt;"",'Master Stock'!H354="OCCUPIED",'Master Stock'!J354&lt;&gt;"",'Master Stock'!K354=""),COUNT($U$1:U353)+1,"")</f>
        <v/>
      </c>
      <c r="V354" s="0">
        <f>IF(AND('Master Stock'!D354&lt;&gt;"",'Master Stock'!L354&lt;&gt;"",'Master Stock'!L354&lt;TODAY()-30),COUNT($V$1:V353)+1,"")</f>
        <v/>
      </c>
    </row>
    <row r="355" ht="15.75" customHeight="1" s="230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0">
        <f>IF(AND('Master Stock'!D355&lt;&gt;"",'Master Stock'!H355="OCCUPIED",'Master Stock'!J355&lt;&gt;"",'Master Stock'!K355=""),COUNT($U$1:U354)+1,"")</f>
        <v/>
      </c>
      <c r="V355" s="0">
        <f>IF(AND('Master Stock'!D355&lt;&gt;"",'Master Stock'!L355&lt;&gt;"",'Master Stock'!L355&lt;TODAY()-30),COUNT($V$1:V354)+1,"")</f>
        <v/>
      </c>
    </row>
    <row r="356" ht="15.75" customHeight="1" s="230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0">
        <f>IF(AND('Master Stock'!D356&lt;&gt;"",'Master Stock'!H356="OCCUPIED",'Master Stock'!J356&lt;&gt;"",'Master Stock'!K356=""),COUNT($U$1:U355)+1,"")</f>
        <v/>
      </c>
      <c r="V356" s="0">
        <f>IF(AND('Master Stock'!D356&lt;&gt;"",'Master Stock'!L356&lt;&gt;"",'Master Stock'!L356&lt;TODAY()-30),COUNT($V$1:V355)+1,"")</f>
        <v/>
      </c>
    </row>
    <row r="357" ht="15.75" customHeight="1" s="230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0">
        <f>IF(AND('Master Stock'!D357&lt;&gt;"",'Master Stock'!H357="OCCUPIED",'Master Stock'!J357&lt;&gt;"",'Master Stock'!K357=""),COUNT($U$1:U356)+1,"")</f>
        <v/>
      </c>
      <c r="V357" s="0">
        <f>IF(AND('Master Stock'!D357&lt;&gt;"",'Master Stock'!L357&lt;&gt;"",'Master Stock'!L357&lt;TODAY()-30),COUNT($V$1:V356)+1,"")</f>
        <v/>
      </c>
    </row>
    <row r="358" ht="15.75" customHeight="1" s="230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0">
        <f>IF(AND('Master Stock'!D358&lt;&gt;"",'Master Stock'!H358="OCCUPIED",'Master Stock'!J358&lt;&gt;"",'Master Stock'!K358=""),COUNT($U$1:U357)+1,"")</f>
        <v/>
      </c>
      <c r="V358" s="0">
        <f>IF(AND('Master Stock'!D358&lt;&gt;"",'Master Stock'!L358&lt;&gt;"",'Master Stock'!L358&lt;TODAY()-30),COUNT($V$1:V357)+1,"")</f>
        <v/>
      </c>
    </row>
    <row r="359" ht="15.75" customHeight="1" s="230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0">
        <f>IF(AND('Master Stock'!D359&lt;&gt;"",'Master Stock'!H359="OCCUPIED",'Master Stock'!J359&lt;&gt;"",'Master Stock'!K359=""),COUNT($U$1:U358)+1,"")</f>
        <v/>
      </c>
      <c r="V359" s="0">
        <f>IF(AND('Master Stock'!D359&lt;&gt;"",'Master Stock'!L359&lt;&gt;"",'Master Stock'!L359&lt;TODAY()-30),COUNT($V$1:V358)+1,"")</f>
        <v/>
      </c>
    </row>
    <row r="360" ht="15.75" customHeight="1" s="23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0">
        <f>IF(AND('Master Stock'!D360&lt;&gt;"",'Master Stock'!H360="OCCUPIED",'Master Stock'!J360&lt;&gt;"",'Master Stock'!K360=""),COUNT($U$1:U359)+1,"")</f>
        <v/>
      </c>
      <c r="V360" s="0">
        <f>IF(AND('Master Stock'!D360&lt;&gt;"",'Master Stock'!L360&lt;&gt;"",'Master Stock'!L360&lt;TODAY()-30),COUNT($V$1:V359)+1,"")</f>
        <v/>
      </c>
    </row>
    <row r="361" ht="15.75" customHeight="1" s="230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0">
        <f>IF(AND('Master Stock'!D361&lt;&gt;"",'Master Stock'!H361="OCCUPIED",'Master Stock'!J361&lt;&gt;"",'Master Stock'!K361=""),COUNT($U$1:U360)+1,"")</f>
        <v/>
      </c>
      <c r="V361" s="0">
        <f>IF(AND('Master Stock'!D361&lt;&gt;"",'Master Stock'!L361&lt;&gt;"",'Master Stock'!L361&lt;TODAY()-30),COUNT($V$1:V360)+1,"")</f>
        <v/>
      </c>
    </row>
    <row r="362" ht="15.75" customHeight="1" s="230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0">
        <f>IF(AND('Master Stock'!D362&lt;&gt;"",'Master Stock'!H362="OCCUPIED",'Master Stock'!J362&lt;&gt;"",'Master Stock'!K362=""),COUNT($U$1:U361)+1,"")</f>
        <v/>
      </c>
      <c r="V362" s="0">
        <f>IF(AND('Master Stock'!D362&lt;&gt;"",'Master Stock'!L362&lt;&gt;"",'Master Stock'!L362&lt;TODAY()-30),COUNT($V$1:V361)+1,"")</f>
        <v/>
      </c>
    </row>
    <row r="363" ht="15.75" customHeight="1" s="230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0">
        <f>IF(AND('Master Stock'!D363&lt;&gt;"",'Master Stock'!H363="OCCUPIED",'Master Stock'!J363&lt;&gt;"",'Master Stock'!K363=""),COUNT($U$1:U362)+1,"")</f>
        <v/>
      </c>
      <c r="V363" s="0">
        <f>IF(AND('Master Stock'!D363&lt;&gt;"",'Master Stock'!L363&lt;&gt;"",'Master Stock'!L363&lt;TODAY()-30),COUNT($V$1:V362)+1,"")</f>
        <v/>
      </c>
    </row>
    <row r="364" ht="15.75" customHeight="1" s="230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0">
        <f>IF(AND('Master Stock'!D364&lt;&gt;"",'Master Stock'!H364="OCCUPIED",'Master Stock'!J364&lt;&gt;"",'Master Stock'!K364=""),COUNT($U$1:U363)+1,"")</f>
        <v/>
      </c>
      <c r="V364" s="0">
        <f>IF(AND('Master Stock'!D364&lt;&gt;"",'Master Stock'!L364&lt;&gt;"",'Master Stock'!L364&lt;TODAY()-30),COUNT($V$1:V363)+1,"")</f>
        <v/>
      </c>
    </row>
    <row r="365" ht="15.75" customHeight="1" s="230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0">
        <f>IF(AND('Master Stock'!D365&lt;&gt;"",'Master Stock'!H365="OCCUPIED",'Master Stock'!J365&lt;&gt;"",'Master Stock'!K365=""),COUNT($U$1:U364)+1,"")</f>
        <v/>
      </c>
      <c r="V365" s="0">
        <f>IF(AND('Master Stock'!D365&lt;&gt;"",'Master Stock'!L365&lt;&gt;"",'Master Stock'!L365&lt;TODAY()-30),COUNT($V$1:V364)+1,"")</f>
        <v/>
      </c>
    </row>
    <row r="366" ht="15.75" customHeight="1" s="230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0">
        <f>IF(AND('Master Stock'!D366&lt;&gt;"",'Master Stock'!H366="OCCUPIED",'Master Stock'!J366&lt;&gt;"",'Master Stock'!K366=""),COUNT($U$1:U365)+1,"")</f>
        <v/>
      </c>
      <c r="V366" s="0">
        <f>IF(AND('Master Stock'!D366&lt;&gt;"",'Master Stock'!L366&lt;&gt;"",'Master Stock'!L366&lt;TODAY()-30),COUNT($V$1:V365)+1,"")</f>
        <v/>
      </c>
    </row>
    <row r="367" ht="15.75" customHeight="1" s="230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0">
        <f>IF(AND('Master Stock'!D367&lt;&gt;"",'Master Stock'!H367="OCCUPIED",'Master Stock'!J367&lt;&gt;"",'Master Stock'!K367=""),COUNT($U$1:U366)+1,"")</f>
        <v/>
      </c>
      <c r="V367" s="0">
        <f>IF(AND('Master Stock'!D367&lt;&gt;"",'Master Stock'!L367&lt;&gt;"",'Master Stock'!L367&lt;TODAY()-30),COUNT($V$1:V366)+1,"")</f>
        <v/>
      </c>
    </row>
    <row r="368" ht="15.75" customHeight="1" s="230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0">
        <f>IF(AND('Master Stock'!D368&lt;&gt;"",'Master Stock'!H368="OCCUPIED",'Master Stock'!J368&lt;&gt;"",'Master Stock'!K368=""),COUNT($U$1:U367)+1,"")</f>
        <v/>
      </c>
      <c r="V368" s="0">
        <f>IF(AND('Master Stock'!D368&lt;&gt;"",'Master Stock'!L368&lt;&gt;"",'Master Stock'!L368&lt;TODAY()-30),COUNT($V$1:V367)+1,"")</f>
        <v/>
      </c>
    </row>
    <row r="369" ht="15.75" customHeight="1" s="230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0">
        <f>IF(AND('Master Stock'!D369&lt;&gt;"",'Master Stock'!H369="OCCUPIED",'Master Stock'!J369&lt;&gt;"",'Master Stock'!K369=""),COUNT($U$1:U368)+1,"")</f>
        <v/>
      </c>
      <c r="V369" s="0">
        <f>IF(AND('Master Stock'!D369&lt;&gt;"",'Master Stock'!L369&lt;&gt;"",'Master Stock'!L369&lt;TODAY()-30),COUNT($V$1:V368)+1,"")</f>
        <v/>
      </c>
    </row>
    <row r="370" ht="15.75" customHeight="1" s="23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0">
        <f>IF(AND('Master Stock'!D370&lt;&gt;"",'Master Stock'!H370="OCCUPIED",'Master Stock'!J370&lt;&gt;"",'Master Stock'!K370=""),COUNT($U$1:U369)+1,"")</f>
        <v/>
      </c>
      <c r="V370" s="0">
        <f>IF(AND('Master Stock'!D370&lt;&gt;"",'Master Stock'!L370&lt;&gt;"",'Master Stock'!L370&lt;TODAY()-30),COUNT($V$1:V369)+1,"")</f>
        <v/>
      </c>
    </row>
    <row r="371" ht="15.75" customHeight="1" s="230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0">
        <f>IF(AND('Master Stock'!D371&lt;&gt;"",'Master Stock'!H371="OCCUPIED",'Master Stock'!J371&lt;&gt;"",'Master Stock'!K371=""),COUNT($U$1:U370)+1,"")</f>
        <v/>
      </c>
      <c r="V371" s="0">
        <f>IF(AND('Master Stock'!D371&lt;&gt;"",'Master Stock'!L371&lt;&gt;"",'Master Stock'!L371&lt;TODAY()-30),COUNT($V$1:V370)+1,"")</f>
        <v/>
      </c>
    </row>
    <row r="372" ht="15.75" customHeight="1" s="230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0">
        <f>IF(AND('Master Stock'!D372&lt;&gt;"",'Master Stock'!H372="OCCUPIED",'Master Stock'!J372&lt;&gt;"",'Master Stock'!K372=""),COUNT($U$1:U371)+1,"")</f>
        <v/>
      </c>
      <c r="V372" s="0">
        <f>IF(AND('Master Stock'!D372&lt;&gt;"",'Master Stock'!L372&lt;&gt;"",'Master Stock'!L372&lt;TODAY()-30),COUNT($V$1:V371)+1,"")</f>
        <v/>
      </c>
    </row>
    <row r="373" ht="15.75" customHeight="1" s="230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0">
        <f>IF(AND('Master Stock'!D373&lt;&gt;"",'Master Stock'!H373="OCCUPIED",'Master Stock'!J373&lt;&gt;"",'Master Stock'!K373=""),COUNT($U$1:U372)+1,"")</f>
        <v/>
      </c>
      <c r="V373" s="0">
        <f>IF(AND('Master Stock'!D373&lt;&gt;"",'Master Stock'!L373&lt;&gt;"",'Master Stock'!L373&lt;TODAY()-30),COUNT($V$1:V372)+1,"")</f>
        <v/>
      </c>
    </row>
    <row r="374" ht="15.75" customHeight="1" s="230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0">
        <f>IF(AND('Master Stock'!D374&lt;&gt;"",'Master Stock'!H374="OCCUPIED",'Master Stock'!J374&lt;&gt;"",'Master Stock'!K374=""),COUNT($U$1:U373)+1,"")</f>
        <v/>
      </c>
      <c r="V374" s="0">
        <f>IF(AND('Master Stock'!D374&lt;&gt;"",'Master Stock'!L374&lt;&gt;"",'Master Stock'!L374&lt;TODAY()-30),COUNT($V$1:V373)+1,"")</f>
        <v/>
      </c>
    </row>
    <row r="375" ht="15.75" customHeight="1" s="230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0">
        <f>IF(AND('Master Stock'!D375&lt;&gt;"",'Master Stock'!H375="OCCUPIED",'Master Stock'!J375&lt;&gt;"",'Master Stock'!K375=""),COUNT($U$1:U374)+1,"")</f>
        <v/>
      </c>
      <c r="V375" s="0">
        <f>IF(AND('Master Stock'!D375&lt;&gt;"",'Master Stock'!L375&lt;&gt;"",'Master Stock'!L375&lt;TODAY()-30),COUNT($V$1:V374)+1,"")</f>
        <v/>
      </c>
    </row>
    <row r="376" ht="15.75" customHeight="1" s="230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0">
        <f>IF(AND('Master Stock'!D376&lt;&gt;"",'Master Stock'!H376="OCCUPIED",'Master Stock'!J376&lt;&gt;"",'Master Stock'!K376=""),COUNT($U$1:U375)+1,"")</f>
        <v/>
      </c>
      <c r="V376" s="0">
        <f>IF(AND('Master Stock'!D376&lt;&gt;"",'Master Stock'!L376&lt;&gt;"",'Master Stock'!L376&lt;TODAY()-30),COUNT($V$1:V375)+1,"")</f>
        <v/>
      </c>
    </row>
    <row r="377" ht="15.75" customHeight="1" s="230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0">
        <f>IF(AND('Master Stock'!D377&lt;&gt;"",'Master Stock'!H377="OCCUPIED",'Master Stock'!J377&lt;&gt;"",'Master Stock'!K377=""),COUNT($U$1:U376)+1,"")</f>
        <v/>
      </c>
      <c r="V377" s="0">
        <f>IF(AND('Master Stock'!D377&lt;&gt;"",'Master Stock'!L377&lt;&gt;"",'Master Stock'!L377&lt;TODAY()-30),COUNT($V$1:V376)+1,"")</f>
        <v/>
      </c>
    </row>
    <row r="378" ht="15.75" customHeight="1" s="230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0">
        <f>IF(AND('Master Stock'!D378&lt;&gt;"",'Master Stock'!H378="OCCUPIED",'Master Stock'!J378&lt;&gt;"",'Master Stock'!K378=""),COUNT($U$1:U377)+1,"")</f>
        <v/>
      </c>
      <c r="V378" s="0">
        <f>IF(AND('Master Stock'!D378&lt;&gt;"",'Master Stock'!L378&lt;&gt;"",'Master Stock'!L378&lt;TODAY()-30),COUNT($V$1:V377)+1,"")</f>
        <v/>
      </c>
    </row>
    <row r="379" ht="15.75" customHeight="1" s="230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0">
        <f>IF(AND('Master Stock'!D379&lt;&gt;"",'Master Stock'!H379="OCCUPIED",'Master Stock'!J379&lt;&gt;"",'Master Stock'!K379=""),COUNT($U$1:U378)+1,"")</f>
        <v/>
      </c>
      <c r="V379" s="0">
        <f>IF(AND('Master Stock'!D379&lt;&gt;"",'Master Stock'!L379&lt;&gt;"",'Master Stock'!L379&lt;TODAY()-30),COUNT($V$1:V378)+1,"")</f>
        <v/>
      </c>
    </row>
    <row r="380" ht="15.75" customHeight="1" s="23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0">
        <f>IF(AND('Master Stock'!D380&lt;&gt;"",'Master Stock'!H380="OCCUPIED",'Master Stock'!J380&lt;&gt;"",'Master Stock'!K380=""),COUNT($U$1:U379)+1,"")</f>
        <v/>
      </c>
      <c r="V380" s="0">
        <f>IF(AND('Master Stock'!D380&lt;&gt;"",'Master Stock'!L380&lt;&gt;"",'Master Stock'!L380&lt;TODAY()-30),COUNT($V$1:V379)+1,"")</f>
        <v/>
      </c>
    </row>
    <row r="381" ht="15.75" customHeight="1" s="230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0">
        <f>IF(AND('Master Stock'!D381&lt;&gt;"",'Master Stock'!H381="OCCUPIED",'Master Stock'!J381&lt;&gt;"",'Master Stock'!K381=""),COUNT($U$1:U380)+1,"")</f>
        <v/>
      </c>
      <c r="V381" s="0">
        <f>IF(AND('Master Stock'!D381&lt;&gt;"",'Master Stock'!L381&lt;&gt;"",'Master Stock'!L381&lt;TODAY()-30),COUNT($V$1:V380)+1,"")</f>
        <v/>
      </c>
    </row>
    <row r="382" ht="15.75" customHeight="1" s="230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0">
        <f>IF(AND('Master Stock'!D382&lt;&gt;"",'Master Stock'!H382="OCCUPIED",'Master Stock'!J382&lt;&gt;"",'Master Stock'!K382=""),COUNT($U$1:U381)+1,"")</f>
        <v/>
      </c>
      <c r="V382" s="0">
        <f>IF(AND('Master Stock'!D382&lt;&gt;"",'Master Stock'!L382&lt;&gt;"",'Master Stock'!L382&lt;TODAY()-30),COUNT($V$1:V381)+1,"")</f>
        <v/>
      </c>
    </row>
    <row r="383" ht="15.75" customHeight="1" s="230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0">
        <f>IF(AND('Master Stock'!D383&lt;&gt;"",'Master Stock'!H383="OCCUPIED",'Master Stock'!J383&lt;&gt;"",'Master Stock'!K383=""),COUNT($U$1:U382)+1,"")</f>
        <v/>
      </c>
      <c r="V383" s="0">
        <f>IF(AND('Master Stock'!D383&lt;&gt;"",'Master Stock'!L383&lt;&gt;"",'Master Stock'!L383&lt;TODAY()-30),COUNT($V$1:V382)+1,"")</f>
        <v/>
      </c>
    </row>
    <row r="384" ht="15.75" customHeight="1" s="230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0">
        <f>IF(AND('Master Stock'!D384&lt;&gt;"",'Master Stock'!H384="OCCUPIED",'Master Stock'!J384&lt;&gt;"",'Master Stock'!K384=""),COUNT($U$1:U383)+1,"")</f>
        <v/>
      </c>
      <c r="V384" s="0">
        <f>IF(AND('Master Stock'!D384&lt;&gt;"",'Master Stock'!L384&lt;&gt;"",'Master Stock'!L384&lt;TODAY()-30),COUNT($V$1:V383)+1,"")</f>
        <v/>
      </c>
    </row>
    <row r="385" ht="15.75" customHeight="1" s="230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0">
        <f>IF(AND('Master Stock'!D385&lt;&gt;"",'Master Stock'!H385="OCCUPIED",'Master Stock'!J385&lt;&gt;"",'Master Stock'!K385=""),COUNT($U$1:U384)+1,"")</f>
        <v/>
      </c>
      <c r="V385" s="0">
        <f>IF(AND('Master Stock'!D385&lt;&gt;"",'Master Stock'!L385&lt;&gt;"",'Master Stock'!L385&lt;TODAY()-30),COUNT($V$1:V384)+1,"")</f>
        <v/>
      </c>
    </row>
    <row r="386" ht="15.75" customHeight="1" s="230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0">
        <f>IF(AND('Master Stock'!D386&lt;&gt;"",'Master Stock'!H386="OCCUPIED",'Master Stock'!J386&lt;&gt;"",'Master Stock'!K386=""),COUNT($U$1:U385)+1,"")</f>
        <v/>
      </c>
      <c r="V386" s="0">
        <f>IF(AND('Master Stock'!D386&lt;&gt;"",'Master Stock'!L386&lt;&gt;"",'Master Stock'!L386&lt;TODAY()-30),COUNT($V$1:V385)+1,"")</f>
        <v/>
      </c>
    </row>
    <row r="387" ht="15.75" customHeight="1" s="230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0">
        <f>IF(AND('Master Stock'!D387&lt;&gt;"",'Master Stock'!H387="OCCUPIED",'Master Stock'!J387&lt;&gt;"",'Master Stock'!K387=""),COUNT($U$1:U386)+1,"")</f>
        <v/>
      </c>
      <c r="V387" s="0">
        <f>IF(AND('Master Stock'!D387&lt;&gt;"",'Master Stock'!L387&lt;&gt;"",'Master Stock'!L387&lt;TODAY()-30),COUNT($V$1:V386)+1,"")</f>
        <v/>
      </c>
    </row>
    <row r="388" ht="15.75" customHeight="1" s="230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0">
        <f>IF(AND('Master Stock'!D388&lt;&gt;"",'Master Stock'!H388="OCCUPIED",'Master Stock'!J388&lt;&gt;"",'Master Stock'!K388=""),COUNT($U$1:U387)+1,"")</f>
        <v/>
      </c>
      <c r="V388" s="0">
        <f>IF(AND('Master Stock'!D388&lt;&gt;"",'Master Stock'!L388&lt;&gt;"",'Master Stock'!L388&lt;TODAY()-30),COUNT($V$1:V387)+1,"")</f>
        <v/>
      </c>
    </row>
    <row r="389" ht="15.75" customHeight="1" s="230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0">
        <f>IF(AND('Master Stock'!D389&lt;&gt;"",'Master Stock'!H389="OCCUPIED",'Master Stock'!J389&lt;&gt;"",'Master Stock'!K389=""),COUNT($U$1:U388)+1,"")</f>
        <v/>
      </c>
      <c r="V389" s="0">
        <f>IF(AND('Master Stock'!D389&lt;&gt;"",'Master Stock'!L389&lt;&gt;"",'Master Stock'!L389&lt;TODAY()-30),COUNT($V$1:V388)+1,"")</f>
        <v/>
      </c>
    </row>
    <row r="390" ht="15.75" customHeight="1" s="23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0">
        <f>IF(AND('Master Stock'!D390&lt;&gt;"",'Master Stock'!H390="OCCUPIED",'Master Stock'!J390&lt;&gt;"",'Master Stock'!K390=""),COUNT($U$1:U389)+1,"")</f>
        <v/>
      </c>
      <c r="V390" s="0">
        <f>IF(AND('Master Stock'!D390&lt;&gt;"",'Master Stock'!L390&lt;&gt;"",'Master Stock'!L390&lt;TODAY()-30),COUNT($V$1:V389)+1,"")</f>
        <v/>
      </c>
    </row>
    <row r="391" ht="15.75" customHeight="1" s="230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0">
        <f>IF(AND('Master Stock'!D391&lt;&gt;"",'Master Stock'!H391="OCCUPIED",'Master Stock'!J391&lt;&gt;"",'Master Stock'!K391=""),COUNT($U$1:U390)+1,"")</f>
        <v/>
      </c>
      <c r="V391" s="0">
        <f>IF(AND('Master Stock'!D391&lt;&gt;"",'Master Stock'!L391&lt;&gt;"",'Master Stock'!L391&lt;TODAY()-30),COUNT($V$1:V390)+1,"")</f>
        <v/>
      </c>
    </row>
    <row r="392" ht="15.75" customHeight="1" s="230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0">
        <f>IF(AND('Master Stock'!D392&lt;&gt;"",'Master Stock'!H392="OCCUPIED",'Master Stock'!J392&lt;&gt;"",'Master Stock'!K392=""),COUNT($U$1:U391)+1,"")</f>
        <v/>
      </c>
      <c r="V392" s="0">
        <f>IF(AND('Master Stock'!D392&lt;&gt;"",'Master Stock'!L392&lt;&gt;"",'Master Stock'!L392&lt;TODAY()-30),COUNT($V$1:V391)+1,"")</f>
        <v/>
      </c>
    </row>
    <row r="393" ht="15.75" customHeight="1" s="230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0">
        <f>IF(AND('Master Stock'!D393&lt;&gt;"",'Master Stock'!H393="OCCUPIED",'Master Stock'!J393&lt;&gt;"",'Master Stock'!K393=""),COUNT($U$1:U392)+1,"")</f>
        <v/>
      </c>
      <c r="V393" s="0">
        <f>IF(AND('Master Stock'!D393&lt;&gt;"",'Master Stock'!L393&lt;&gt;"",'Master Stock'!L393&lt;TODAY()-30),COUNT($V$1:V392)+1,"")</f>
        <v/>
      </c>
    </row>
    <row r="394" ht="15.75" customHeight="1" s="230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0">
        <f>IF(AND('Master Stock'!D394&lt;&gt;"",'Master Stock'!H394="OCCUPIED",'Master Stock'!J394&lt;&gt;"",'Master Stock'!K394=""),COUNT($U$1:U393)+1,"")</f>
        <v/>
      </c>
      <c r="V394" s="0">
        <f>IF(AND('Master Stock'!D394&lt;&gt;"",'Master Stock'!L394&lt;&gt;"",'Master Stock'!L394&lt;TODAY()-30),COUNT($V$1:V393)+1,"")</f>
        <v/>
      </c>
    </row>
    <row r="395" ht="15.75" customHeight="1" s="230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0">
        <f>IF(AND('Master Stock'!D395&lt;&gt;"",'Master Stock'!H395="OCCUPIED",'Master Stock'!J395&lt;&gt;"",'Master Stock'!K395=""),COUNT($U$1:U394)+1,"")</f>
        <v/>
      </c>
      <c r="V395" s="0">
        <f>IF(AND('Master Stock'!D395&lt;&gt;"",'Master Stock'!L395&lt;&gt;"",'Master Stock'!L395&lt;TODAY()-30),COUNT($V$1:V394)+1,"")</f>
        <v/>
      </c>
    </row>
    <row r="396" ht="15.75" customHeight="1" s="230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0">
        <f>IF(AND('Master Stock'!D396&lt;&gt;"",'Master Stock'!H396="OCCUPIED",'Master Stock'!J396&lt;&gt;"",'Master Stock'!K396=""),COUNT($U$1:U395)+1,"")</f>
        <v/>
      </c>
      <c r="V396" s="0">
        <f>IF(AND('Master Stock'!D396&lt;&gt;"",'Master Stock'!L396&lt;&gt;"",'Master Stock'!L396&lt;TODAY()-30),COUNT($V$1:V395)+1,"")</f>
        <v/>
      </c>
    </row>
    <row r="397" ht="15.75" customHeight="1" s="230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0">
        <f>IF(AND('Master Stock'!D397&lt;&gt;"",'Master Stock'!H397="OCCUPIED",'Master Stock'!J397&lt;&gt;"",'Master Stock'!K397=""),COUNT($U$1:U396)+1,"")</f>
        <v/>
      </c>
      <c r="V397" s="0">
        <f>IF(AND('Master Stock'!D397&lt;&gt;"",'Master Stock'!L397&lt;&gt;"",'Master Stock'!L397&lt;TODAY()-30),COUNT($V$1:V396)+1,"")</f>
        <v/>
      </c>
    </row>
    <row r="398" ht="15.75" customHeight="1" s="230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0">
        <f>IF(AND('Master Stock'!D398&lt;&gt;"",'Master Stock'!H398="OCCUPIED",'Master Stock'!J398&lt;&gt;"",'Master Stock'!K398=""),COUNT($U$1:U397)+1,"")</f>
        <v/>
      </c>
      <c r="V398" s="0">
        <f>IF(AND('Master Stock'!D398&lt;&gt;"",'Master Stock'!L398&lt;&gt;"",'Master Stock'!L398&lt;TODAY()-30),COUNT($V$1:V397)+1,"")</f>
        <v/>
      </c>
    </row>
    <row r="399" ht="15.75" customHeight="1" s="230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0">
        <f>IF(AND('Master Stock'!D399&lt;&gt;"",'Master Stock'!H399="OCCUPIED",'Master Stock'!J399&lt;&gt;"",'Master Stock'!K399=""),COUNT($U$1:U398)+1,"")</f>
        <v/>
      </c>
      <c r="V399" s="0">
        <f>IF(AND('Master Stock'!D399&lt;&gt;"",'Master Stock'!L399&lt;&gt;"",'Master Stock'!L399&lt;TODAY()-30),COUNT($V$1:V398)+1,"")</f>
        <v/>
      </c>
    </row>
    <row r="400" ht="15.75" customHeight="1" s="23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0">
        <f>IF(AND('Master Stock'!D400&lt;&gt;"",'Master Stock'!H400="OCCUPIED",'Master Stock'!J400&lt;&gt;"",'Master Stock'!K400=""),COUNT($U$1:U399)+1,"")</f>
        <v/>
      </c>
      <c r="V400" s="0">
        <f>IF(AND('Master Stock'!D400&lt;&gt;"",'Master Stock'!L400&lt;&gt;"",'Master Stock'!L400&lt;TODAY()-30),COUNT($V$1:V399)+1,"")</f>
        <v/>
      </c>
    </row>
    <row r="401" ht="15.75" customHeight="1" s="230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0">
        <f>IF(AND('Master Stock'!D401&lt;&gt;"",'Master Stock'!H401="OCCUPIED",'Master Stock'!J401&lt;&gt;"",'Master Stock'!K401=""),COUNT($U$1:U400)+1,"")</f>
        <v/>
      </c>
      <c r="V401" s="0">
        <f>IF(AND('Master Stock'!D401&lt;&gt;"",'Master Stock'!L401&lt;&gt;"",'Master Stock'!L401&lt;TODAY()-30),COUNT($V$1:V400)+1,"")</f>
        <v/>
      </c>
    </row>
    <row r="402" ht="15.75" customHeight="1" s="230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0">
        <f>IF(AND('Master Stock'!D402&lt;&gt;"",'Master Stock'!H402="OCCUPIED",'Master Stock'!J402&lt;&gt;"",'Master Stock'!K402=""),COUNT($U$1:U401)+1,"")</f>
        <v/>
      </c>
      <c r="V402" s="0">
        <f>IF(AND('Master Stock'!D402&lt;&gt;"",'Master Stock'!L402&lt;&gt;"",'Master Stock'!L402&lt;TODAY()-30),COUNT($V$1:V401)+1,"")</f>
        <v/>
      </c>
    </row>
    <row r="403" ht="15.75" customHeight="1" s="230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0">
        <f>IF(AND('Master Stock'!D403&lt;&gt;"",'Master Stock'!H403="OCCUPIED",'Master Stock'!J403&lt;&gt;"",'Master Stock'!K403=""),COUNT($U$1:U402)+1,"")</f>
        <v/>
      </c>
      <c r="V403" s="0">
        <f>IF(AND('Master Stock'!D403&lt;&gt;"",'Master Stock'!L403&lt;&gt;"",'Master Stock'!L403&lt;TODAY()-30),COUNT($V$1:V402)+1,"")</f>
        <v/>
      </c>
    </row>
    <row r="404" ht="15.75" customHeight="1" s="230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0">
        <f>IF(AND('Master Stock'!D404&lt;&gt;"",'Master Stock'!H404="OCCUPIED",'Master Stock'!J404&lt;&gt;"",'Master Stock'!K404=""),COUNT($U$1:U403)+1,"")</f>
        <v/>
      </c>
      <c r="V404" s="0">
        <f>IF(AND('Master Stock'!D404&lt;&gt;"",'Master Stock'!L404&lt;&gt;"",'Master Stock'!L404&lt;TODAY()-30),COUNT($V$1:V403)+1,"")</f>
        <v/>
      </c>
    </row>
    <row r="405" ht="15.75" customHeight="1" s="230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0">
        <f>IF(AND('Master Stock'!D405&lt;&gt;"",'Master Stock'!H405="OCCUPIED",'Master Stock'!J405&lt;&gt;"",'Master Stock'!K405=""),COUNT($U$1:U404)+1,"")</f>
        <v/>
      </c>
      <c r="V405" s="0">
        <f>IF(AND('Master Stock'!D405&lt;&gt;"",'Master Stock'!L405&lt;&gt;"",'Master Stock'!L405&lt;TODAY()-30),COUNT($V$1:V404)+1,"")</f>
        <v/>
      </c>
    </row>
    <row r="406" ht="15.75" customHeight="1" s="230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0">
        <f>IF(AND('Master Stock'!D406&lt;&gt;"",'Master Stock'!H406="OCCUPIED",'Master Stock'!J406&lt;&gt;"",'Master Stock'!K406=""),COUNT($U$1:U405)+1,"")</f>
        <v/>
      </c>
      <c r="V406" s="0">
        <f>IF(AND('Master Stock'!D406&lt;&gt;"",'Master Stock'!L406&lt;&gt;"",'Master Stock'!L406&lt;TODAY()-30),COUNT($V$1:V405)+1,"")</f>
        <v/>
      </c>
    </row>
    <row r="407" ht="15.75" customHeight="1" s="230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0">
        <f>IF(AND('Master Stock'!D407&lt;&gt;"",'Master Stock'!H407="OCCUPIED",'Master Stock'!J407&lt;&gt;"",'Master Stock'!K407=""),COUNT($U$1:U406)+1,"")</f>
        <v/>
      </c>
      <c r="V407" s="0">
        <f>IF(AND('Master Stock'!D407&lt;&gt;"",'Master Stock'!L407&lt;&gt;"",'Master Stock'!L407&lt;TODAY()-30),COUNT($V$1:V406)+1,"")</f>
        <v/>
      </c>
    </row>
    <row r="408" ht="15.75" customHeight="1" s="230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0">
        <f>IF(AND('Master Stock'!D408&lt;&gt;"",'Master Stock'!H408="OCCUPIED",'Master Stock'!J408&lt;&gt;"",'Master Stock'!K408=""),COUNT($U$1:U407)+1,"")</f>
        <v/>
      </c>
      <c r="V408" s="0">
        <f>IF(AND('Master Stock'!D408&lt;&gt;"",'Master Stock'!L408&lt;&gt;"",'Master Stock'!L408&lt;TODAY()-30),COUNT($V$1:V407)+1,"")</f>
        <v/>
      </c>
    </row>
    <row r="409" ht="15.75" customHeight="1" s="230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0">
        <f>IF(AND('Master Stock'!D409&lt;&gt;"",'Master Stock'!H409="OCCUPIED",'Master Stock'!J409&lt;&gt;"",'Master Stock'!K409=""),COUNT($U$1:U408)+1,"")</f>
        <v/>
      </c>
      <c r="V409" s="0">
        <f>IF(AND('Master Stock'!D409&lt;&gt;"",'Master Stock'!L409&lt;&gt;"",'Master Stock'!L409&lt;TODAY()-30),COUNT($V$1:V408)+1,"")</f>
        <v/>
      </c>
    </row>
    <row r="410" ht="15.75" customHeight="1" s="23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0">
        <f>IF(AND('Master Stock'!D410&lt;&gt;"",'Master Stock'!H410="OCCUPIED",'Master Stock'!J410&lt;&gt;"",'Master Stock'!K410=""),COUNT($U$1:U409)+1,"")</f>
        <v/>
      </c>
      <c r="V410" s="0">
        <f>IF(AND('Master Stock'!D410&lt;&gt;"",'Master Stock'!L410&lt;&gt;"",'Master Stock'!L410&lt;TODAY()-30),COUNT($V$1:V409)+1,"")</f>
        <v/>
      </c>
    </row>
    <row r="411" ht="15.75" customHeight="1" s="230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0">
        <f>IF(AND('Master Stock'!D411&lt;&gt;"",'Master Stock'!H411="OCCUPIED",'Master Stock'!J411&lt;&gt;"",'Master Stock'!K411=""),COUNT($U$1:U410)+1,"")</f>
        <v/>
      </c>
      <c r="V411" s="0">
        <f>IF(AND('Master Stock'!D411&lt;&gt;"",'Master Stock'!L411&lt;&gt;"",'Master Stock'!L411&lt;TODAY()-30),COUNT($V$1:V410)+1,"")</f>
        <v/>
      </c>
    </row>
    <row r="412" ht="15.75" customHeight="1" s="230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0">
        <f>IF(AND('Master Stock'!D412&lt;&gt;"",'Master Stock'!H412="OCCUPIED",'Master Stock'!J412&lt;&gt;"",'Master Stock'!K412=""),COUNT($U$1:U411)+1,"")</f>
        <v/>
      </c>
      <c r="V412" s="0">
        <f>IF(AND('Master Stock'!D412&lt;&gt;"",'Master Stock'!L412&lt;&gt;"",'Master Stock'!L412&lt;TODAY()-30),COUNT($V$1:V411)+1,"")</f>
        <v/>
      </c>
    </row>
    <row r="413" ht="15.75" customHeight="1" s="230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0">
        <f>IF(AND('Master Stock'!D413&lt;&gt;"",'Master Stock'!H413="OCCUPIED",'Master Stock'!J413&lt;&gt;"",'Master Stock'!K413=""),COUNT($U$1:U412)+1,"")</f>
        <v/>
      </c>
      <c r="V413" s="0">
        <f>IF(AND('Master Stock'!D413&lt;&gt;"",'Master Stock'!L413&lt;&gt;"",'Master Stock'!L413&lt;TODAY()-30),COUNT($V$1:V412)+1,"")</f>
        <v/>
      </c>
    </row>
    <row r="414" ht="15.75" customHeight="1" s="230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0">
        <f>IF(AND('Master Stock'!D414&lt;&gt;"",'Master Stock'!H414="OCCUPIED",'Master Stock'!J414&lt;&gt;"",'Master Stock'!K414=""),COUNT($U$1:U413)+1,"")</f>
        <v/>
      </c>
      <c r="V414" s="0">
        <f>IF(AND('Master Stock'!D414&lt;&gt;"",'Master Stock'!L414&lt;&gt;"",'Master Stock'!L414&lt;TODAY()-30),COUNT($V$1:V413)+1,"")</f>
        <v/>
      </c>
    </row>
    <row r="415" ht="15.75" customHeight="1" s="230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0">
        <f>IF(AND('Master Stock'!D415&lt;&gt;"",'Master Stock'!H415="OCCUPIED",'Master Stock'!J415&lt;&gt;"",'Master Stock'!K415=""),COUNT($U$1:U414)+1,"")</f>
        <v/>
      </c>
      <c r="V415" s="0">
        <f>IF(AND('Master Stock'!D415&lt;&gt;"",'Master Stock'!L415&lt;&gt;"",'Master Stock'!L415&lt;TODAY()-30),COUNT($V$1:V414)+1,"")</f>
        <v/>
      </c>
    </row>
    <row r="416" ht="15.75" customHeight="1" s="230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0">
        <f>IF(AND('Master Stock'!D416&lt;&gt;"",'Master Stock'!H416="OCCUPIED",'Master Stock'!J416&lt;&gt;"",'Master Stock'!K416=""),COUNT($U$1:U415)+1,"")</f>
        <v/>
      </c>
      <c r="V416" s="0">
        <f>IF(AND('Master Stock'!D416&lt;&gt;"",'Master Stock'!L416&lt;&gt;"",'Master Stock'!L416&lt;TODAY()-30),COUNT($V$1:V415)+1,"")</f>
        <v/>
      </c>
    </row>
    <row r="417" ht="15.75" customHeight="1" s="230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0">
        <f>IF(AND('Master Stock'!D417&lt;&gt;"",'Master Stock'!H417="OCCUPIED",'Master Stock'!J417&lt;&gt;"",'Master Stock'!K417=""),COUNT($U$1:U416)+1,"")</f>
        <v/>
      </c>
      <c r="V417" s="0">
        <f>IF(AND('Master Stock'!D417&lt;&gt;"",'Master Stock'!L417&lt;&gt;"",'Master Stock'!L417&lt;TODAY()-30),COUNT($V$1:V416)+1,"")</f>
        <v/>
      </c>
    </row>
    <row r="418" ht="15.75" customHeight="1" s="230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0">
        <f>IF(AND('Master Stock'!D418&lt;&gt;"",'Master Stock'!H418="OCCUPIED",'Master Stock'!J418&lt;&gt;"",'Master Stock'!K418=""),COUNT($U$1:U417)+1,"")</f>
        <v/>
      </c>
      <c r="V418" s="0">
        <f>IF(AND('Master Stock'!D418&lt;&gt;"",'Master Stock'!L418&lt;&gt;"",'Master Stock'!L418&lt;TODAY()-30),COUNT($V$1:V417)+1,"")</f>
        <v/>
      </c>
    </row>
    <row r="419" ht="15.75" customHeight="1" s="230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0">
        <f>IF(AND('Master Stock'!D419&lt;&gt;"",'Master Stock'!H419="OCCUPIED",'Master Stock'!J419&lt;&gt;"",'Master Stock'!K419=""),COUNT($U$1:U418)+1,"")</f>
        <v/>
      </c>
      <c r="V419" s="0">
        <f>IF(AND('Master Stock'!D419&lt;&gt;"",'Master Stock'!L419&lt;&gt;"",'Master Stock'!L419&lt;TODAY()-30),COUNT($V$1:V418)+1,"")</f>
        <v/>
      </c>
    </row>
    <row r="420" ht="15.75" customHeight="1" s="23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0">
        <f>IF(AND('Master Stock'!D420&lt;&gt;"",'Master Stock'!H420="OCCUPIED",'Master Stock'!J420&lt;&gt;"",'Master Stock'!K420=""),COUNT($U$1:U419)+1,"")</f>
        <v/>
      </c>
      <c r="V420" s="0">
        <f>IF(AND('Master Stock'!D420&lt;&gt;"",'Master Stock'!L420&lt;&gt;"",'Master Stock'!L420&lt;TODAY()-30),COUNT($V$1:V419)+1,"")</f>
        <v/>
      </c>
    </row>
    <row r="421" ht="15.75" customHeight="1" s="230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0">
        <f>IF(AND('Master Stock'!D421&lt;&gt;"",'Master Stock'!H421="OCCUPIED",'Master Stock'!J421&lt;&gt;"",'Master Stock'!K421=""),COUNT($U$1:U420)+1,"")</f>
        <v/>
      </c>
      <c r="V421" s="0">
        <f>IF(AND('Master Stock'!D421&lt;&gt;"",'Master Stock'!L421&lt;&gt;"",'Master Stock'!L421&lt;TODAY()-30),COUNT($V$1:V420)+1,"")</f>
        <v/>
      </c>
    </row>
    <row r="422" ht="15.75" customHeight="1" s="230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0">
        <f>IF(AND('Master Stock'!D422&lt;&gt;"",'Master Stock'!H422="OCCUPIED",'Master Stock'!J422&lt;&gt;"",'Master Stock'!K422=""),COUNT($U$1:U421)+1,"")</f>
        <v/>
      </c>
      <c r="V422" s="0">
        <f>IF(AND('Master Stock'!D422&lt;&gt;"",'Master Stock'!L422&lt;&gt;"",'Master Stock'!L422&lt;TODAY()-30),COUNT($V$1:V421)+1,"")</f>
        <v/>
      </c>
    </row>
    <row r="423" ht="15.75" customHeight="1" s="230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0">
        <f>IF(AND('Master Stock'!D423&lt;&gt;"",'Master Stock'!H423="OCCUPIED",'Master Stock'!J423&lt;&gt;"",'Master Stock'!K423=""),COUNT($U$1:U422)+1,"")</f>
        <v/>
      </c>
      <c r="V423" s="0">
        <f>IF(AND('Master Stock'!D423&lt;&gt;"",'Master Stock'!L423&lt;&gt;"",'Master Stock'!L423&lt;TODAY()-30),COUNT($V$1:V422)+1,"")</f>
        <v/>
      </c>
    </row>
    <row r="424" ht="15.75" customHeight="1" s="230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0">
        <f>IF(AND('Master Stock'!D424&lt;&gt;"",'Master Stock'!H424="OCCUPIED",'Master Stock'!J424&lt;&gt;"",'Master Stock'!K424=""),COUNT($U$1:U423)+1,"")</f>
        <v/>
      </c>
      <c r="V424" s="0">
        <f>IF(AND('Master Stock'!D424&lt;&gt;"",'Master Stock'!L424&lt;&gt;"",'Master Stock'!L424&lt;TODAY()-30),COUNT($V$1:V423)+1,"")</f>
        <v/>
      </c>
    </row>
    <row r="425" ht="15.75" customHeight="1" s="230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0">
        <f>IF(AND('Master Stock'!D425&lt;&gt;"",'Master Stock'!H425="OCCUPIED",'Master Stock'!J425&lt;&gt;"",'Master Stock'!K425=""),COUNT($U$1:U424)+1,"")</f>
        <v/>
      </c>
      <c r="V425" s="0">
        <f>IF(AND('Master Stock'!D425&lt;&gt;"",'Master Stock'!L425&lt;&gt;"",'Master Stock'!L425&lt;TODAY()-30),COUNT($V$1:V424)+1,"")</f>
        <v/>
      </c>
    </row>
    <row r="426" ht="15.75" customHeight="1" s="230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0">
        <f>IF(AND('Master Stock'!D426&lt;&gt;"",'Master Stock'!H426="OCCUPIED",'Master Stock'!J426&lt;&gt;"",'Master Stock'!K426=""),COUNT($U$1:U425)+1,"")</f>
        <v/>
      </c>
      <c r="V426" s="0">
        <f>IF(AND('Master Stock'!D426&lt;&gt;"",'Master Stock'!L426&lt;&gt;"",'Master Stock'!L426&lt;TODAY()-30),COUNT($V$1:V425)+1,"")</f>
        <v/>
      </c>
    </row>
    <row r="427" ht="15.75" customHeight="1" s="230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0">
        <f>IF(AND('Master Stock'!D427&lt;&gt;"",'Master Stock'!H427="OCCUPIED",'Master Stock'!J427&lt;&gt;"",'Master Stock'!K427=""),COUNT($U$1:U426)+1,"")</f>
        <v/>
      </c>
      <c r="V427" s="0">
        <f>IF(AND('Master Stock'!D427&lt;&gt;"",'Master Stock'!L427&lt;&gt;"",'Master Stock'!L427&lt;TODAY()-30),COUNT($V$1:V426)+1,"")</f>
        <v/>
      </c>
    </row>
    <row r="428" ht="15.75" customHeight="1" s="230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0">
        <f>IF(AND('Master Stock'!D428&lt;&gt;"",'Master Stock'!H428="OCCUPIED",'Master Stock'!J428&lt;&gt;"",'Master Stock'!K428=""),COUNT($U$1:U427)+1,"")</f>
        <v/>
      </c>
      <c r="V428" s="0">
        <f>IF(AND('Master Stock'!D428&lt;&gt;"",'Master Stock'!L428&lt;&gt;"",'Master Stock'!L428&lt;TODAY()-30),COUNT($V$1:V427)+1,"")</f>
        <v/>
      </c>
    </row>
    <row r="429" ht="15.75" customHeight="1" s="230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0">
        <f>IF(AND('Master Stock'!D429&lt;&gt;"",'Master Stock'!H429="OCCUPIED",'Master Stock'!J429&lt;&gt;"",'Master Stock'!K429=""),COUNT($U$1:U428)+1,"")</f>
        <v/>
      </c>
      <c r="V429" s="0">
        <f>IF(AND('Master Stock'!D429&lt;&gt;"",'Master Stock'!L429&lt;&gt;"",'Master Stock'!L429&lt;TODAY()-30),COUNT($V$1:V428)+1,"")</f>
        <v/>
      </c>
    </row>
    <row r="430" ht="15.75" customHeight="1" s="2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0">
        <f>IF(AND('Master Stock'!D430&lt;&gt;"",'Master Stock'!H430="OCCUPIED",'Master Stock'!J430&lt;&gt;"",'Master Stock'!K430=""),COUNT($U$1:U429)+1,"")</f>
        <v/>
      </c>
      <c r="V430" s="0">
        <f>IF(AND('Master Stock'!D430&lt;&gt;"",'Master Stock'!L430&lt;&gt;"",'Master Stock'!L430&lt;TODAY()-30),COUNT($V$1:V429)+1,"")</f>
        <v/>
      </c>
    </row>
    <row r="431" ht="15.75" customHeight="1" s="230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0">
        <f>IF(AND('Master Stock'!D431&lt;&gt;"",'Master Stock'!H431="OCCUPIED",'Master Stock'!J431&lt;&gt;"",'Master Stock'!K431=""),COUNT($U$1:U430)+1,"")</f>
        <v/>
      </c>
      <c r="V431" s="0">
        <f>IF(AND('Master Stock'!D431&lt;&gt;"",'Master Stock'!L431&lt;&gt;"",'Master Stock'!L431&lt;TODAY()-30),COUNT($V$1:V430)+1,"")</f>
        <v/>
      </c>
    </row>
    <row r="432" ht="15.75" customHeight="1" s="230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0">
        <f>IF(AND('Master Stock'!D432&lt;&gt;"",'Master Stock'!H432="OCCUPIED",'Master Stock'!J432&lt;&gt;"",'Master Stock'!K432=""),COUNT($U$1:U431)+1,"")</f>
        <v/>
      </c>
      <c r="V432" s="0">
        <f>IF(AND('Master Stock'!D432&lt;&gt;"",'Master Stock'!L432&lt;&gt;"",'Master Stock'!L432&lt;TODAY()-30),COUNT($V$1:V431)+1,"")</f>
        <v/>
      </c>
    </row>
    <row r="433" ht="15.75" customHeight="1" s="230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0">
        <f>IF(AND('Master Stock'!D433&lt;&gt;"",'Master Stock'!H433="OCCUPIED",'Master Stock'!J433&lt;&gt;"",'Master Stock'!K433=""),COUNT($U$1:U432)+1,"")</f>
        <v/>
      </c>
      <c r="V433" s="0">
        <f>IF(AND('Master Stock'!D433&lt;&gt;"",'Master Stock'!L433&lt;&gt;"",'Master Stock'!L433&lt;TODAY()-30),COUNT($V$1:V432)+1,"")</f>
        <v/>
      </c>
    </row>
    <row r="434" ht="15.75" customHeight="1" s="230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0">
        <f>IF(AND('Master Stock'!D434&lt;&gt;"",'Master Stock'!H434="OCCUPIED",'Master Stock'!J434&lt;&gt;"",'Master Stock'!K434=""),COUNT($U$1:U433)+1,"")</f>
        <v/>
      </c>
      <c r="V434" s="0">
        <f>IF(AND('Master Stock'!D434&lt;&gt;"",'Master Stock'!L434&lt;&gt;"",'Master Stock'!L434&lt;TODAY()-30),COUNT($V$1:V433)+1,"")</f>
        <v/>
      </c>
    </row>
    <row r="435" ht="15.75" customHeight="1" s="230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0">
        <f>IF(AND('Master Stock'!D435&lt;&gt;"",'Master Stock'!H435="OCCUPIED",'Master Stock'!J435&lt;&gt;"",'Master Stock'!K435=""),COUNT($U$1:U434)+1,"")</f>
        <v/>
      </c>
      <c r="V435" s="0">
        <f>IF(AND('Master Stock'!D435&lt;&gt;"",'Master Stock'!L435&lt;&gt;"",'Master Stock'!L435&lt;TODAY()-30),COUNT($V$1:V434)+1,"")</f>
        <v/>
      </c>
    </row>
    <row r="436" ht="15.75" customHeight="1" s="230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0">
        <f>IF(AND('Master Stock'!D436&lt;&gt;"",'Master Stock'!H436="OCCUPIED",'Master Stock'!J436&lt;&gt;"",'Master Stock'!K436=""),COUNT($U$1:U435)+1,"")</f>
        <v/>
      </c>
      <c r="V436" s="0">
        <f>IF(AND('Master Stock'!D436&lt;&gt;"",'Master Stock'!L436&lt;&gt;"",'Master Stock'!L436&lt;TODAY()-30),COUNT($V$1:V435)+1,"")</f>
        <v/>
      </c>
    </row>
    <row r="437" ht="15.75" customHeight="1" s="230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0">
        <f>IF(AND('Master Stock'!D437&lt;&gt;"",'Master Stock'!H437="OCCUPIED",'Master Stock'!J437&lt;&gt;"",'Master Stock'!K437=""),COUNT($U$1:U436)+1,"")</f>
        <v/>
      </c>
      <c r="V437" s="0">
        <f>IF(AND('Master Stock'!D437&lt;&gt;"",'Master Stock'!L437&lt;&gt;"",'Master Stock'!L437&lt;TODAY()-30),COUNT($V$1:V436)+1,"")</f>
        <v/>
      </c>
    </row>
    <row r="438" ht="15.75" customHeight="1" s="230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0">
        <f>IF(AND('Master Stock'!D438&lt;&gt;"",'Master Stock'!H438="OCCUPIED",'Master Stock'!J438&lt;&gt;"",'Master Stock'!K438=""),COUNT($U$1:U437)+1,"")</f>
        <v/>
      </c>
      <c r="V438" s="0">
        <f>IF(AND('Master Stock'!D438&lt;&gt;"",'Master Stock'!L438&lt;&gt;"",'Master Stock'!L438&lt;TODAY()-30),COUNT($V$1:V437)+1,"")</f>
        <v/>
      </c>
    </row>
    <row r="439" ht="15.75" customHeight="1" s="230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0">
        <f>IF(AND('Master Stock'!D439&lt;&gt;"",'Master Stock'!H439="OCCUPIED",'Master Stock'!J439&lt;&gt;"",'Master Stock'!K439=""),COUNT($U$1:U438)+1,"")</f>
        <v/>
      </c>
      <c r="V439" s="0">
        <f>IF(AND('Master Stock'!D439&lt;&gt;"",'Master Stock'!L439&lt;&gt;"",'Master Stock'!L439&lt;TODAY()-30),COUNT($V$1:V438)+1,"")</f>
        <v/>
      </c>
    </row>
    <row r="440" ht="15.75" customHeight="1" s="23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0">
        <f>IF(AND('Master Stock'!D440&lt;&gt;"",'Master Stock'!H440="OCCUPIED",'Master Stock'!J440&lt;&gt;"",'Master Stock'!K440=""),COUNT($U$1:U439)+1,"")</f>
        <v/>
      </c>
      <c r="V440" s="0">
        <f>IF(AND('Master Stock'!D440&lt;&gt;"",'Master Stock'!L440&lt;&gt;"",'Master Stock'!L440&lt;TODAY()-30),COUNT($V$1:V439)+1,"")</f>
        <v/>
      </c>
    </row>
    <row r="441" ht="15.75" customHeight="1" s="230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0">
        <f>IF(AND('Master Stock'!D441&lt;&gt;"",'Master Stock'!H441="OCCUPIED",'Master Stock'!J441&lt;&gt;"",'Master Stock'!K441=""),COUNT($U$1:U440)+1,"")</f>
        <v/>
      </c>
      <c r="V441" s="0">
        <f>IF(AND('Master Stock'!D441&lt;&gt;"",'Master Stock'!L441&lt;&gt;"",'Master Stock'!L441&lt;TODAY()-30),COUNT($V$1:V440)+1,"")</f>
        <v/>
      </c>
    </row>
    <row r="442" ht="15.75" customHeight="1" s="230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0">
        <f>IF(AND('Master Stock'!D442&lt;&gt;"",'Master Stock'!H442="OCCUPIED",'Master Stock'!J442&lt;&gt;"",'Master Stock'!K442=""),COUNT($U$1:U441)+1,"")</f>
        <v/>
      </c>
      <c r="V442" s="0">
        <f>IF(AND('Master Stock'!D442&lt;&gt;"",'Master Stock'!L442&lt;&gt;"",'Master Stock'!L442&lt;TODAY()-30),COUNT($V$1:V441)+1,"")</f>
        <v/>
      </c>
    </row>
    <row r="443" ht="15.75" customHeight="1" s="230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0">
        <f>IF(AND('Master Stock'!D443&lt;&gt;"",'Master Stock'!H443="OCCUPIED",'Master Stock'!J443&lt;&gt;"",'Master Stock'!K443=""),COUNT($U$1:U442)+1,"")</f>
        <v/>
      </c>
      <c r="V443" s="0">
        <f>IF(AND('Master Stock'!D443&lt;&gt;"",'Master Stock'!L443&lt;&gt;"",'Master Stock'!L443&lt;TODAY()-30),COUNT($V$1:V442)+1,"")</f>
        <v/>
      </c>
    </row>
    <row r="444" ht="15.75" customHeight="1" s="230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0">
        <f>IF(AND('Master Stock'!D444&lt;&gt;"",'Master Stock'!H444="OCCUPIED",'Master Stock'!J444&lt;&gt;"",'Master Stock'!K444=""),COUNT($U$1:U443)+1,"")</f>
        <v/>
      </c>
      <c r="V444" s="0">
        <f>IF(AND('Master Stock'!D444&lt;&gt;"",'Master Stock'!L444&lt;&gt;"",'Master Stock'!L444&lt;TODAY()-30),COUNT($V$1:V443)+1,"")</f>
        <v/>
      </c>
    </row>
    <row r="445" ht="15.75" customHeight="1" s="230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0">
        <f>IF(AND('Master Stock'!D445&lt;&gt;"",'Master Stock'!H445="OCCUPIED",'Master Stock'!J445&lt;&gt;"",'Master Stock'!K445=""),COUNT($U$1:U444)+1,"")</f>
        <v/>
      </c>
      <c r="V445" s="0">
        <f>IF(AND('Master Stock'!D445&lt;&gt;"",'Master Stock'!L445&lt;&gt;"",'Master Stock'!L445&lt;TODAY()-30),COUNT($V$1:V444)+1,"")</f>
        <v/>
      </c>
    </row>
    <row r="446" ht="15.75" customHeight="1" s="230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0">
        <f>IF(AND('Master Stock'!D446&lt;&gt;"",'Master Stock'!H446="OCCUPIED",'Master Stock'!J446&lt;&gt;"",'Master Stock'!K446=""),COUNT($U$1:U445)+1,"")</f>
        <v/>
      </c>
      <c r="V446" s="0">
        <f>IF(AND('Master Stock'!D446&lt;&gt;"",'Master Stock'!L446&lt;&gt;"",'Master Stock'!L446&lt;TODAY()-30),COUNT($V$1:V445)+1,"")</f>
        <v/>
      </c>
    </row>
    <row r="447" ht="15.75" customHeight="1" s="230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0">
        <f>IF(AND('Master Stock'!D447&lt;&gt;"",'Master Stock'!H447="OCCUPIED",'Master Stock'!J447&lt;&gt;"",'Master Stock'!K447=""),COUNT($U$1:U446)+1,"")</f>
        <v/>
      </c>
      <c r="V447" s="0">
        <f>IF(AND('Master Stock'!D447&lt;&gt;"",'Master Stock'!L447&lt;&gt;"",'Master Stock'!L447&lt;TODAY()-30),COUNT($V$1:V446)+1,"")</f>
        <v/>
      </c>
    </row>
    <row r="448" ht="15.75" customHeight="1" s="230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0">
        <f>IF(AND('Master Stock'!D448&lt;&gt;"",'Master Stock'!H448="OCCUPIED",'Master Stock'!J448&lt;&gt;"",'Master Stock'!K448=""),COUNT($U$1:U447)+1,"")</f>
        <v/>
      </c>
      <c r="V448" s="0">
        <f>IF(AND('Master Stock'!D448&lt;&gt;"",'Master Stock'!L448&lt;&gt;"",'Master Stock'!L448&lt;TODAY()-30),COUNT($V$1:V447)+1,"")</f>
        <v/>
      </c>
    </row>
    <row r="449" ht="15.75" customHeight="1" s="230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0">
        <f>IF(AND('Master Stock'!D449&lt;&gt;"",'Master Stock'!H449="OCCUPIED",'Master Stock'!J449&lt;&gt;"",'Master Stock'!K449=""),COUNT($U$1:U448)+1,"")</f>
        <v/>
      </c>
      <c r="V449" s="0">
        <f>IF(AND('Master Stock'!D449&lt;&gt;"",'Master Stock'!L449&lt;&gt;"",'Master Stock'!L449&lt;TODAY()-30),COUNT($V$1:V448)+1,"")</f>
        <v/>
      </c>
    </row>
    <row r="450" ht="15.75" customHeight="1" s="23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0">
        <f>IF(AND('Master Stock'!D450&lt;&gt;"",'Master Stock'!H450="OCCUPIED",'Master Stock'!J450&lt;&gt;"",'Master Stock'!K450=""),COUNT($U$1:U449)+1,"")</f>
        <v/>
      </c>
      <c r="V450" s="0">
        <f>IF(AND('Master Stock'!D450&lt;&gt;"",'Master Stock'!L450&lt;&gt;"",'Master Stock'!L450&lt;TODAY()-30),COUNT($V$1:V449)+1,"")</f>
        <v/>
      </c>
    </row>
    <row r="451" ht="15.75" customHeight="1" s="230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0">
        <f>IF(AND('Master Stock'!D451&lt;&gt;"",'Master Stock'!H451="OCCUPIED",'Master Stock'!J451&lt;&gt;"",'Master Stock'!K451=""),COUNT($U$1:U450)+1,"")</f>
        <v/>
      </c>
      <c r="V451" s="0">
        <f>IF(AND('Master Stock'!D451&lt;&gt;"",'Master Stock'!L451&lt;&gt;"",'Master Stock'!L451&lt;TODAY()-30),COUNT($V$1:V450)+1,"")</f>
        <v/>
      </c>
    </row>
    <row r="452" ht="15.75" customHeight="1" s="230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0">
        <f>IF(AND('Master Stock'!D452&lt;&gt;"",'Master Stock'!H452="OCCUPIED",'Master Stock'!J452&lt;&gt;"",'Master Stock'!K452=""),COUNT($U$1:U451)+1,"")</f>
        <v/>
      </c>
      <c r="V452" s="0">
        <f>IF(AND('Master Stock'!D452&lt;&gt;"",'Master Stock'!L452&lt;&gt;"",'Master Stock'!L452&lt;TODAY()-30),COUNT($V$1:V451)+1,"")</f>
        <v/>
      </c>
    </row>
    <row r="453" ht="15.75" customHeight="1" s="230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0">
        <f>IF(AND('Master Stock'!D453&lt;&gt;"",'Master Stock'!H453="OCCUPIED",'Master Stock'!J453&lt;&gt;"",'Master Stock'!K453=""),COUNT($U$1:U452)+1,"")</f>
        <v/>
      </c>
      <c r="V453" s="0">
        <f>IF(AND('Master Stock'!D453&lt;&gt;"",'Master Stock'!L453&lt;&gt;"",'Master Stock'!L453&lt;TODAY()-30),COUNT($V$1:V452)+1,"")</f>
        <v/>
      </c>
    </row>
    <row r="454" ht="15.75" customHeight="1" s="230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0">
        <f>IF(AND('Master Stock'!D454&lt;&gt;"",'Master Stock'!H454="OCCUPIED",'Master Stock'!J454&lt;&gt;"",'Master Stock'!K454=""),COUNT($U$1:U453)+1,"")</f>
        <v/>
      </c>
      <c r="V454" s="0">
        <f>IF(AND('Master Stock'!D454&lt;&gt;"",'Master Stock'!L454&lt;&gt;"",'Master Stock'!L454&lt;TODAY()-30),COUNT($V$1:V453)+1,"")</f>
        <v/>
      </c>
    </row>
    <row r="455" ht="15.75" customHeight="1" s="230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0">
        <f>IF(AND('Master Stock'!D455&lt;&gt;"",'Master Stock'!H455="OCCUPIED",'Master Stock'!J455&lt;&gt;"",'Master Stock'!K455=""),COUNT($U$1:U454)+1,"")</f>
        <v/>
      </c>
      <c r="V455" s="0">
        <f>IF(AND('Master Stock'!D455&lt;&gt;"",'Master Stock'!L455&lt;&gt;"",'Master Stock'!L455&lt;TODAY()-30),COUNT($V$1:V454)+1,"")</f>
        <v/>
      </c>
    </row>
    <row r="456" ht="15.75" customHeight="1" s="230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0">
        <f>IF(AND('Master Stock'!D456&lt;&gt;"",'Master Stock'!H456="OCCUPIED",'Master Stock'!J456&lt;&gt;"",'Master Stock'!K456=""),COUNT($U$1:U455)+1,"")</f>
        <v/>
      </c>
      <c r="V456" s="0">
        <f>IF(AND('Master Stock'!D456&lt;&gt;"",'Master Stock'!L456&lt;&gt;"",'Master Stock'!L456&lt;TODAY()-30),COUNT($V$1:V455)+1,"")</f>
        <v/>
      </c>
    </row>
    <row r="457" ht="15.75" customHeight="1" s="230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0">
        <f>IF(AND('Master Stock'!D457&lt;&gt;"",'Master Stock'!H457="OCCUPIED",'Master Stock'!J457&lt;&gt;"",'Master Stock'!K457=""),COUNT($U$1:U456)+1,"")</f>
        <v/>
      </c>
      <c r="V457" s="0">
        <f>IF(AND('Master Stock'!D457&lt;&gt;"",'Master Stock'!L457&lt;&gt;"",'Master Stock'!L457&lt;TODAY()-30),COUNT($V$1:V456)+1,"")</f>
        <v/>
      </c>
    </row>
    <row r="458" ht="15.75" customHeight="1" s="230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0">
        <f>IF(AND('Master Stock'!D458&lt;&gt;"",'Master Stock'!H458="OCCUPIED",'Master Stock'!J458&lt;&gt;"",'Master Stock'!K458=""),COUNT($U$1:U457)+1,"")</f>
        <v/>
      </c>
      <c r="V458" s="0">
        <f>IF(AND('Master Stock'!D458&lt;&gt;"",'Master Stock'!L458&lt;&gt;"",'Master Stock'!L458&lt;TODAY()-30),COUNT($V$1:V457)+1,"")</f>
        <v/>
      </c>
    </row>
    <row r="459" ht="15.75" customHeight="1" s="230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0">
        <f>IF(AND('Master Stock'!D459&lt;&gt;"",'Master Stock'!H459="OCCUPIED",'Master Stock'!J459&lt;&gt;"",'Master Stock'!K459=""),COUNT($U$1:U458)+1,"")</f>
        <v/>
      </c>
      <c r="V459" s="0">
        <f>IF(AND('Master Stock'!D459&lt;&gt;"",'Master Stock'!L459&lt;&gt;"",'Master Stock'!L459&lt;TODAY()-30),COUNT($V$1:V458)+1,"")</f>
        <v/>
      </c>
    </row>
    <row r="460" ht="15.75" customHeight="1" s="23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0">
        <f>IF(AND('Master Stock'!D460&lt;&gt;"",'Master Stock'!H460="OCCUPIED",'Master Stock'!J460&lt;&gt;"",'Master Stock'!K460=""),COUNT($U$1:U459)+1,"")</f>
        <v/>
      </c>
      <c r="V460" s="0">
        <f>IF(AND('Master Stock'!D460&lt;&gt;"",'Master Stock'!L460&lt;&gt;"",'Master Stock'!L460&lt;TODAY()-30),COUNT($V$1:V459)+1,"")</f>
        <v/>
      </c>
    </row>
    <row r="461" ht="15.75" customHeight="1" s="230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0">
        <f>IF(AND('Master Stock'!D461&lt;&gt;"",'Master Stock'!H461="OCCUPIED",'Master Stock'!J461&lt;&gt;"",'Master Stock'!K461=""),COUNT($U$1:U460)+1,"")</f>
        <v/>
      </c>
      <c r="V461" s="0">
        <f>IF(AND('Master Stock'!D461&lt;&gt;"",'Master Stock'!L461&lt;&gt;"",'Master Stock'!L461&lt;TODAY()-30),COUNT($V$1:V460)+1,"")</f>
        <v/>
      </c>
    </row>
    <row r="462" ht="15.75" customHeight="1" s="230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0">
        <f>IF(AND('Master Stock'!D462&lt;&gt;"",'Master Stock'!H462="OCCUPIED",'Master Stock'!J462&lt;&gt;"",'Master Stock'!K462=""),COUNT($U$1:U461)+1,"")</f>
        <v/>
      </c>
      <c r="V462" s="0">
        <f>IF(AND('Master Stock'!D462&lt;&gt;"",'Master Stock'!L462&lt;&gt;"",'Master Stock'!L462&lt;TODAY()-30),COUNT($V$1:V461)+1,"")</f>
        <v/>
      </c>
    </row>
    <row r="463" ht="15.75" customHeight="1" s="230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0">
        <f>IF(AND('Master Stock'!D463&lt;&gt;"",'Master Stock'!H463="OCCUPIED",'Master Stock'!J463&lt;&gt;"",'Master Stock'!K463=""),COUNT($U$1:U462)+1,"")</f>
        <v/>
      </c>
      <c r="V463" s="0">
        <f>IF(AND('Master Stock'!D463&lt;&gt;"",'Master Stock'!L463&lt;&gt;"",'Master Stock'!L463&lt;TODAY()-30),COUNT($V$1:V462)+1,"")</f>
        <v/>
      </c>
    </row>
    <row r="464" ht="15.75" customHeight="1" s="230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0">
        <f>IF(AND('Master Stock'!D464&lt;&gt;"",'Master Stock'!H464="OCCUPIED",'Master Stock'!J464&lt;&gt;"",'Master Stock'!K464=""),COUNT($U$1:U463)+1,"")</f>
        <v/>
      </c>
      <c r="V464" s="0">
        <f>IF(AND('Master Stock'!D464&lt;&gt;"",'Master Stock'!L464&lt;&gt;"",'Master Stock'!L464&lt;TODAY()-30),COUNT($V$1:V463)+1,"")</f>
        <v/>
      </c>
    </row>
    <row r="465" ht="15.75" customHeight="1" s="230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0">
        <f>IF(AND('Master Stock'!D465&lt;&gt;"",'Master Stock'!H465="OCCUPIED",'Master Stock'!J465&lt;&gt;"",'Master Stock'!K465=""),COUNT($U$1:U464)+1,"")</f>
        <v/>
      </c>
      <c r="V465" s="0">
        <f>IF(AND('Master Stock'!D465&lt;&gt;"",'Master Stock'!L465&lt;&gt;"",'Master Stock'!L465&lt;TODAY()-30),COUNT($V$1:V464)+1,"")</f>
        <v/>
      </c>
    </row>
    <row r="466" ht="15.75" customHeight="1" s="230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0">
        <f>IF(AND('Master Stock'!D466&lt;&gt;"",'Master Stock'!H466="OCCUPIED",'Master Stock'!J466&lt;&gt;"",'Master Stock'!K466=""),COUNT($U$1:U465)+1,"")</f>
        <v/>
      </c>
      <c r="V466" s="0">
        <f>IF(AND('Master Stock'!D466&lt;&gt;"",'Master Stock'!L466&lt;&gt;"",'Master Stock'!L466&lt;TODAY()-30),COUNT($V$1:V465)+1,"")</f>
        <v/>
      </c>
    </row>
    <row r="467" ht="15.75" customHeight="1" s="230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0">
        <f>IF(AND('Master Stock'!D467&lt;&gt;"",'Master Stock'!H467="OCCUPIED",'Master Stock'!J467&lt;&gt;"",'Master Stock'!K467=""),COUNT($U$1:U466)+1,"")</f>
        <v/>
      </c>
      <c r="V467" s="0">
        <f>IF(AND('Master Stock'!D467&lt;&gt;"",'Master Stock'!L467&lt;&gt;"",'Master Stock'!L467&lt;TODAY()-30),COUNT($V$1:V466)+1,"")</f>
        <v/>
      </c>
    </row>
    <row r="468" ht="15.75" customHeight="1" s="230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0">
        <f>IF(AND('Master Stock'!D468&lt;&gt;"",'Master Stock'!H468="OCCUPIED",'Master Stock'!J468&lt;&gt;"",'Master Stock'!K468=""),COUNT($U$1:U467)+1,"")</f>
        <v/>
      </c>
      <c r="V468" s="0">
        <f>IF(AND('Master Stock'!D468&lt;&gt;"",'Master Stock'!L468&lt;&gt;"",'Master Stock'!L468&lt;TODAY()-30),COUNT($V$1:V467)+1,"")</f>
        <v/>
      </c>
    </row>
    <row r="469" ht="15.75" customHeight="1" s="230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0">
        <f>IF(AND('Master Stock'!D469&lt;&gt;"",'Master Stock'!H469="OCCUPIED",'Master Stock'!J469&lt;&gt;"",'Master Stock'!K469=""),COUNT($U$1:U468)+1,"")</f>
        <v/>
      </c>
      <c r="V469" s="0">
        <f>IF(AND('Master Stock'!D469&lt;&gt;"",'Master Stock'!L469&lt;&gt;"",'Master Stock'!L469&lt;TODAY()-30),COUNT($V$1:V468)+1,"")</f>
        <v/>
      </c>
    </row>
    <row r="470" ht="15.75" customHeight="1" s="23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0">
        <f>IF(AND('Master Stock'!D470&lt;&gt;"",'Master Stock'!H470="OCCUPIED",'Master Stock'!J470&lt;&gt;"",'Master Stock'!K470=""),COUNT($U$1:U469)+1,"")</f>
        <v/>
      </c>
      <c r="V470" s="0">
        <f>IF(AND('Master Stock'!D470&lt;&gt;"",'Master Stock'!L470&lt;&gt;"",'Master Stock'!L470&lt;TODAY()-30),COUNT($V$1:V469)+1,"")</f>
        <v/>
      </c>
    </row>
    <row r="471" ht="15.75" customHeight="1" s="230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0">
        <f>IF(AND('Master Stock'!D471&lt;&gt;"",'Master Stock'!H471="OCCUPIED",'Master Stock'!J471&lt;&gt;"",'Master Stock'!K471=""),COUNT($U$1:U470)+1,"")</f>
        <v/>
      </c>
      <c r="V471" s="0">
        <f>IF(AND('Master Stock'!D471&lt;&gt;"",'Master Stock'!L471&lt;&gt;"",'Master Stock'!L471&lt;TODAY()-30),COUNT($V$1:V470)+1,"")</f>
        <v/>
      </c>
    </row>
    <row r="472" ht="15.75" customHeight="1" s="230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0">
        <f>IF(AND('Master Stock'!D472&lt;&gt;"",'Master Stock'!H472="OCCUPIED",'Master Stock'!J472&lt;&gt;"",'Master Stock'!K472=""),COUNT($U$1:U471)+1,"")</f>
        <v/>
      </c>
      <c r="V472" s="0">
        <f>IF(AND('Master Stock'!D472&lt;&gt;"",'Master Stock'!L472&lt;&gt;"",'Master Stock'!L472&lt;TODAY()-30),COUNT($V$1:V471)+1,"")</f>
        <v/>
      </c>
    </row>
    <row r="473" ht="15.75" customHeight="1" s="230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0">
        <f>IF(AND('Master Stock'!D473&lt;&gt;"",'Master Stock'!H473="OCCUPIED",'Master Stock'!J473&lt;&gt;"",'Master Stock'!K473=""),COUNT($U$1:U472)+1,"")</f>
        <v/>
      </c>
      <c r="V473" s="0">
        <f>IF(AND('Master Stock'!D473&lt;&gt;"",'Master Stock'!L473&lt;&gt;"",'Master Stock'!L473&lt;TODAY()-30),COUNT($V$1:V472)+1,"")</f>
        <v/>
      </c>
    </row>
    <row r="474" ht="15.75" customHeight="1" s="230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0">
        <f>IF(AND('Master Stock'!D474&lt;&gt;"",'Master Stock'!H474="OCCUPIED",'Master Stock'!J474&lt;&gt;"",'Master Stock'!K474=""),COUNT($U$1:U473)+1,"")</f>
        <v/>
      </c>
      <c r="V474" s="0">
        <f>IF(AND('Master Stock'!D474&lt;&gt;"",'Master Stock'!L474&lt;&gt;"",'Master Stock'!L474&lt;TODAY()-30),COUNT($V$1:V473)+1,"")</f>
        <v/>
      </c>
    </row>
    <row r="475" ht="15.75" customHeight="1" s="230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0">
        <f>IF(AND('Master Stock'!D475&lt;&gt;"",'Master Stock'!H475="OCCUPIED",'Master Stock'!J475&lt;&gt;"",'Master Stock'!K475=""),COUNT($U$1:U474)+1,"")</f>
        <v/>
      </c>
      <c r="V475" s="0">
        <f>IF(AND('Master Stock'!D475&lt;&gt;"",'Master Stock'!L475&lt;&gt;"",'Master Stock'!L475&lt;TODAY()-30),COUNT($V$1:V474)+1,"")</f>
        <v/>
      </c>
    </row>
    <row r="476" ht="15.75" customHeight="1" s="230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0">
        <f>IF(AND('Master Stock'!D476&lt;&gt;"",'Master Stock'!H476="OCCUPIED",'Master Stock'!J476&lt;&gt;"",'Master Stock'!K476=""),COUNT($U$1:U475)+1,"")</f>
        <v/>
      </c>
      <c r="V476" s="0">
        <f>IF(AND('Master Stock'!D476&lt;&gt;"",'Master Stock'!L476&lt;&gt;"",'Master Stock'!L476&lt;TODAY()-30),COUNT($V$1:V475)+1,"")</f>
        <v/>
      </c>
    </row>
    <row r="477" ht="15.75" customHeight="1" s="230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0">
        <f>IF(AND('Master Stock'!D477&lt;&gt;"",'Master Stock'!H477="OCCUPIED",'Master Stock'!J477&lt;&gt;"",'Master Stock'!K477=""),COUNT($U$1:U476)+1,"")</f>
        <v/>
      </c>
      <c r="V477" s="0">
        <f>IF(AND('Master Stock'!D477&lt;&gt;"",'Master Stock'!L477&lt;&gt;"",'Master Stock'!L477&lt;TODAY()-30),COUNT($V$1:V476)+1,"")</f>
        <v/>
      </c>
    </row>
    <row r="478" ht="15.75" customHeight="1" s="230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0">
        <f>IF(AND('Master Stock'!D478&lt;&gt;"",'Master Stock'!H478="OCCUPIED",'Master Stock'!J478&lt;&gt;"",'Master Stock'!K478=""),COUNT($U$1:U477)+1,"")</f>
        <v/>
      </c>
      <c r="V478" s="0">
        <f>IF(AND('Master Stock'!D478&lt;&gt;"",'Master Stock'!L478&lt;&gt;"",'Master Stock'!L478&lt;TODAY()-30),COUNT($V$1:V477)+1,"")</f>
        <v/>
      </c>
    </row>
    <row r="479" ht="15.75" customHeight="1" s="230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0">
        <f>IF(AND('Master Stock'!D479&lt;&gt;"",'Master Stock'!H479="OCCUPIED",'Master Stock'!J479&lt;&gt;"",'Master Stock'!K479=""),COUNT($U$1:U478)+1,"")</f>
        <v/>
      </c>
      <c r="V479" s="0">
        <f>IF(AND('Master Stock'!D479&lt;&gt;"",'Master Stock'!L479&lt;&gt;"",'Master Stock'!L479&lt;TODAY()-30),COUNT($V$1:V478)+1,"")</f>
        <v/>
      </c>
    </row>
    <row r="480" ht="15.75" customHeight="1" s="23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0">
        <f>IF(AND('Master Stock'!D480&lt;&gt;"",'Master Stock'!H480="OCCUPIED",'Master Stock'!J480&lt;&gt;"",'Master Stock'!K480=""),COUNT($U$1:U479)+1,"")</f>
        <v/>
      </c>
      <c r="V480" s="0">
        <f>IF(AND('Master Stock'!D480&lt;&gt;"",'Master Stock'!L480&lt;&gt;"",'Master Stock'!L480&lt;TODAY()-30),COUNT($V$1:V479)+1,"")</f>
        <v/>
      </c>
    </row>
    <row r="481" ht="15.75" customHeight="1" s="230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0">
        <f>IF(AND('Master Stock'!D481&lt;&gt;"",'Master Stock'!H481="OCCUPIED",'Master Stock'!J481&lt;&gt;"",'Master Stock'!K481=""),COUNT($U$1:U480)+1,"")</f>
        <v/>
      </c>
      <c r="V481" s="0">
        <f>IF(AND('Master Stock'!D481&lt;&gt;"",'Master Stock'!L481&lt;&gt;"",'Master Stock'!L481&lt;TODAY()-30),COUNT($V$1:V480)+1,"")</f>
        <v/>
      </c>
    </row>
    <row r="482" ht="15.75" customHeight="1" s="230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0">
        <f>IF(AND('Master Stock'!D482&lt;&gt;"",'Master Stock'!H482="OCCUPIED",'Master Stock'!J482&lt;&gt;"",'Master Stock'!K482=""),COUNT($U$1:U481)+1,"")</f>
        <v/>
      </c>
      <c r="V482" s="0">
        <f>IF(AND('Master Stock'!D482&lt;&gt;"",'Master Stock'!L482&lt;&gt;"",'Master Stock'!L482&lt;TODAY()-30),COUNT($V$1:V481)+1,"")</f>
        <v/>
      </c>
    </row>
    <row r="483" ht="15.75" customHeight="1" s="230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0">
        <f>IF(AND('Master Stock'!D483&lt;&gt;"",'Master Stock'!H483="OCCUPIED",'Master Stock'!J483&lt;&gt;"",'Master Stock'!K483=""),COUNT($U$1:U482)+1,"")</f>
        <v/>
      </c>
      <c r="V483" s="0">
        <f>IF(AND('Master Stock'!D483&lt;&gt;"",'Master Stock'!L483&lt;&gt;"",'Master Stock'!L483&lt;TODAY()-30),COUNT($V$1:V482)+1,"")</f>
        <v/>
      </c>
    </row>
    <row r="484" ht="15.75" customHeight="1" s="230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0">
        <f>IF(AND('Master Stock'!D484&lt;&gt;"",'Master Stock'!H484="OCCUPIED",'Master Stock'!J484&lt;&gt;"",'Master Stock'!K484=""),COUNT($U$1:U483)+1,"")</f>
        <v/>
      </c>
      <c r="V484" s="0">
        <f>IF(AND('Master Stock'!D484&lt;&gt;"",'Master Stock'!L484&lt;&gt;"",'Master Stock'!L484&lt;TODAY()-30),COUNT($V$1:V483)+1,"")</f>
        <v/>
      </c>
    </row>
    <row r="485" ht="15.75" customHeight="1" s="230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0">
        <f>IF(AND('Master Stock'!D485&lt;&gt;"",'Master Stock'!H485="OCCUPIED",'Master Stock'!J485&lt;&gt;"",'Master Stock'!K485=""),COUNT($U$1:U484)+1,"")</f>
        <v/>
      </c>
      <c r="V485" s="0">
        <f>IF(AND('Master Stock'!D485&lt;&gt;"",'Master Stock'!L485&lt;&gt;"",'Master Stock'!L485&lt;TODAY()-30),COUNT($V$1:V484)+1,"")</f>
        <v/>
      </c>
    </row>
    <row r="486" ht="15.75" customHeight="1" s="230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0">
        <f>IF(AND('Master Stock'!D486&lt;&gt;"",'Master Stock'!H486="OCCUPIED",'Master Stock'!J486&lt;&gt;"",'Master Stock'!K486=""),COUNT($U$1:U485)+1,"")</f>
        <v/>
      </c>
      <c r="V486" s="0">
        <f>IF(AND('Master Stock'!D486&lt;&gt;"",'Master Stock'!L486&lt;&gt;"",'Master Stock'!L486&lt;TODAY()-30),COUNT($V$1:V485)+1,"")</f>
        <v/>
      </c>
    </row>
    <row r="487" ht="15.75" customHeight="1" s="230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0">
        <f>IF(AND('Master Stock'!D487&lt;&gt;"",'Master Stock'!H487="OCCUPIED",'Master Stock'!J487&lt;&gt;"",'Master Stock'!K487=""),COUNT($U$1:U486)+1,"")</f>
        <v/>
      </c>
      <c r="V487" s="0">
        <f>IF(AND('Master Stock'!D487&lt;&gt;"",'Master Stock'!L487&lt;&gt;"",'Master Stock'!L487&lt;TODAY()-30),COUNT($V$1:V486)+1,"")</f>
        <v/>
      </c>
    </row>
    <row r="488" ht="15.75" customHeight="1" s="230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0">
        <f>IF(AND('Master Stock'!D488&lt;&gt;"",'Master Stock'!H488="OCCUPIED",'Master Stock'!J488&lt;&gt;"",'Master Stock'!K488=""),COUNT($U$1:U487)+1,"")</f>
        <v/>
      </c>
      <c r="V488" s="0">
        <f>IF(AND('Master Stock'!D488&lt;&gt;"",'Master Stock'!L488&lt;&gt;"",'Master Stock'!L488&lt;TODAY()-30),COUNT($V$1:V487)+1,"")</f>
        <v/>
      </c>
    </row>
    <row r="489" ht="15.75" customHeight="1" s="230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0">
        <f>IF(AND('Master Stock'!D489&lt;&gt;"",'Master Stock'!H489="OCCUPIED",'Master Stock'!J489&lt;&gt;"",'Master Stock'!K489=""),COUNT($U$1:U488)+1,"")</f>
        <v/>
      </c>
      <c r="V489" s="0">
        <f>IF(AND('Master Stock'!D489&lt;&gt;"",'Master Stock'!L489&lt;&gt;"",'Master Stock'!L489&lt;TODAY()-30),COUNT($V$1:V488)+1,"")</f>
        <v/>
      </c>
    </row>
    <row r="490" ht="15.75" customHeight="1" s="23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0">
        <f>IF(AND('Master Stock'!D490&lt;&gt;"",'Master Stock'!H490="OCCUPIED",'Master Stock'!J490&lt;&gt;"",'Master Stock'!K490=""),COUNT($U$1:U489)+1,"")</f>
        <v/>
      </c>
      <c r="V490" s="0">
        <f>IF(AND('Master Stock'!D490&lt;&gt;"",'Master Stock'!L490&lt;&gt;"",'Master Stock'!L490&lt;TODAY()-30),COUNT($V$1:V489)+1,"")</f>
        <v/>
      </c>
    </row>
    <row r="491" ht="15.75" customHeight="1" s="230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0">
        <f>IF(AND('Master Stock'!D491&lt;&gt;"",'Master Stock'!H491="OCCUPIED",'Master Stock'!J491&lt;&gt;"",'Master Stock'!K491=""),COUNT($U$1:U490)+1,"")</f>
        <v/>
      </c>
      <c r="V491" s="0">
        <f>IF(AND('Master Stock'!D491&lt;&gt;"",'Master Stock'!L491&lt;&gt;"",'Master Stock'!L491&lt;TODAY()-30),COUNT($V$1:V490)+1,"")</f>
        <v/>
      </c>
    </row>
    <row r="492" ht="15.75" customHeight="1" s="230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0">
        <f>IF(AND('Master Stock'!D492&lt;&gt;"",'Master Stock'!H492="OCCUPIED",'Master Stock'!J492&lt;&gt;"",'Master Stock'!K492=""),COUNT($U$1:U491)+1,"")</f>
        <v/>
      </c>
      <c r="V492" s="0">
        <f>IF(AND('Master Stock'!D492&lt;&gt;"",'Master Stock'!L492&lt;&gt;"",'Master Stock'!L492&lt;TODAY()-30),COUNT($V$1:V491)+1,"")</f>
        <v/>
      </c>
    </row>
    <row r="493" ht="15.75" customHeight="1" s="230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0">
        <f>IF(AND('Master Stock'!D493&lt;&gt;"",'Master Stock'!H493="OCCUPIED",'Master Stock'!J493&lt;&gt;"",'Master Stock'!K493=""),COUNT($U$1:U492)+1,"")</f>
        <v/>
      </c>
      <c r="V493" s="0">
        <f>IF(AND('Master Stock'!D493&lt;&gt;"",'Master Stock'!L493&lt;&gt;"",'Master Stock'!L493&lt;TODAY()-30),COUNT($V$1:V492)+1,"")</f>
        <v/>
      </c>
    </row>
    <row r="494" ht="15.75" customHeight="1" s="230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0">
        <f>IF(AND('Master Stock'!D494&lt;&gt;"",'Master Stock'!H494="OCCUPIED",'Master Stock'!J494&lt;&gt;"",'Master Stock'!K494=""),COUNT($U$1:U493)+1,"")</f>
        <v/>
      </c>
      <c r="V494" s="0">
        <f>IF(AND('Master Stock'!D494&lt;&gt;"",'Master Stock'!L494&lt;&gt;"",'Master Stock'!L494&lt;TODAY()-30),COUNT($V$1:V493)+1,"")</f>
        <v/>
      </c>
    </row>
    <row r="495" ht="15.75" customHeight="1" s="230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0">
        <f>IF(AND('Master Stock'!D495&lt;&gt;"",'Master Stock'!H495="OCCUPIED",'Master Stock'!J495&lt;&gt;"",'Master Stock'!K495=""),COUNT($U$1:U494)+1,"")</f>
        <v/>
      </c>
      <c r="V495" s="0">
        <f>IF(AND('Master Stock'!D495&lt;&gt;"",'Master Stock'!L495&lt;&gt;"",'Master Stock'!L495&lt;TODAY()-30),COUNT($V$1:V494)+1,"")</f>
        <v/>
      </c>
    </row>
    <row r="496" ht="15.75" customHeight="1" s="230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0">
        <f>IF(AND('Master Stock'!D496&lt;&gt;"",'Master Stock'!H496="OCCUPIED",'Master Stock'!J496&lt;&gt;"",'Master Stock'!K496=""),COUNT($U$1:U495)+1,"")</f>
        <v/>
      </c>
      <c r="V496" s="0">
        <f>IF(AND('Master Stock'!D496&lt;&gt;"",'Master Stock'!L496&lt;&gt;"",'Master Stock'!L496&lt;TODAY()-30),COUNT($V$1:V495)+1,"")</f>
        <v/>
      </c>
    </row>
    <row r="497" ht="15.75" customHeight="1" s="230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0">
        <f>IF(AND('Master Stock'!D497&lt;&gt;"",'Master Stock'!H497="OCCUPIED",'Master Stock'!J497&lt;&gt;"",'Master Stock'!K497=""),COUNT($U$1:U496)+1,"")</f>
        <v/>
      </c>
      <c r="V497" s="0">
        <f>IF(AND('Master Stock'!D497&lt;&gt;"",'Master Stock'!L497&lt;&gt;"",'Master Stock'!L497&lt;TODAY()-30),COUNT($V$1:V496)+1,"")</f>
        <v/>
      </c>
    </row>
    <row r="498" ht="15.75" customHeight="1" s="230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0">
        <f>IF(AND('Master Stock'!D498&lt;&gt;"",'Master Stock'!H498="OCCUPIED",'Master Stock'!J498&lt;&gt;"",'Master Stock'!K498=""),COUNT($U$1:U497)+1,"")</f>
        <v/>
      </c>
      <c r="V498" s="0">
        <f>IF(AND('Master Stock'!D498&lt;&gt;"",'Master Stock'!L498&lt;&gt;"",'Master Stock'!L498&lt;TODAY()-30),COUNT($V$1:V497)+1,"")</f>
        <v/>
      </c>
    </row>
    <row r="499" ht="15.75" customHeight="1" s="230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0">
        <f>IF(AND('Master Stock'!D499&lt;&gt;"",'Master Stock'!H499="OCCUPIED",'Master Stock'!J499&lt;&gt;"",'Master Stock'!K499=""),COUNT($U$1:U498)+1,"")</f>
        <v/>
      </c>
      <c r="V499" s="0">
        <f>IF(AND('Master Stock'!D499&lt;&gt;"",'Master Stock'!L499&lt;&gt;"",'Master Stock'!L499&lt;TODAY()-30),COUNT($V$1:V498)+1,"")</f>
        <v/>
      </c>
    </row>
    <row r="500" ht="15.75" customHeight="1" s="23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0">
        <f>IF(AND('Master Stock'!D500&lt;&gt;"",'Master Stock'!H500="OCCUPIED",'Master Stock'!J500&lt;&gt;"",'Master Stock'!K500=""),COUNT($U$1:U499)+1,"")</f>
        <v/>
      </c>
      <c r="V500" s="0">
        <f>IF(AND('Master Stock'!D500&lt;&gt;"",'Master Stock'!L500&lt;&gt;"",'Master Stock'!L500&lt;TODAY()-30),COUNT($V$1:V499)+1,"")</f>
        <v/>
      </c>
    </row>
    <row r="501" ht="15.75" customHeight="1" s="230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0">
        <f>IF(AND('Master Stock'!D501&lt;&gt;"",'Master Stock'!H501="OCCUPIED",'Master Stock'!J501&lt;&gt;"",'Master Stock'!K501=""),COUNT($U$1:U500)+1,"")</f>
        <v/>
      </c>
      <c r="V501" s="0">
        <f>IF(AND('Master Stock'!D501&lt;&gt;"",'Master Stock'!L501&lt;&gt;"",'Master Stock'!L501&lt;TODAY()-30),COUNT($V$1:V500)+1,"")</f>
        <v/>
      </c>
    </row>
    <row r="502" ht="15.75" customHeight="1" s="230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0">
        <f>IF(AND('Master Stock'!D502&lt;&gt;"",'Master Stock'!H502="OCCUPIED",'Master Stock'!J502&lt;&gt;"",'Master Stock'!K502=""),COUNT($U$1:U501)+1,"")</f>
        <v/>
      </c>
      <c r="V502" s="0">
        <f>IF(AND('Master Stock'!D502&lt;&gt;"",'Master Stock'!L502&lt;&gt;"",'Master Stock'!L502&lt;TODAY()-30),COUNT($V$1:V501)+1,"")</f>
        <v/>
      </c>
    </row>
    <row r="503" ht="15.75" customHeight="1" s="230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0">
        <f>IF(AND('Master Stock'!D503&lt;&gt;"",'Master Stock'!H503="OCCUPIED",'Master Stock'!J503&lt;&gt;"",'Master Stock'!K503=""),COUNT($U$1:U502)+1,"")</f>
        <v/>
      </c>
      <c r="V503" s="0">
        <f>IF(AND('Master Stock'!D503&lt;&gt;"",'Master Stock'!L503&lt;&gt;"",'Master Stock'!L503&lt;TODAY()-30),COUNT($V$1:V502)+1,"")</f>
        <v/>
      </c>
    </row>
    <row r="504" ht="15.75" customHeight="1" s="230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0">
        <f>IF(AND('Master Stock'!D504&lt;&gt;"",'Master Stock'!H504="OCCUPIED",'Master Stock'!J504&lt;&gt;"",'Master Stock'!K504=""),COUNT($U$1:U503)+1,"")</f>
        <v/>
      </c>
      <c r="V504" s="0">
        <f>IF(AND('Master Stock'!D504&lt;&gt;"",'Master Stock'!L504&lt;&gt;"",'Master Stock'!L504&lt;TODAY()-30),COUNT($V$1:V503)+1,"")</f>
        <v/>
      </c>
    </row>
    <row r="505" ht="15.75" customHeight="1" s="230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0">
        <f>IF(AND('Master Stock'!D505&lt;&gt;"",'Master Stock'!H505="OCCUPIED",'Master Stock'!J505&lt;&gt;"",'Master Stock'!K505=""),COUNT($U$1:U504)+1,"")</f>
        <v/>
      </c>
      <c r="V505" s="0">
        <f>IF(AND('Master Stock'!D505&lt;&gt;"",'Master Stock'!L505&lt;&gt;"",'Master Stock'!L505&lt;TODAY()-30),COUNT($V$1:V504)+1,"")</f>
        <v/>
      </c>
    </row>
    <row r="506" ht="15.75" customHeight="1" s="230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0">
        <f>IF(AND('Master Stock'!D506&lt;&gt;"",'Master Stock'!H506="OCCUPIED",'Master Stock'!J506&lt;&gt;"",'Master Stock'!K506=""),COUNT($U$1:U505)+1,"")</f>
        <v/>
      </c>
      <c r="V506" s="0">
        <f>IF(AND('Master Stock'!D506&lt;&gt;"",'Master Stock'!L506&lt;&gt;"",'Master Stock'!L506&lt;TODAY()-30),COUNT($V$1:V505)+1,"")</f>
        <v/>
      </c>
    </row>
    <row r="507" ht="15.75" customHeight="1" s="230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0">
        <f>IF(AND('Master Stock'!D507&lt;&gt;"",'Master Stock'!H507="OCCUPIED",'Master Stock'!J507&lt;&gt;"",'Master Stock'!K507=""),COUNT($U$1:U506)+1,"")</f>
        <v/>
      </c>
      <c r="V507" s="0">
        <f>IF(AND('Master Stock'!D507&lt;&gt;"",'Master Stock'!L507&lt;&gt;"",'Master Stock'!L507&lt;TODAY()-30),COUNT($V$1:V506)+1,"")</f>
        <v/>
      </c>
    </row>
    <row r="508" ht="15.75" customHeight="1" s="230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0">
        <f>IF(AND('Master Stock'!D508&lt;&gt;"",'Master Stock'!H508="OCCUPIED",'Master Stock'!J508&lt;&gt;"",'Master Stock'!K508=""),COUNT($U$1:U507)+1,"")</f>
        <v/>
      </c>
      <c r="V508" s="0">
        <f>IF(AND('Master Stock'!D508&lt;&gt;"",'Master Stock'!L508&lt;&gt;"",'Master Stock'!L508&lt;TODAY()-30),COUNT($V$1:V507)+1,"")</f>
        <v/>
      </c>
    </row>
    <row r="509" ht="15.75" customHeight="1" s="230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0">
        <f>IF(AND('Master Stock'!D509&lt;&gt;"",'Master Stock'!H509="OCCUPIED",'Master Stock'!J509&lt;&gt;"",'Master Stock'!K509=""),COUNT($U$1:U508)+1,"")</f>
        <v/>
      </c>
      <c r="V509" s="0">
        <f>IF(AND('Master Stock'!D509&lt;&gt;"",'Master Stock'!L509&lt;&gt;"",'Master Stock'!L509&lt;TODAY()-30),COUNT($V$1:V508)+1,"")</f>
        <v/>
      </c>
    </row>
    <row r="510" ht="15.75" customHeight="1" s="23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0">
        <f>IF(AND('Master Stock'!D510&lt;&gt;"",'Master Stock'!H510="OCCUPIED",'Master Stock'!J510&lt;&gt;"",'Master Stock'!K510=""),COUNT($U$1:U509)+1,"")</f>
        <v/>
      </c>
      <c r="V510" s="0">
        <f>IF(AND('Master Stock'!D510&lt;&gt;"",'Master Stock'!L510&lt;&gt;"",'Master Stock'!L510&lt;TODAY()-30),COUNT($V$1:V509)+1,"")</f>
        <v/>
      </c>
    </row>
    <row r="511" ht="15.75" customHeight="1" s="230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0">
        <f>IF(AND('Master Stock'!D511&lt;&gt;"",'Master Stock'!H511="OCCUPIED",'Master Stock'!J511&lt;&gt;"",'Master Stock'!K511=""),COUNT($U$1:U510)+1,"")</f>
        <v/>
      </c>
      <c r="V511" s="0">
        <f>IF(AND('Master Stock'!D511&lt;&gt;"",'Master Stock'!L511&lt;&gt;"",'Master Stock'!L511&lt;TODAY()-30),COUNT($V$1:V510)+1,"")</f>
        <v/>
      </c>
    </row>
    <row r="512" ht="15.75" customHeight="1" s="230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0">
        <f>IF(AND('Master Stock'!D512&lt;&gt;"",'Master Stock'!H512="OCCUPIED",'Master Stock'!J512&lt;&gt;"",'Master Stock'!K512=""),COUNT($U$1:U511)+1,"")</f>
        <v/>
      </c>
      <c r="V512" s="0">
        <f>IF(AND('Master Stock'!D512&lt;&gt;"",'Master Stock'!L512&lt;&gt;"",'Master Stock'!L512&lt;TODAY()-30),COUNT($V$1:V511)+1,"")</f>
        <v/>
      </c>
    </row>
    <row r="513" ht="15.75" customHeight="1" s="230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0">
        <f>IF(AND('Master Stock'!D513&lt;&gt;"",'Master Stock'!H513="OCCUPIED",'Master Stock'!J513&lt;&gt;"",'Master Stock'!K513=""),COUNT($U$1:U512)+1,"")</f>
        <v/>
      </c>
      <c r="V513" s="0">
        <f>IF(AND('Master Stock'!D513&lt;&gt;"",'Master Stock'!L513&lt;&gt;"",'Master Stock'!L513&lt;TODAY()-30),COUNT($V$1:V512)+1,"")</f>
        <v/>
      </c>
    </row>
    <row r="514" ht="15.75" customHeight="1" s="230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0">
        <f>IF(AND('Master Stock'!D514&lt;&gt;"",'Master Stock'!H514="OCCUPIED",'Master Stock'!J514&lt;&gt;"",'Master Stock'!K514=""),COUNT($U$1:U513)+1,"")</f>
        <v/>
      </c>
      <c r="V514" s="0">
        <f>IF(AND('Master Stock'!D514&lt;&gt;"",'Master Stock'!L514&lt;&gt;"",'Master Stock'!L514&lt;TODAY()-30),COUNT($V$1:V513)+1,"")</f>
        <v/>
      </c>
    </row>
    <row r="515" ht="15.75" customHeight="1" s="230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0">
        <f>IF(AND('Master Stock'!D515&lt;&gt;"",'Master Stock'!H515="OCCUPIED",'Master Stock'!J515&lt;&gt;"",'Master Stock'!K515=""),COUNT($U$1:U514)+1,"")</f>
        <v/>
      </c>
      <c r="V515" s="0">
        <f>IF(AND('Master Stock'!D515&lt;&gt;"",'Master Stock'!L515&lt;&gt;"",'Master Stock'!L515&lt;TODAY()-30),COUNT($V$1:V514)+1,"")</f>
        <v/>
      </c>
    </row>
    <row r="516" ht="15.75" customHeight="1" s="230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0">
        <f>IF(AND('Master Stock'!D516&lt;&gt;"",'Master Stock'!H516="OCCUPIED",'Master Stock'!J516&lt;&gt;"",'Master Stock'!K516=""),COUNT($U$1:U515)+1,"")</f>
        <v/>
      </c>
      <c r="V516" s="0">
        <f>IF(AND('Master Stock'!D516&lt;&gt;"",'Master Stock'!L516&lt;&gt;"",'Master Stock'!L516&lt;TODAY()-30),COUNT($V$1:V515)+1,"")</f>
        <v/>
      </c>
    </row>
    <row r="517" ht="15.75" customHeight="1" s="230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0">
        <f>IF(AND('Master Stock'!D517&lt;&gt;"",'Master Stock'!H517="OCCUPIED",'Master Stock'!J517&lt;&gt;"",'Master Stock'!K517=""),COUNT($U$1:U516)+1,"")</f>
        <v/>
      </c>
      <c r="V517" s="0">
        <f>IF(AND('Master Stock'!D517&lt;&gt;"",'Master Stock'!L517&lt;&gt;"",'Master Stock'!L517&lt;TODAY()-30),COUNT($V$1:V516)+1,"")</f>
        <v/>
      </c>
    </row>
    <row r="518" ht="15.75" customHeight="1" s="230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0">
        <f>IF(AND('Master Stock'!D518&lt;&gt;"",'Master Stock'!H518="OCCUPIED",'Master Stock'!J518&lt;&gt;"",'Master Stock'!K518=""),COUNT($U$1:U517)+1,"")</f>
        <v/>
      </c>
      <c r="V518" s="0">
        <f>IF(AND('Master Stock'!D518&lt;&gt;"",'Master Stock'!L518&lt;&gt;"",'Master Stock'!L518&lt;TODAY()-30),COUNT($V$1:V517)+1,"")</f>
        <v/>
      </c>
    </row>
    <row r="519" ht="15.75" customHeight="1" s="230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0">
        <f>IF(AND('Master Stock'!D519&lt;&gt;"",'Master Stock'!H519="OCCUPIED",'Master Stock'!J519&lt;&gt;"",'Master Stock'!K519=""),COUNT($U$1:U518)+1,"")</f>
        <v/>
      </c>
      <c r="V519" s="0">
        <f>IF(AND('Master Stock'!D519&lt;&gt;"",'Master Stock'!L519&lt;&gt;"",'Master Stock'!L519&lt;TODAY()-30),COUNT($V$1:V518)+1,"")</f>
        <v/>
      </c>
    </row>
    <row r="520" ht="15.75" customHeight="1" s="23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0">
        <f>IF(AND('Master Stock'!D520&lt;&gt;"",'Master Stock'!H520="OCCUPIED",'Master Stock'!J520&lt;&gt;"",'Master Stock'!K520=""),COUNT($U$1:U519)+1,"")</f>
        <v/>
      </c>
      <c r="V520" s="0">
        <f>IF(AND('Master Stock'!D520&lt;&gt;"",'Master Stock'!L520&lt;&gt;"",'Master Stock'!L520&lt;TODAY()-30),COUNT($V$1:V519)+1,"")</f>
        <v/>
      </c>
    </row>
    <row r="521" ht="15.75" customHeight="1" s="230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0">
        <f>IF(AND('Master Stock'!D521&lt;&gt;"",'Master Stock'!H521="OCCUPIED",'Master Stock'!J521&lt;&gt;"",'Master Stock'!K521=""),COUNT($U$1:U520)+1,"")</f>
        <v/>
      </c>
      <c r="V521" s="0">
        <f>IF(AND('Master Stock'!D521&lt;&gt;"",'Master Stock'!L521&lt;&gt;"",'Master Stock'!L521&lt;TODAY()-30),COUNT($V$1:V520)+1,"")</f>
        <v/>
      </c>
    </row>
    <row r="522" ht="15.75" customHeight="1" s="230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0">
        <f>IF(AND('Master Stock'!D522&lt;&gt;"",'Master Stock'!H522="OCCUPIED",'Master Stock'!J522&lt;&gt;"",'Master Stock'!K522=""),COUNT($U$1:U521)+1,"")</f>
        <v/>
      </c>
      <c r="V522" s="0">
        <f>IF(AND('Master Stock'!D522&lt;&gt;"",'Master Stock'!L522&lt;&gt;"",'Master Stock'!L522&lt;TODAY()-30),COUNT($V$1:V521)+1,"")</f>
        <v/>
      </c>
    </row>
    <row r="523" ht="15.75" customHeight="1" s="230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0">
        <f>IF(AND('Master Stock'!D523&lt;&gt;"",'Master Stock'!H523="OCCUPIED",'Master Stock'!J523&lt;&gt;"",'Master Stock'!K523=""),COUNT($U$1:U522)+1,"")</f>
        <v/>
      </c>
      <c r="V523" s="0">
        <f>IF(AND('Master Stock'!D523&lt;&gt;"",'Master Stock'!L523&lt;&gt;"",'Master Stock'!L523&lt;TODAY()-30),COUNT($V$1:V522)+1,"")</f>
        <v/>
      </c>
    </row>
    <row r="524" ht="15.75" customHeight="1" s="230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0">
        <f>IF(AND('Master Stock'!D524&lt;&gt;"",'Master Stock'!H524="OCCUPIED",'Master Stock'!J524&lt;&gt;"",'Master Stock'!K524=""),COUNT($U$1:U523)+1,"")</f>
        <v/>
      </c>
      <c r="V524" s="0">
        <f>IF(AND('Master Stock'!D524&lt;&gt;"",'Master Stock'!L524&lt;&gt;"",'Master Stock'!L524&lt;TODAY()-30),COUNT($V$1:V523)+1,"")</f>
        <v/>
      </c>
    </row>
    <row r="525" ht="15.75" customHeight="1" s="230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0">
        <f>IF(AND('Master Stock'!D525&lt;&gt;"",'Master Stock'!H525="OCCUPIED",'Master Stock'!J525&lt;&gt;"",'Master Stock'!K525=""),COUNT($U$1:U524)+1,"")</f>
        <v/>
      </c>
      <c r="V525" s="0">
        <f>IF(AND('Master Stock'!D525&lt;&gt;"",'Master Stock'!L525&lt;&gt;"",'Master Stock'!L525&lt;TODAY()-30),COUNT($V$1:V524)+1,"")</f>
        <v/>
      </c>
    </row>
    <row r="526" ht="15.75" customHeight="1" s="230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0">
        <f>IF(AND('Master Stock'!D526&lt;&gt;"",'Master Stock'!H526="OCCUPIED",'Master Stock'!J526&lt;&gt;"",'Master Stock'!K526=""),COUNT($U$1:U525)+1,"")</f>
        <v/>
      </c>
      <c r="V526" s="0">
        <f>IF(AND('Master Stock'!D526&lt;&gt;"",'Master Stock'!L526&lt;&gt;"",'Master Stock'!L526&lt;TODAY()-30),COUNT($V$1:V525)+1,"")</f>
        <v/>
      </c>
    </row>
    <row r="527" ht="15.75" customHeight="1" s="230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0">
        <f>IF(AND('Master Stock'!D527&lt;&gt;"",'Master Stock'!H527="OCCUPIED",'Master Stock'!J527&lt;&gt;"",'Master Stock'!K527=""),COUNT($U$1:U526)+1,"")</f>
        <v/>
      </c>
      <c r="V527" s="0">
        <f>IF(AND('Master Stock'!D527&lt;&gt;"",'Master Stock'!L527&lt;&gt;"",'Master Stock'!L527&lt;TODAY()-30),COUNT($V$1:V526)+1,"")</f>
        <v/>
      </c>
    </row>
    <row r="528" ht="15.75" customHeight="1" s="230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0">
        <f>IF(AND('Master Stock'!D528&lt;&gt;"",'Master Stock'!H528="OCCUPIED",'Master Stock'!J528&lt;&gt;"",'Master Stock'!K528=""),COUNT($U$1:U527)+1,"")</f>
        <v/>
      </c>
      <c r="V528" s="0">
        <f>IF(AND('Master Stock'!D528&lt;&gt;"",'Master Stock'!L528&lt;&gt;"",'Master Stock'!L528&lt;TODAY()-30),COUNT($V$1:V527)+1,"")</f>
        <v/>
      </c>
    </row>
    <row r="529" ht="15.75" customHeight="1" s="230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0">
        <f>IF(AND('Master Stock'!D529&lt;&gt;"",'Master Stock'!H529="OCCUPIED",'Master Stock'!J529&lt;&gt;"",'Master Stock'!K529=""),COUNT($U$1:U528)+1,"")</f>
        <v/>
      </c>
      <c r="V529" s="0">
        <f>IF(AND('Master Stock'!D529&lt;&gt;"",'Master Stock'!L529&lt;&gt;"",'Master Stock'!L529&lt;TODAY()-30),COUNT($V$1:V528)+1,"")</f>
        <v/>
      </c>
    </row>
    <row r="530" ht="15.75" customHeight="1" s="2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0">
        <f>IF(AND('Master Stock'!D530&lt;&gt;"",'Master Stock'!H530="OCCUPIED",'Master Stock'!J530&lt;&gt;"",'Master Stock'!K530=""),COUNT($U$1:U529)+1,"")</f>
        <v/>
      </c>
      <c r="V530" s="0">
        <f>IF(AND('Master Stock'!D530&lt;&gt;"",'Master Stock'!L530&lt;&gt;"",'Master Stock'!L530&lt;TODAY()-30),COUNT($V$1:V529)+1,"")</f>
        <v/>
      </c>
    </row>
    <row r="531" ht="15.75" customHeight="1" s="230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0">
        <f>IF(AND('Master Stock'!D531&lt;&gt;"",'Master Stock'!H531="OCCUPIED",'Master Stock'!J531&lt;&gt;"",'Master Stock'!K531=""),COUNT($U$1:U530)+1,"")</f>
        <v/>
      </c>
      <c r="V531" s="0">
        <f>IF(AND('Master Stock'!D531&lt;&gt;"",'Master Stock'!L531&lt;&gt;"",'Master Stock'!L531&lt;TODAY()-30),COUNT($V$1:V530)+1,"")</f>
        <v/>
      </c>
    </row>
    <row r="532" ht="15.75" customHeight="1" s="230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0">
        <f>IF(AND('Master Stock'!D532&lt;&gt;"",'Master Stock'!H532="OCCUPIED",'Master Stock'!J532&lt;&gt;"",'Master Stock'!K532=""),COUNT($U$1:U531)+1,"")</f>
        <v/>
      </c>
      <c r="V532" s="0">
        <f>IF(AND('Master Stock'!D532&lt;&gt;"",'Master Stock'!L532&lt;&gt;"",'Master Stock'!L532&lt;TODAY()-30),COUNT($V$1:V531)+1,"")</f>
        <v/>
      </c>
    </row>
    <row r="533" ht="15.75" customHeight="1" s="230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0">
        <f>IF(AND('Master Stock'!D533&lt;&gt;"",'Master Stock'!H533="OCCUPIED",'Master Stock'!J533&lt;&gt;"",'Master Stock'!K533=""),COUNT($U$1:U532)+1,"")</f>
        <v/>
      </c>
      <c r="V533" s="0">
        <f>IF(AND('Master Stock'!D533&lt;&gt;"",'Master Stock'!L533&lt;&gt;"",'Master Stock'!L533&lt;TODAY()-30),COUNT($V$1:V532)+1,"")</f>
        <v/>
      </c>
    </row>
    <row r="534" ht="15.75" customHeight="1" s="230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0">
        <f>IF(AND('Master Stock'!D534&lt;&gt;"",'Master Stock'!H534="OCCUPIED",'Master Stock'!J534&lt;&gt;"",'Master Stock'!K534=""),COUNT($U$1:U533)+1,"")</f>
        <v/>
      </c>
      <c r="V534" s="0">
        <f>IF(AND('Master Stock'!D534&lt;&gt;"",'Master Stock'!L534&lt;&gt;"",'Master Stock'!L534&lt;TODAY()-30),COUNT($V$1:V533)+1,"")</f>
        <v/>
      </c>
    </row>
    <row r="535" ht="15.75" customHeight="1" s="230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0">
        <f>IF(AND('Master Stock'!D535&lt;&gt;"",'Master Stock'!H535="OCCUPIED",'Master Stock'!J535&lt;&gt;"",'Master Stock'!K535=""),COUNT($U$1:U534)+1,"")</f>
        <v/>
      </c>
      <c r="V535" s="0">
        <f>IF(AND('Master Stock'!D535&lt;&gt;"",'Master Stock'!L535&lt;&gt;"",'Master Stock'!L535&lt;TODAY()-30),COUNT($V$1:V534)+1,"")</f>
        <v/>
      </c>
    </row>
    <row r="536" ht="15.75" customHeight="1" s="230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0">
        <f>IF(AND('Master Stock'!D536&lt;&gt;"",'Master Stock'!H536="OCCUPIED",'Master Stock'!J536&lt;&gt;"",'Master Stock'!K536=""),COUNT($U$1:U535)+1,"")</f>
        <v/>
      </c>
      <c r="V536" s="0">
        <f>IF(AND('Master Stock'!D536&lt;&gt;"",'Master Stock'!L536&lt;&gt;"",'Master Stock'!L536&lt;TODAY()-30),COUNT($V$1:V535)+1,"")</f>
        <v/>
      </c>
    </row>
    <row r="537" ht="15.75" customHeight="1" s="230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0">
        <f>IF(AND('Master Stock'!D537&lt;&gt;"",'Master Stock'!H537="OCCUPIED",'Master Stock'!J537&lt;&gt;"",'Master Stock'!K537=""),COUNT($U$1:U536)+1,"")</f>
        <v/>
      </c>
      <c r="V537" s="0">
        <f>IF(AND('Master Stock'!D537&lt;&gt;"",'Master Stock'!L537&lt;&gt;"",'Master Stock'!L537&lt;TODAY()-30),COUNT($V$1:V536)+1,"")</f>
        <v/>
      </c>
    </row>
    <row r="538" ht="15.75" customHeight="1" s="230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0">
        <f>IF(AND('Master Stock'!D538&lt;&gt;"",'Master Stock'!H538="OCCUPIED",'Master Stock'!J538&lt;&gt;"",'Master Stock'!K538=""),COUNT($U$1:U537)+1,"")</f>
        <v/>
      </c>
      <c r="V538" s="0">
        <f>IF(AND('Master Stock'!D538&lt;&gt;"",'Master Stock'!L538&lt;&gt;"",'Master Stock'!L538&lt;TODAY()-30),COUNT($V$1:V537)+1,"")</f>
        <v/>
      </c>
    </row>
    <row r="539" ht="15.75" customHeight="1" s="230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0">
        <f>IF(AND('Master Stock'!D539&lt;&gt;"",'Master Stock'!H539="OCCUPIED",'Master Stock'!J539&lt;&gt;"",'Master Stock'!K539=""),COUNT($U$1:U538)+1,"")</f>
        <v/>
      </c>
      <c r="V539" s="0">
        <f>IF(AND('Master Stock'!D539&lt;&gt;"",'Master Stock'!L539&lt;&gt;"",'Master Stock'!L539&lt;TODAY()-30),COUNT($V$1:V538)+1,"")</f>
        <v/>
      </c>
    </row>
    <row r="540" ht="15.75" customHeight="1" s="23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0">
        <f>IF(AND('Master Stock'!D540&lt;&gt;"",'Master Stock'!H540="OCCUPIED",'Master Stock'!J540&lt;&gt;"",'Master Stock'!K540=""),COUNT($U$1:U539)+1,"")</f>
        <v/>
      </c>
      <c r="V540" s="0">
        <f>IF(AND('Master Stock'!D540&lt;&gt;"",'Master Stock'!L540&lt;&gt;"",'Master Stock'!L540&lt;TODAY()-30),COUNT($V$1:V539)+1,"")</f>
        <v/>
      </c>
    </row>
    <row r="541" ht="15.75" customHeight="1" s="230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0">
        <f>IF(AND('Master Stock'!D541&lt;&gt;"",'Master Stock'!H541="OCCUPIED",'Master Stock'!J541&lt;&gt;"",'Master Stock'!K541=""),COUNT($U$1:U540)+1,"")</f>
        <v/>
      </c>
      <c r="V541" s="0">
        <f>IF(AND('Master Stock'!D541&lt;&gt;"",'Master Stock'!L541&lt;&gt;"",'Master Stock'!L541&lt;TODAY()-30),COUNT($V$1:V540)+1,"")</f>
        <v/>
      </c>
    </row>
    <row r="542" ht="15.75" customHeight="1" s="230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0">
        <f>IF(AND('Master Stock'!D542&lt;&gt;"",'Master Stock'!H542="OCCUPIED",'Master Stock'!J542&lt;&gt;"",'Master Stock'!K542=""),COUNT($U$1:U541)+1,"")</f>
        <v/>
      </c>
      <c r="V542" s="0">
        <f>IF(AND('Master Stock'!D542&lt;&gt;"",'Master Stock'!L542&lt;&gt;"",'Master Stock'!L542&lt;TODAY()-30),COUNT($V$1:V541)+1,"")</f>
        <v/>
      </c>
    </row>
    <row r="543" ht="15.75" customHeight="1" s="230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0">
        <f>IF(AND('Master Stock'!D543&lt;&gt;"",'Master Stock'!H543="OCCUPIED",'Master Stock'!J543&lt;&gt;"",'Master Stock'!K543=""),COUNT($U$1:U542)+1,"")</f>
        <v/>
      </c>
      <c r="V543" s="0">
        <f>IF(AND('Master Stock'!D543&lt;&gt;"",'Master Stock'!L543&lt;&gt;"",'Master Stock'!L543&lt;TODAY()-30),COUNT($V$1:V542)+1,"")</f>
        <v/>
      </c>
    </row>
    <row r="544" ht="15.75" customHeight="1" s="230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0">
        <f>IF(AND('Master Stock'!D544&lt;&gt;"",'Master Stock'!H544="OCCUPIED",'Master Stock'!J544&lt;&gt;"",'Master Stock'!K544=""),COUNT($U$1:U543)+1,"")</f>
        <v/>
      </c>
      <c r="V544" s="0">
        <f>IF(AND('Master Stock'!D544&lt;&gt;"",'Master Stock'!L544&lt;&gt;"",'Master Stock'!L544&lt;TODAY()-30),COUNT($V$1:V543)+1,"")</f>
        <v/>
      </c>
    </row>
    <row r="545" ht="15.75" customHeight="1" s="230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0">
        <f>IF(AND('Master Stock'!D545&lt;&gt;"",'Master Stock'!H545="OCCUPIED",'Master Stock'!J545&lt;&gt;"",'Master Stock'!K545=""),COUNT($U$1:U544)+1,"")</f>
        <v/>
      </c>
      <c r="V545" s="0">
        <f>IF(AND('Master Stock'!D545&lt;&gt;"",'Master Stock'!L545&lt;&gt;"",'Master Stock'!L545&lt;TODAY()-30),COUNT($V$1:V544)+1,"")</f>
        <v/>
      </c>
    </row>
    <row r="546" ht="15.75" customHeight="1" s="230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0">
        <f>IF(AND('Master Stock'!D546&lt;&gt;"",'Master Stock'!H546="OCCUPIED",'Master Stock'!J546&lt;&gt;"",'Master Stock'!K546=""),COUNT($U$1:U545)+1,"")</f>
        <v/>
      </c>
      <c r="V546" s="0">
        <f>IF(AND('Master Stock'!D546&lt;&gt;"",'Master Stock'!L546&lt;&gt;"",'Master Stock'!L546&lt;TODAY()-30),COUNT($V$1:V545)+1,"")</f>
        <v/>
      </c>
    </row>
    <row r="547" ht="15.75" customHeight="1" s="230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0">
        <f>IF(AND('Master Stock'!D547&lt;&gt;"",'Master Stock'!H547="OCCUPIED",'Master Stock'!J547&lt;&gt;"",'Master Stock'!K547=""),COUNT($U$1:U546)+1,"")</f>
        <v/>
      </c>
      <c r="V547" s="0">
        <f>IF(AND('Master Stock'!D547&lt;&gt;"",'Master Stock'!L547&lt;&gt;"",'Master Stock'!L547&lt;TODAY()-30),COUNT($V$1:V546)+1,"")</f>
        <v/>
      </c>
    </row>
    <row r="548" ht="15.75" customHeight="1" s="230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0">
        <f>IF(AND('Master Stock'!D548&lt;&gt;"",'Master Stock'!H548="OCCUPIED",'Master Stock'!J548&lt;&gt;"",'Master Stock'!K548=""),COUNT($U$1:U547)+1,"")</f>
        <v/>
      </c>
      <c r="V548" s="0">
        <f>IF(AND('Master Stock'!D548&lt;&gt;"",'Master Stock'!L548&lt;&gt;"",'Master Stock'!L548&lt;TODAY()-30),COUNT($V$1:V547)+1,"")</f>
        <v/>
      </c>
    </row>
    <row r="549" ht="15.75" customHeight="1" s="230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0">
        <f>IF(AND('Master Stock'!D549&lt;&gt;"",'Master Stock'!H549="OCCUPIED",'Master Stock'!J549&lt;&gt;"",'Master Stock'!K549=""),COUNT($U$1:U548)+1,"")</f>
        <v/>
      </c>
      <c r="V549" s="0">
        <f>IF(AND('Master Stock'!D549&lt;&gt;"",'Master Stock'!L549&lt;&gt;"",'Master Stock'!L549&lt;TODAY()-30),COUNT($V$1:V548)+1,"")</f>
        <v/>
      </c>
    </row>
    <row r="550" ht="15.75" customHeight="1" s="23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0">
        <f>IF(AND('Master Stock'!D550&lt;&gt;"",'Master Stock'!H550="OCCUPIED",'Master Stock'!J550&lt;&gt;"",'Master Stock'!K550=""),COUNT($U$1:U549)+1,"")</f>
        <v/>
      </c>
      <c r="V550" s="0">
        <f>IF(AND('Master Stock'!D550&lt;&gt;"",'Master Stock'!L550&lt;&gt;"",'Master Stock'!L550&lt;TODAY()-30),COUNT($V$1:V549)+1,"")</f>
        <v/>
      </c>
    </row>
    <row r="551" ht="15.75" customHeight="1" s="230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0">
        <f>IF(AND('Master Stock'!D551&lt;&gt;"",'Master Stock'!H551="OCCUPIED",'Master Stock'!J551&lt;&gt;"",'Master Stock'!K551=""),COUNT($U$1:U550)+1,"")</f>
        <v/>
      </c>
      <c r="V551" s="0">
        <f>IF(AND('Master Stock'!D551&lt;&gt;"",'Master Stock'!L551&lt;&gt;"",'Master Stock'!L551&lt;TODAY()-30),COUNT($V$1:V550)+1,"")</f>
        <v/>
      </c>
    </row>
    <row r="552" ht="15.75" customHeight="1" s="230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0">
        <f>IF(AND('Master Stock'!D552&lt;&gt;"",'Master Stock'!H552="OCCUPIED",'Master Stock'!J552&lt;&gt;"",'Master Stock'!K552=""),COUNT($U$1:U551)+1,"")</f>
        <v/>
      </c>
      <c r="V552" s="0">
        <f>IF(AND('Master Stock'!D552&lt;&gt;"",'Master Stock'!L552&lt;&gt;"",'Master Stock'!L552&lt;TODAY()-30),COUNT($V$1:V551)+1,"")</f>
        <v/>
      </c>
    </row>
    <row r="553" ht="15.75" customHeight="1" s="230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0">
        <f>IF(AND('Master Stock'!D553&lt;&gt;"",'Master Stock'!H553="OCCUPIED",'Master Stock'!J553&lt;&gt;"",'Master Stock'!K553=""),COUNT($U$1:U552)+1,"")</f>
        <v/>
      </c>
      <c r="V553" s="0">
        <f>IF(AND('Master Stock'!D553&lt;&gt;"",'Master Stock'!L553&lt;&gt;"",'Master Stock'!L553&lt;TODAY()-30),COUNT($V$1:V552)+1,"")</f>
        <v/>
      </c>
    </row>
    <row r="554" ht="15.75" customHeight="1" s="230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0">
        <f>IF(AND('Master Stock'!D554&lt;&gt;"",'Master Stock'!H554="OCCUPIED",'Master Stock'!J554&lt;&gt;"",'Master Stock'!K554=""),COUNT($U$1:U553)+1,"")</f>
        <v/>
      </c>
      <c r="V554" s="0">
        <f>IF(AND('Master Stock'!D554&lt;&gt;"",'Master Stock'!L554&lt;&gt;"",'Master Stock'!L554&lt;TODAY()-30),COUNT($V$1:V553)+1,"")</f>
        <v/>
      </c>
    </row>
    <row r="555" ht="15.75" customHeight="1" s="230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0">
        <f>IF(AND('Master Stock'!D555&lt;&gt;"",'Master Stock'!H555="OCCUPIED",'Master Stock'!J555&lt;&gt;"",'Master Stock'!K555=""),COUNT($U$1:U554)+1,"")</f>
        <v/>
      </c>
      <c r="V555" s="0">
        <f>IF(AND('Master Stock'!D555&lt;&gt;"",'Master Stock'!L555&lt;&gt;"",'Master Stock'!L555&lt;TODAY()-30),COUNT($V$1:V554)+1,"")</f>
        <v/>
      </c>
    </row>
    <row r="556" ht="15.75" customHeight="1" s="230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0">
        <f>IF(AND('Master Stock'!D556&lt;&gt;"",'Master Stock'!H556="OCCUPIED",'Master Stock'!J556&lt;&gt;"",'Master Stock'!K556=""),COUNT($U$1:U555)+1,"")</f>
        <v/>
      </c>
      <c r="V556" s="0">
        <f>IF(AND('Master Stock'!D556&lt;&gt;"",'Master Stock'!L556&lt;&gt;"",'Master Stock'!L556&lt;TODAY()-30),COUNT($V$1:V555)+1,"")</f>
        <v/>
      </c>
    </row>
    <row r="557" ht="15.75" customHeight="1" s="230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0">
        <f>IF(AND('Master Stock'!D557&lt;&gt;"",'Master Stock'!H557="OCCUPIED",'Master Stock'!J557&lt;&gt;"",'Master Stock'!K557=""),COUNT($U$1:U556)+1,"")</f>
        <v/>
      </c>
      <c r="V557" s="0">
        <f>IF(AND('Master Stock'!D557&lt;&gt;"",'Master Stock'!L557&lt;&gt;"",'Master Stock'!L557&lt;TODAY()-30),COUNT($V$1:V556)+1,"")</f>
        <v/>
      </c>
    </row>
    <row r="558" ht="15.75" customHeight="1" s="230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0">
        <f>IF(AND('Master Stock'!D558&lt;&gt;"",'Master Stock'!H558="OCCUPIED",'Master Stock'!J558&lt;&gt;"",'Master Stock'!K558=""),COUNT($U$1:U557)+1,"")</f>
        <v/>
      </c>
      <c r="V558" s="0">
        <f>IF(AND('Master Stock'!D558&lt;&gt;"",'Master Stock'!L558&lt;&gt;"",'Master Stock'!L558&lt;TODAY()-30),COUNT($V$1:V557)+1,"")</f>
        <v/>
      </c>
    </row>
    <row r="559" ht="15.75" customHeight="1" s="230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0">
        <f>IF(AND('Master Stock'!D559&lt;&gt;"",'Master Stock'!H559="OCCUPIED",'Master Stock'!J559&lt;&gt;"",'Master Stock'!K559=""),COUNT($U$1:U558)+1,"")</f>
        <v/>
      </c>
      <c r="V559" s="0">
        <f>IF(AND('Master Stock'!D559&lt;&gt;"",'Master Stock'!L559&lt;&gt;"",'Master Stock'!L559&lt;TODAY()-30),COUNT($V$1:V558)+1,"")</f>
        <v/>
      </c>
    </row>
    <row r="560" ht="15.75" customHeight="1" s="23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0">
        <f>IF(AND('Master Stock'!D560&lt;&gt;"",'Master Stock'!H560="OCCUPIED",'Master Stock'!J560&lt;&gt;"",'Master Stock'!K560=""),COUNT($U$1:U559)+1,"")</f>
        <v/>
      </c>
      <c r="V560" s="0">
        <f>IF(AND('Master Stock'!D560&lt;&gt;"",'Master Stock'!L560&lt;&gt;"",'Master Stock'!L560&lt;TODAY()-30),COUNT($V$1:V559)+1,"")</f>
        <v/>
      </c>
    </row>
    <row r="561" ht="15.75" customHeight="1" s="230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0">
        <f>IF(AND('Master Stock'!D561&lt;&gt;"",'Master Stock'!H561="OCCUPIED",'Master Stock'!J561&lt;&gt;"",'Master Stock'!K561=""),COUNT($U$1:U560)+1,"")</f>
        <v/>
      </c>
      <c r="V561" s="0">
        <f>IF(AND('Master Stock'!D561&lt;&gt;"",'Master Stock'!L561&lt;&gt;"",'Master Stock'!L561&lt;TODAY()-30),COUNT($V$1:V560)+1,"")</f>
        <v/>
      </c>
    </row>
    <row r="562" ht="15.75" customHeight="1" s="230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0">
        <f>IF(AND('Master Stock'!D562&lt;&gt;"",'Master Stock'!H562="OCCUPIED",'Master Stock'!J562&lt;&gt;"",'Master Stock'!K562=""),COUNT($U$1:U561)+1,"")</f>
        <v/>
      </c>
      <c r="V562" s="0">
        <f>IF(AND('Master Stock'!D562&lt;&gt;"",'Master Stock'!L562&lt;&gt;"",'Master Stock'!L562&lt;TODAY()-30),COUNT($V$1:V561)+1,"")</f>
        <v/>
      </c>
    </row>
    <row r="563" ht="15.75" customHeight="1" s="230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0">
        <f>IF(AND('Master Stock'!D563&lt;&gt;"",'Master Stock'!H563="OCCUPIED",'Master Stock'!J563&lt;&gt;"",'Master Stock'!K563=""),COUNT($U$1:U562)+1,"")</f>
        <v/>
      </c>
      <c r="V563" s="0">
        <f>IF(AND('Master Stock'!D563&lt;&gt;"",'Master Stock'!L563&lt;&gt;"",'Master Stock'!L563&lt;TODAY()-30),COUNT($V$1:V562)+1,"")</f>
        <v/>
      </c>
    </row>
    <row r="564" ht="15.75" customHeight="1" s="230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0">
        <f>IF(AND('Master Stock'!D564&lt;&gt;"",'Master Stock'!H564="OCCUPIED",'Master Stock'!J564&lt;&gt;"",'Master Stock'!K564=""),COUNT($U$1:U563)+1,"")</f>
        <v/>
      </c>
      <c r="V564" s="0">
        <f>IF(AND('Master Stock'!D564&lt;&gt;"",'Master Stock'!L564&lt;&gt;"",'Master Stock'!L564&lt;TODAY()-30),COUNT($V$1:V563)+1,"")</f>
        <v/>
      </c>
    </row>
    <row r="565" ht="15.75" customHeight="1" s="230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0">
        <f>IF(AND('Master Stock'!D565&lt;&gt;"",'Master Stock'!H565="OCCUPIED",'Master Stock'!J565&lt;&gt;"",'Master Stock'!K565=""),COUNT($U$1:U564)+1,"")</f>
        <v/>
      </c>
      <c r="V565" s="0">
        <f>IF(AND('Master Stock'!D565&lt;&gt;"",'Master Stock'!L565&lt;&gt;"",'Master Stock'!L565&lt;TODAY()-30),COUNT($V$1:V564)+1,"")</f>
        <v/>
      </c>
    </row>
    <row r="566" ht="15.75" customHeight="1" s="230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0">
        <f>IF(AND('Master Stock'!D566&lt;&gt;"",'Master Stock'!H566="OCCUPIED",'Master Stock'!J566&lt;&gt;"",'Master Stock'!K566=""),COUNT($U$1:U565)+1,"")</f>
        <v/>
      </c>
      <c r="V566" s="0">
        <f>IF(AND('Master Stock'!D566&lt;&gt;"",'Master Stock'!L566&lt;&gt;"",'Master Stock'!L566&lt;TODAY()-30),COUNT($V$1:V565)+1,"")</f>
        <v/>
      </c>
    </row>
    <row r="567" ht="15.75" customHeight="1" s="230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0">
        <f>IF(AND('Master Stock'!D567&lt;&gt;"",'Master Stock'!H567="OCCUPIED",'Master Stock'!J567&lt;&gt;"",'Master Stock'!K567=""),COUNT($U$1:U566)+1,"")</f>
        <v/>
      </c>
      <c r="V567" s="0">
        <f>IF(AND('Master Stock'!D567&lt;&gt;"",'Master Stock'!L567&lt;&gt;"",'Master Stock'!L567&lt;TODAY()-30),COUNT($V$1:V566)+1,"")</f>
        <v/>
      </c>
    </row>
    <row r="568" ht="15.75" customHeight="1" s="230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0">
        <f>IF(AND('Master Stock'!D568&lt;&gt;"",'Master Stock'!H568="OCCUPIED",'Master Stock'!J568&lt;&gt;"",'Master Stock'!K568=""),COUNT($U$1:U567)+1,"")</f>
        <v/>
      </c>
      <c r="V568" s="0">
        <f>IF(AND('Master Stock'!D568&lt;&gt;"",'Master Stock'!L568&lt;&gt;"",'Master Stock'!L568&lt;TODAY()-30),COUNT($V$1:V567)+1,"")</f>
        <v/>
      </c>
    </row>
    <row r="569" ht="15.75" customHeight="1" s="230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0">
        <f>IF(AND('Master Stock'!D569&lt;&gt;"",'Master Stock'!H569="OCCUPIED",'Master Stock'!J569&lt;&gt;"",'Master Stock'!K569=""),COUNT($U$1:U568)+1,"")</f>
        <v/>
      </c>
      <c r="V569" s="0">
        <f>IF(AND('Master Stock'!D569&lt;&gt;"",'Master Stock'!L569&lt;&gt;"",'Master Stock'!L569&lt;TODAY()-30),COUNT($V$1:V568)+1,"")</f>
        <v/>
      </c>
    </row>
    <row r="570" ht="15.75" customHeight="1" s="23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0">
        <f>IF(AND('Master Stock'!D570&lt;&gt;"",'Master Stock'!H570="OCCUPIED",'Master Stock'!J570&lt;&gt;"",'Master Stock'!K570=""),COUNT($U$1:U569)+1,"")</f>
        <v/>
      </c>
      <c r="V570" s="0">
        <f>IF(AND('Master Stock'!D570&lt;&gt;"",'Master Stock'!L570&lt;&gt;"",'Master Stock'!L570&lt;TODAY()-30),COUNT($V$1:V569)+1,"")</f>
        <v/>
      </c>
    </row>
    <row r="571" ht="15.75" customHeight="1" s="230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0">
        <f>IF(AND('Master Stock'!D571&lt;&gt;"",'Master Stock'!H571="OCCUPIED",'Master Stock'!J571&lt;&gt;"",'Master Stock'!K571=""),COUNT($U$1:U570)+1,"")</f>
        <v/>
      </c>
      <c r="V571" s="0">
        <f>IF(AND('Master Stock'!D571&lt;&gt;"",'Master Stock'!L571&lt;&gt;"",'Master Stock'!L571&lt;TODAY()-30),COUNT($V$1:V570)+1,"")</f>
        <v/>
      </c>
    </row>
    <row r="572" ht="15.75" customHeight="1" s="230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0">
        <f>IF(AND('Master Stock'!D572&lt;&gt;"",'Master Stock'!H572="OCCUPIED",'Master Stock'!J572&lt;&gt;"",'Master Stock'!K572=""),COUNT($U$1:U571)+1,"")</f>
        <v/>
      </c>
      <c r="V572" s="0">
        <f>IF(AND('Master Stock'!D572&lt;&gt;"",'Master Stock'!L572&lt;&gt;"",'Master Stock'!L572&lt;TODAY()-30),COUNT($V$1:V571)+1,"")</f>
        <v/>
      </c>
    </row>
    <row r="573" ht="15.75" customHeight="1" s="230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0">
        <f>IF(AND('Master Stock'!D573&lt;&gt;"",'Master Stock'!H573="OCCUPIED",'Master Stock'!J573&lt;&gt;"",'Master Stock'!K573=""),COUNT($U$1:U572)+1,"")</f>
        <v/>
      </c>
      <c r="V573" s="0">
        <f>IF(AND('Master Stock'!D573&lt;&gt;"",'Master Stock'!L573&lt;&gt;"",'Master Stock'!L573&lt;TODAY()-30),COUNT($V$1:V572)+1,"")</f>
        <v/>
      </c>
    </row>
    <row r="574" ht="15.75" customHeight="1" s="230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0">
        <f>IF(AND('Master Stock'!D574&lt;&gt;"",'Master Stock'!H574="OCCUPIED",'Master Stock'!J574&lt;&gt;"",'Master Stock'!K574=""),COUNT($U$1:U573)+1,"")</f>
        <v/>
      </c>
      <c r="V574" s="0">
        <f>IF(AND('Master Stock'!D574&lt;&gt;"",'Master Stock'!L574&lt;&gt;"",'Master Stock'!L574&lt;TODAY()-30),COUNT($V$1:V573)+1,"")</f>
        <v/>
      </c>
    </row>
    <row r="575" ht="15.75" customHeight="1" s="230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0">
        <f>IF(AND('Master Stock'!D575&lt;&gt;"",'Master Stock'!H575="OCCUPIED",'Master Stock'!J575&lt;&gt;"",'Master Stock'!K575=""),COUNT($U$1:U574)+1,"")</f>
        <v/>
      </c>
      <c r="V575" s="0">
        <f>IF(AND('Master Stock'!D575&lt;&gt;"",'Master Stock'!L575&lt;&gt;"",'Master Stock'!L575&lt;TODAY()-30),COUNT($V$1:V574)+1,"")</f>
        <v/>
      </c>
    </row>
    <row r="576" ht="15.75" customHeight="1" s="230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0">
        <f>IF(AND('Master Stock'!D576&lt;&gt;"",'Master Stock'!H576="OCCUPIED",'Master Stock'!J576&lt;&gt;"",'Master Stock'!K576=""),COUNT($U$1:U575)+1,"")</f>
        <v/>
      </c>
      <c r="V576" s="0">
        <f>IF(AND('Master Stock'!D576&lt;&gt;"",'Master Stock'!L576&lt;&gt;"",'Master Stock'!L576&lt;TODAY()-30),COUNT($V$1:V575)+1,"")</f>
        <v/>
      </c>
    </row>
    <row r="577" ht="15.75" customHeight="1" s="230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0">
        <f>IF(AND('Master Stock'!D577&lt;&gt;"",'Master Stock'!H577="OCCUPIED",'Master Stock'!J577&lt;&gt;"",'Master Stock'!K577=""),COUNT($U$1:U576)+1,"")</f>
        <v/>
      </c>
      <c r="V577" s="0">
        <f>IF(AND('Master Stock'!D577&lt;&gt;"",'Master Stock'!L577&lt;&gt;"",'Master Stock'!L577&lt;TODAY()-30),COUNT($V$1:V576)+1,"")</f>
        <v/>
      </c>
    </row>
    <row r="578" ht="15.75" customHeight="1" s="230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0">
        <f>IF(AND('Master Stock'!D578&lt;&gt;"",'Master Stock'!H578="OCCUPIED",'Master Stock'!J578&lt;&gt;"",'Master Stock'!K578=""),COUNT($U$1:U577)+1,"")</f>
        <v/>
      </c>
      <c r="V578" s="0">
        <f>IF(AND('Master Stock'!D578&lt;&gt;"",'Master Stock'!L578&lt;&gt;"",'Master Stock'!L578&lt;TODAY()-30),COUNT($V$1:V577)+1,"")</f>
        <v/>
      </c>
    </row>
    <row r="579" ht="15.75" customHeight="1" s="230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0">
        <f>IF(AND('Master Stock'!D579&lt;&gt;"",'Master Stock'!H579="OCCUPIED",'Master Stock'!J579&lt;&gt;"",'Master Stock'!K579=""),COUNT($U$1:U578)+1,"")</f>
        <v/>
      </c>
      <c r="V579" s="0">
        <f>IF(AND('Master Stock'!D579&lt;&gt;"",'Master Stock'!L579&lt;&gt;"",'Master Stock'!L579&lt;TODAY()-30),COUNT($V$1:V578)+1,"")</f>
        <v/>
      </c>
    </row>
    <row r="580" ht="15.75" customHeight="1" s="23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0">
        <f>IF(AND('Master Stock'!D580&lt;&gt;"",'Master Stock'!H580="OCCUPIED",'Master Stock'!J580&lt;&gt;"",'Master Stock'!K580=""),COUNT($U$1:U579)+1,"")</f>
        <v/>
      </c>
      <c r="V580" s="0">
        <f>IF(AND('Master Stock'!D580&lt;&gt;"",'Master Stock'!L580&lt;&gt;"",'Master Stock'!L580&lt;TODAY()-30),COUNT($V$1:V579)+1,"")</f>
        <v/>
      </c>
    </row>
    <row r="581" ht="15.75" customHeight="1" s="230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0">
        <f>IF(AND('Master Stock'!D581&lt;&gt;"",'Master Stock'!H581="OCCUPIED",'Master Stock'!J581&lt;&gt;"",'Master Stock'!K581=""),COUNT($U$1:U580)+1,"")</f>
        <v/>
      </c>
      <c r="V581" s="0">
        <f>IF(AND('Master Stock'!D581&lt;&gt;"",'Master Stock'!L581&lt;&gt;"",'Master Stock'!L581&lt;TODAY()-30),COUNT($V$1:V580)+1,"")</f>
        <v/>
      </c>
    </row>
    <row r="582" ht="15.75" customHeight="1" s="230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0">
        <f>IF(AND('Master Stock'!D582&lt;&gt;"",'Master Stock'!H582="OCCUPIED",'Master Stock'!J582&lt;&gt;"",'Master Stock'!K582=""),COUNT($U$1:U581)+1,"")</f>
        <v/>
      </c>
      <c r="V582" s="0">
        <f>IF(AND('Master Stock'!D582&lt;&gt;"",'Master Stock'!L582&lt;&gt;"",'Master Stock'!L582&lt;TODAY()-30),COUNT($V$1:V581)+1,"")</f>
        <v/>
      </c>
    </row>
    <row r="583" ht="15.75" customHeight="1" s="230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0">
        <f>IF(AND('Master Stock'!D583&lt;&gt;"",'Master Stock'!H583="OCCUPIED",'Master Stock'!J583&lt;&gt;"",'Master Stock'!K583=""),COUNT($U$1:U582)+1,"")</f>
        <v/>
      </c>
      <c r="V583" s="0">
        <f>IF(AND('Master Stock'!D583&lt;&gt;"",'Master Stock'!L583&lt;&gt;"",'Master Stock'!L583&lt;TODAY()-30),COUNT($V$1:V582)+1,"")</f>
        <v/>
      </c>
    </row>
    <row r="584" ht="15.75" customHeight="1" s="230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0">
        <f>IF(AND('Master Stock'!D584&lt;&gt;"",'Master Stock'!H584="OCCUPIED",'Master Stock'!J584&lt;&gt;"",'Master Stock'!K584=""),COUNT($U$1:U583)+1,"")</f>
        <v/>
      </c>
      <c r="V584" s="0">
        <f>IF(AND('Master Stock'!D584&lt;&gt;"",'Master Stock'!L584&lt;&gt;"",'Master Stock'!L584&lt;TODAY()-30),COUNT($V$1:V583)+1,"")</f>
        <v/>
      </c>
    </row>
    <row r="585" ht="15.75" customHeight="1" s="230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0">
        <f>IF(AND('Master Stock'!D585&lt;&gt;"",'Master Stock'!H585="OCCUPIED",'Master Stock'!J585&lt;&gt;"",'Master Stock'!K585=""),COUNT($U$1:U584)+1,"")</f>
        <v/>
      </c>
      <c r="V585" s="0">
        <f>IF(AND('Master Stock'!D585&lt;&gt;"",'Master Stock'!L585&lt;&gt;"",'Master Stock'!L585&lt;TODAY()-30),COUNT($V$1:V584)+1,"")</f>
        <v/>
      </c>
    </row>
    <row r="586" ht="15.75" customHeight="1" s="230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0">
        <f>IF(AND('Master Stock'!D586&lt;&gt;"",'Master Stock'!H586="OCCUPIED",'Master Stock'!J586&lt;&gt;"",'Master Stock'!K586=""),COUNT($U$1:U585)+1,"")</f>
        <v/>
      </c>
      <c r="V586" s="0">
        <f>IF(AND('Master Stock'!D586&lt;&gt;"",'Master Stock'!L586&lt;&gt;"",'Master Stock'!L586&lt;TODAY()-30),COUNT($V$1:V585)+1,"")</f>
        <v/>
      </c>
    </row>
    <row r="587" ht="15.75" customHeight="1" s="230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0">
        <f>IF(AND('Master Stock'!D587&lt;&gt;"",'Master Stock'!H587="OCCUPIED",'Master Stock'!J587&lt;&gt;"",'Master Stock'!K587=""),COUNT($U$1:U586)+1,"")</f>
        <v/>
      </c>
      <c r="V587" s="0">
        <f>IF(AND('Master Stock'!D587&lt;&gt;"",'Master Stock'!L587&lt;&gt;"",'Master Stock'!L587&lt;TODAY()-30),COUNT($V$1:V586)+1,"")</f>
        <v/>
      </c>
    </row>
    <row r="588" ht="15.75" customHeight="1" s="230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0">
        <f>IF(AND('Master Stock'!D588&lt;&gt;"",'Master Stock'!H588="OCCUPIED",'Master Stock'!J588&lt;&gt;"",'Master Stock'!K588=""),COUNT($U$1:U587)+1,"")</f>
        <v/>
      </c>
      <c r="V588" s="0">
        <f>IF(AND('Master Stock'!D588&lt;&gt;"",'Master Stock'!L588&lt;&gt;"",'Master Stock'!L588&lt;TODAY()-30),COUNT($V$1:V587)+1,"")</f>
        <v/>
      </c>
    </row>
    <row r="589" ht="15.75" customHeight="1" s="230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0">
        <f>IF(AND('Master Stock'!D589&lt;&gt;"",'Master Stock'!H589="OCCUPIED",'Master Stock'!J589&lt;&gt;"",'Master Stock'!K589=""),COUNT($U$1:U588)+1,"")</f>
        <v/>
      </c>
      <c r="V589" s="0">
        <f>IF(AND('Master Stock'!D589&lt;&gt;"",'Master Stock'!L589&lt;&gt;"",'Master Stock'!L589&lt;TODAY()-30),COUNT($V$1:V588)+1,"")</f>
        <v/>
      </c>
    </row>
    <row r="590" ht="15.75" customHeight="1" s="23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0">
        <f>IF(AND('Master Stock'!D590&lt;&gt;"",'Master Stock'!H590="OCCUPIED",'Master Stock'!J590&lt;&gt;"",'Master Stock'!K590=""),COUNT($U$1:U589)+1,"")</f>
        <v/>
      </c>
      <c r="V590" s="0">
        <f>IF(AND('Master Stock'!D590&lt;&gt;"",'Master Stock'!L590&lt;&gt;"",'Master Stock'!L590&lt;TODAY()-30),COUNT($V$1:V589)+1,"")</f>
        <v/>
      </c>
    </row>
    <row r="591" ht="15.75" customHeight="1" s="230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0">
        <f>IF(AND('Master Stock'!D591&lt;&gt;"",'Master Stock'!H591="OCCUPIED",'Master Stock'!J591&lt;&gt;"",'Master Stock'!K591=""),COUNT($U$1:U590)+1,"")</f>
        <v/>
      </c>
      <c r="V591" s="0">
        <f>IF(AND('Master Stock'!D591&lt;&gt;"",'Master Stock'!L591&lt;&gt;"",'Master Stock'!L591&lt;TODAY()-30),COUNT($V$1:V590)+1,"")</f>
        <v/>
      </c>
    </row>
    <row r="592" ht="15.75" customHeight="1" s="230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0">
        <f>IF(AND('Master Stock'!D592&lt;&gt;"",'Master Stock'!H592="OCCUPIED",'Master Stock'!J592&lt;&gt;"",'Master Stock'!K592=""),COUNT($U$1:U591)+1,"")</f>
        <v/>
      </c>
      <c r="V592" s="0">
        <f>IF(AND('Master Stock'!D592&lt;&gt;"",'Master Stock'!L592&lt;&gt;"",'Master Stock'!L592&lt;TODAY()-30),COUNT($V$1:V591)+1,"")</f>
        <v/>
      </c>
    </row>
    <row r="593" ht="15.75" customHeight="1" s="230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0">
        <f>IF(AND('Master Stock'!D593&lt;&gt;"",'Master Stock'!H593="OCCUPIED",'Master Stock'!J593&lt;&gt;"",'Master Stock'!K593=""),COUNT($U$1:U592)+1,"")</f>
        <v/>
      </c>
      <c r="V593" s="0">
        <f>IF(AND('Master Stock'!D593&lt;&gt;"",'Master Stock'!L593&lt;&gt;"",'Master Stock'!L593&lt;TODAY()-30),COUNT($V$1:V592)+1,"")</f>
        <v/>
      </c>
    </row>
    <row r="594" ht="15.75" customHeight="1" s="230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0">
        <f>IF(AND('Master Stock'!D594&lt;&gt;"",'Master Stock'!H594="OCCUPIED",'Master Stock'!J594&lt;&gt;"",'Master Stock'!K594=""),COUNT($U$1:U593)+1,"")</f>
        <v/>
      </c>
      <c r="V594" s="0">
        <f>IF(AND('Master Stock'!D594&lt;&gt;"",'Master Stock'!L594&lt;&gt;"",'Master Stock'!L594&lt;TODAY()-30),COUNT($V$1:V593)+1,"")</f>
        <v/>
      </c>
    </row>
    <row r="595" ht="15.75" customHeight="1" s="230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0">
        <f>IF(AND('Master Stock'!D595&lt;&gt;"",'Master Stock'!H595="OCCUPIED",'Master Stock'!J595&lt;&gt;"",'Master Stock'!K595=""),COUNT($U$1:U594)+1,"")</f>
        <v/>
      </c>
      <c r="V595" s="0">
        <f>IF(AND('Master Stock'!D595&lt;&gt;"",'Master Stock'!L595&lt;&gt;"",'Master Stock'!L595&lt;TODAY()-30),COUNT($V$1:V594)+1,"")</f>
        <v/>
      </c>
    </row>
    <row r="596" ht="15.75" customHeight="1" s="230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0">
        <f>IF(AND('Master Stock'!D596&lt;&gt;"",'Master Stock'!H596="OCCUPIED",'Master Stock'!J596&lt;&gt;"",'Master Stock'!K596=""),COUNT($U$1:U595)+1,"")</f>
        <v/>
      </c>
      <c r="V596" s="0">
        <f>IF(AND('Master Stock'!D596&lt;&gt;"",'Master Stock'!L596&lt;&gt;"",'Master Stock'!L596&lt;TODAY()-30),COUNT($V$1:V595)+1,"")</f>
        <v/>
      </c>
    </row>
    <row r="597" ht="15.75" customHeight="1" s="230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0">
        <f>IF(AND('Master Stock'!D597&lt;&gt;"",'Master Stock'!H597="OCCUPIED",'Master Stock'!J597&lt;&gt;"",'Master Stock'!K597=""),COUNT($U$1:U596)+1,"")</f>
        <v/>
      </c>
      <c r="V597" s="0">
        <f>IF(AND('Master Stock'!D597&lt;&gt;"",'Master Stock'!L597&lt;&gt;"",'Master Stock'!L597&lt;TODAY()-30),COUNT($V$1:V596)+1,"")</f>
        <v/>
      </c>
    </row>
    <row r="598" ht="15.75" customHeight="1" s="230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0">
        <f>IF(AND('Master Stock'!D598&lt;&gt;"",'Master Stock'!H598="OCCUPIED",'Master Stock'!J598&lt;&gt;"",'Master Stock'!K598=""),COUNT($U$1:U597)+1,"")</f>
        <v/>
      </c>
      <c r="V598" s="0">
        <f>IF(AND('Master Stock'!D598&lt;&gt;"",'Master Stock'!L598&lt;&gt;"",'Master Stock'!L598&lt;TODAY()-30),COUNT($V$1:V597)+1,"")</f>
        <v/>
      </c>
    </row>
    <row r="599" ht="15.75" customHeight="1" s="230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0">
        <f>IF(AND('Master Stock'!D599&lt;&gt;"",'Master Stock'!H599="OCCUPIED",'Master Stock'!J599&lt;&gt;"",'Master Stock'!K599=""),COUNT($U$1:U598)+1,"")</f>
        <v/>
      </c>
      <c r="V599" s="0">
        <f>IF(AND('Master Stock'!D599&lt;&gt;"",'Master Stock'!L599&lt;&gt;"",'Master Stock'!L599&lt;TODAY()-30),COUNT($V$1:V598)+1,"")</f>
        <v/>
      </c>
    </row>
    <row r="600" ht="15.75" customHeight="1" s="23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0">
        <f>IF(AND('Master Stock'!D600&lt;&gt;"",'Master Stock'!H600="OCCUPIED",'Master Stock'!J600&lt;&gt;"",'Master Stock'!K600=""),COUNT($U$1:U599)+1,"")</f>
        <v/>
      </c>
      <c r="V600" s="0">
        <f>IF(AND('Master Stock'!D600&lt;&gt;"",'Master Stock'!L600&lt;&gt;"",'Master Stock'!L600&lt;TODAY()-30),COUNT($V$1:V599)+1,"")</f>
        <v/>
      </c>
    </row>
    <row r="601" ht="15.75" customHeight="1" s="230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0">
        <f>IF(AND('Master Stock'!D601&lt;&gt;"",'Master Stock'!H601="OCCUPIED",'Master Stock'!J601&lt;&gt;"",'Master Stock'!K601=""),COUNT($U$1:U600)+1,"")</f>
        <v/>
      </c>
      <c r="V601" s="0">
        <f>IF(AND('Master Stock'!D601&lt;&gt;"",'Master Stock'!L601&lt;&gt;"",'Master Stock'!L601&lt;TODAY()-30),COUNT($V$1:V600)+1,"")</f>
        <v/>
      </c>
    </row>
    <row r="602" ht="15.75" customHeight="1" s="230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0">
        <f>IF(AND('Master Stock'!D602&lt;&gt;"",'Master Stock'!H602="OCCUPIED",'Master Stock'!J602&lt;&gt;"",'Master Stock'!K602=""),COUNT($U$1:U601)+1,"")</f>
        <v/>
      </c>
      <c r="V602" s="0">
        <f>IF(AND('Master Stock'!D602&lt;&gt;"",'Master Stock'!L602&lt;&gt;"",'Master Stock'!L602&lt;TODAY()-30),COUNT($V$1:V601)+1,"")</f>
        <v/>
      </c>
    </row>
    <row r="603" ht="15.75" customHeight="1" s="230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0">
        <f>IF(AND('Master Stock'!D603&lt;&gt;"",'Master Stock'!H603="OCCUPIED",'Master Stock'!J603&lt;&gt;"",'Master Stock'!K603=""),COUNT($U$1:U602)+1,"")</f>
        <v/>
      </c>
      <c r="V603" s="0">
        <f>IF(AND('Master Stock'!D603&lt;&gt;"",'Master Stock'!L603&lt;&gt;"",'Master Stock'!L603&lt;TODAY()-30),COUNT($V$1:V602)+1,"")</f>
        <v/>
      </c>
    </row>
    <row r="604" ht="15.75" customHeight="1" s="230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0">
        <f>IF(AND('Master Stock'!D604&lt;&gt;"",'Master Stock'!H604="OCCUPIED",'Master Stock'!J604&lt;&gt;"",'Master Stock'!K604=""),COUNT($U$1:U603)+1,"")</f>
        <v/>
      </c>
      <c r="V604" s="0">
        <f>IF(AND('Master Stock'!D604&lt;&gt;"",'Master Stock'!L604&lt;&gt;"",'Master Stock'!L604&lt;TODAY()-30),COUNT($V$1:V603)+1,"")</f>
        <v/>
      </c>
    </row>
    <row r="605" ht="15.75" customHeight="1" s="230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0">
        <f>IF(AND('Master Stock'!D605&lt;&gt;"",'Master Stock'!H605="OCCUPIED",'Master Stock'!J605&lt;&gt;"",'Master Stock'!K605=""),COUNT($U$1:U604)+1,"")</f>
        <v/>
      </c>
      <c r="V605" s="0">
        <f>IF(AND('Master Stock'!D605&lt;&gt;"",'Master Stock'!L605&lt;&gt;"",'Master Stock'!L605&lt;TODAY()-30),COUNT($V$1:V604)+1,"")</f>
        <v/>
      </c>
    </row>
    <row r="606" ht="15.75" customHeight="1" s="230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0">
        <f>IF(AND('Master Stock'!D606&lt;&gt;"",'Master Stock'!H606="OCCUPIED",'Master Stock'!J606&lt;&gt;"",'Master Stock'!K606=""),COUNT($U$1:U605)+1,"")</f>
        <v/>
      </c>
      <c r="V606" s="0">
        <f>IF(AND('Master Stock'!D606&lt;&gt;"",'Master Stock'!L606&lt;&gt;"",'Master Stock'!L606&lt;TODAY()-30),COUNT($V$1:V605)+1,"")</f>
        <v/>
      </c>
    </row>
    <row r="607" ht="15.75" customHeight="1" s="230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0">
        <f>IF(AND('Master Stock'!D607&lt;&gt;"",'Master Stock'!H607="OCCUPIED",'Master Stock'!J607&lt;&gt;"",'Master Stock'!K607=""),COUNT($U$1:U606)+1,"")</f>
        <v/>
      </c>
      <c r="V607" s="0">
        <f>IF(AND('Master Stock'!D607&lt;&gt;"",'Master Stock'!L607&lt;&gt;"",'Master Stock'!L607&lt;TODAY()-30),COUNT($V$1:V606)+1,"")</f>
        <v/>
      </c>
    </row>
    <row r="608" ht="15.75" customHeight="1" s="230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0">
        <f>IF(AND('Master Stock'!D608&lt;&gt;"",'Master Stock'!H608="OCCUPIED",'Master Stock'!J608&lt;&gt;"",'Master Stock'!K608=""),COUNT($U$1:U607)+1,"")</f>
        <v/>
      </c>
      <c r="V608" s="0">
        <f>IF(AND('Master Stock'!D608&lt;&gt;"",'Master Stock'!L608&lt;&gt;"",'Master Stock'!L608&lt;TODAY()-30),COUNT($V$1:V607)+1,"")</f>
        <v/>
      </c>
    </row>
    <row r="609" ht="15.75" customHeight="1" s="230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0">
        <f>IF(AND('Master Stock'!D609&lt;&gt;"",'Master Stock'!H609="OCCUPIED",'Master Stock'!J609&lt;&gt;"",'Master Stock'!K609=""),COUNT($U$1:U608)+1,"")</f>
        <v/>
      </c>
      <c r="V609" s="0">
        <f>IF(AND('Master Stock'!D609&lt;&gt;"",'Master Stock'!L609&lt;&gt;"",'Master Stock'!L609&lt;TODAY()-30),COUNT($V$1:V608)+1,"")</f>
        <v/>
      </c>
    </row>
    <row r="610" ht="15.75" customHeight="1" s="23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0">
        <f>IF(AND('Master Stock'!D610&lt;&gt;"",'Master Stock'!H610="OCCUPIED",'Master Stock'!J610&lt;&gt;"",'Master Stock'!K610=""),COUNT($U$1:U609)+1,"")</f>
        <v/>
      </c>
      <c r="V610" s="0">
        <f>IF(AND('Master Stock'!D610&lt;&gt;"",'Master Stock'!L610&lt;&gt;"",'Master Stock'!L610&lt;TODAY()-30),COUNT($V$1:V609)+1,"")</f>
        <v/>
      </c>
    </row>
    <row r="611" ht="15.75" customHeight="1" s="230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0">
        <f>IF(AND('Master Stock'!D611&lt;&gt;"",'Master Stock'!H611="OCCUPIED",'Master Stock'!J611&lt;&gt;"",'Master Stock'!K611=""),COUNT($U$1:U610)+1,"")</f>
        <v/>
      </c>
      <c r="V611" s="0">
        <f>IF(AND('Master Stock'!D611&lt;&gt;"",'Master Stock'!L611&lt;&gt;"",'Master Stock'!L611&lt;TODAY()-30),COUNT($V$1:V610)+1,"")</f>
        <v/>
      </c>
    </row>
    <row r="612" ht="15.75" customHeight="1" s="230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0">
        <f>IF(AND('Master Stock'!D612&lt;&gt;"",'Master Stock'!H612="OCCUPIED",'Master Stock'!J612&lt;&gt;"",'Master Stock'!K612=""),COUNT($U$1:U611)+1,"")</f>
        <v/>
      </c>
      <c r="V612" s="0">
        <f>IF(AND('Master Stock'!D612&lt;&gt;"",'Master Stock'!L612&lt;&gt;"",'Master Stock'!L612&lt;TODAY()-30),COUNT($V$1:V611)+1,"")</f>
        <v/>
      </c>
    </row>
    <row r="613" ht="15.75" customHeight="1" s="230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0">
        <f>IF(AND('Master Stock'!D613&lt;&gt;"",'Master Stock'!H613="OCCUPIED",'Master Stock'!J613&lt;&gt;"",'Master Stock'!K613=""),COUNT($U$1:U612)+1,"")</f>
        <v/>
      </c>
      <c r="V613" s="0">
        <f>IF(AND('Master Stock'!D613&lt;&gt;"",'Master Stock'!L613&lt;&gt;"",'Master Stock'!L613&lt;TODAY()-30),COUNT($V$1:V612)+1,"")</f>
        <v/>
      </c>
    </row>
    <row r="614" ht="15.75" customHeight="1" s="230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0">
        <f>IF(AND('Master Stock'!D614&lt;&gt;"",'Master Stock'!H614="OCCUPIED",'Master Stock'!J614&lt;&gt;"",'Master Stock'!K614=""),COUNT($U$1:U613)+1,"")</f>
        <v/>
      </c>
      <c r="V614" s="0">
        <f>IF(AND('Master Stock'!D614&lt;&gt;"",'Master Stock'!L614&lt;&gt;"",'Master Stock'!L614&lt;TODAY()-30),COUNT($V$1:V613)+1,"")</f>
        <v/>
      </c>
    </row>
    <row r="615" ht="15.75" customHeight="1" s="230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0">
        <f>IF(AND('Master Stock'!D615&lt;&gt;"",'Master Stock'!H615="OCCUPIED",'Master Stock'!J615&lt;&gt;"",'Master Stock'!K615=""),COUNT($U$1:U614)+1,"")</f>
        <v/>
      </c>
      <c r="V615" s="0">
        <f>IF(AND('Master Stock'!D615&lt;&gt;"",'Master Stock'!L615&lt;&gt;"",'Master Stock'!L615&lt;TODAY()-30),COUNT($V$1:V614)+1,"")</f>
        <v/>
      </c>
    </row>
    <row r="616" ht="15.75" customHeight="1" s="230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0">
        <f>IF(AND('Master Stock'!D616&lt;&gt;"",'Master Stock'!H616="OCCUPIED",'Master Stock'!J616&lt;&gt;"",'Master Stock'!K616=""),COUNT($U$1:U615)+1,"")</f>
        <v/>
      </c>
      <c r="V616" s="0">
        <f>IF(AND('Master Stock'!D616&lt;&gt;"",'Master Stock'!L616&lt;&gt;"",'Master Stock'!L616&lt;TODAY()-30),COUNT($V$1:V615)+1,"")</f>
        <v/>
      </c>
    </row>
    <row r="617" ht="15.75" customHeight="1" s="230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0">
        <f>IF(AND('Master Stock'!D617&lt;&gt;"",'Master Stock'!H617="OCCUPIED",'Master Stock'!J617&lt;&gt;"",'Master Stock'!K617=""),COUNT($U$1:U616)+1,"")</f>
        <v/>
      </c>
      <c r="V617" s="0">
        <f>IF(AND('Master Stock'!D617&lt;&gt;"",'Master Stock'!L617&lt;&gt;"",'Master Stock'!L617&lt;TODAY()-30),COUNT($V$1:V616)+1,"")</f>
        <v/>
      </c>
    </row>
    <row r="618" ht="15.75" customHeight="1" s="230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0">
        <f>IF(AND('Master Stock'!D618&lt;&gt;"",'Master Stock'!H618="OCCUPIED",'Master Stock'!J618&lt;&gt;"",'Master Stock'!K618=""),COUNT($U$1:U617)+1,"")</f>
        <v/>
      </c>
      <c r="V618" s="0">
        <f>IF(AND('Master Stock'!D618&lt;&gt;"",'Master Stock'!L618&lt;&gt;"",'Master Stock'!L618&lt;TODAY()-30),COUNT($V$1:V617)+1,"")</f>
        <v/>
      </c>
    </row>
    <row r="619" ht="15.75" customHeight="1" s="230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0">
        <f>IF(AND('Master Stock'!D619&lt;&gt;"",'Master Stock'!H619="OCCUPIED",'Master Stock'!J619&lt;&gt;"",'Master Stock'!K619=""),COUNT($U$1:U618)+1,"")</f>
        <v/>
      </c>
      <c r="V619" s="0">
        <f>IF(AND('Master Stock'!D619&lt;&gt;"",'Master Stock'!L619&lt;&gt;"",'Master Stock'!L619&lt;TODAY()-30),COUNT($V$1:V618)+1,"")</f>
        <v/>
      </c>
    </row>
    <row r="620" ht="15.75" customHeight="1" s="23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0">
        <f>IF(AND('Master Stock'!D620&lt;&gt;"",'Master Stock'!H620="OCCUPIED",'Master Stock'!J620&lt;&gt;"",'Master Stock'!K620=""),COUNT($U$1:U619)+1,"")</f>
        <v/>
      </c>
      <c r="V620" s="0">
        <f>IF(AND('Master Stock'!D620&lt;&gt;"",'Master Stock'!L620&lt;&gt;"",'Master Stock'!L620&lt;TODAY()-30),COUNT($V$1:V619)+1,"")</f>
        <v/>
      </c>
    </row>
    <row r="621" ht="15.75" customHeight="1" s="230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0">
        <f>IF(AND('Master Stock'!D621&lt;&gt;"",'Master Stock'!H621="OCCUPIED",'Master Stock'!J621&lt;&gt;"",'Master Stock'!K621=""),COUNT($U$1:U620)+1,"")</f>
        <v/>
      </c>
      <c r="V621" s="0">
        <f>IF(AND('Master Stock'!D621&lt;&gt;"",'Master Stock'!L621&lt;&gt;"",'Master Stock'!L621&lt;TODAY()-30),COUNT($V$1:V620)+1,"")</f>
        <v/>
      </c>
    </row>
    <row r="622" ht="15.75" customHeight="1" s="230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0">
        <f>IF(AND('Master Stock'!D622&lt;&gt;"",'Master Stock'!H622="OCCUPIED",'Master Stock'!J622&lt;&gt;"",'Master Stock'!K622=""),COUNT($U$1:U621)+1,"")</f>
        <v/>
      </c>
      <c r="V622" s="0">
        <f>IF(AND('Master Stock'!D622&lt;&gt;"",'Master Stock'!L622&lt;&gt;"",'Master Stock'!L622&lt;TODAY()-30),COUNT($V$1:V621)+1,"")</f>
        <v/>
      </c>
    </row>
    <row r="623" ht="15.75" customHeight="1" s="230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0">
        <f>IF(AND('Master Stock'!D623&lt;&gt;"",'Master Stock'!H623="OCCUPIED",'Master Stock'!J623&lt;&gt;"",'Master Stock'!K623=""),COUNT($U$1:U622)+1,"")</f>
        <v/>
      </c>
      <c r="V623" s="0">
        <f>IF(AND('Master Stock'!D623&lt;&gt;"",'Master Stock'!L623&lt;&gt;"",'Master Stock'!L623&lt;TODAY()-30),COUNT($V$1:V622)+1,"")</f>
        <v/>
      </c>
    </row>
    <row r="624" ht="15.75" customHeight="1" s="230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0">
        <f>IF(AND('Master Stock'!D624&lt;&gt;"",'Master Stock'!H624="OCCUPIED",'Master Stock'!J624&lt;&gt;"",'Master Stock'!K624=""),COUNT($U$1:U623)+1,"")</f>
        <v/>
      </c>
      <c r="V624" s="0">
        <f>IF(AND('Master Stock'!D624&lt;&gt;"",'Master Stock'!L624&lt;&gt;"",'Master Stock'!L624&lt;TODAY()-30),COUNT($V$1:V623)+1,"")</f>
        <v/>
      </c>
    </row>
    <row r="625" ht="15.75" customHeight="1" s="230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0">
        <f>IF(AND('Master Stock'!D625&lt;&gt;"",'Master Stock'!H625="OCCUPIED",'Master Stock'!J625&lt;&gt;"",'Master Stock'!K625=""),COUNT($U$1:U624)+1,"")</f>
        <v/>
      </c>
      <c r="V625" s="0">
        <f>IF(AND('Master Stock'!D625&lt;&gt;"",'Master Stock'!L625&lt;&gt;"",'Master Stock'!L625&lt;TODAY()-30),COUNT($V$1:V624)+1,"")</f>
        <v/>
      </c>
    </row>
    <row r="626" ht="15.75" customHeight="1" s="230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0">
        <f>IF(AND('Master Stock'!D626&lt;&gt;"",'Master Stock'!H626="OCCUPIED",'Master Stock'!J626&lt;&gt;"",'Master Stock'!K626=""),COUNT($U$1:U625)+1,"")</f>
        <v/>
      </c>
      <c r="V626" s="0">
        <f>IF(AND('Master Stock'!D626&lt;&gt;"",'Master Stock'!L626&lt;&gt;"",'Master Stock'!L626&lt;TODAY()-30),COUNT($V$1:V625)+1,"")</f>
        <v/>
      </c>
    </row>
    <row r="627" ht="15.75" customHeight="1" s="230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0">
        <f>IF(AND('Master Stock'!D627&lt;&gt;"",'Master Stock'!H627="OCCUPIED",'Master Stock'!J627&lt;&gt;"",'Master Stock'!K627=""),COUNT($U$1:U626)+1,"")</f>
        <v/>
      </c>
      <c r="V627" s="0">
        <f>IF(AND('Master Stock'!D627&lt;&gt;"",'Master Stock'!L627&lt;&gt;"",'Master Stock'!L627&lt;TODAY()-30),COUNT($V$1:V626)+1,"")</f>
        <v/>
      </c>
    </row>
    <row r="628" ht="15.75" customHeight="1" s="230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0">
        <f>IF(AND('Master Stock'!D628&lt;&gt;"",'Master Stock'!H628="OCCUPIED",'Master Stock'!J628&lt;&gt;"",'Master Stock'!K628=""),COUNT($U$1:U627)+1,"")</f>
        <v/>
      </c>
      <c r="V628" s="0">
        <f>IF(AND('Master Stock'!D628&lt;&gt;"",'Master Stock'!L628&lt;&gt;"",'Master Stock'!L628&lt;TODAY()-30),COUNT($V$1:V627)+1,"")</f>
        <v/>
      </c>
    </row>
    <row r="629" ht="15.75" customHeight="1" s="230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0">
        <f>IF(AND('Master Stock'!D629&lt;&gt;"",'Master Stock'!H629="OCCUPIED",'Master Stock'!J629&lt;&gt;"",'Master Stock'!K629=""),COUNT($U$1:U628)+1,"")</f>
        <v/>
      </c>
      <c r="V629" s="0">
        <f>IF(AND('Master Stock'!D629&lt;&gt;"",'Master Stock'!L629&lt;&gt;"",'Master Stock'!L629&lt;TODAY()-30),COUNT($V$1:V628)+1,"")</f>
        <v/>
      </c>
    </row>
    <row r="630" ht="15.75" customHeight="1" s="2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0">
        <f>IF(AND('Master Stock'!D630&lt;&gt;"",'Master Stock'!H630="OCCUPIED",'Master Stock'!J630&lt;&gt;"",'Master Stock'!K630=""),COUNT($U$1:U629)+1,"")</f>
        <v/>
      </c>
      <c r="V630" s="0">
        <f>IF(AND('Master Stock'!D630&lt;&gt;"",'Master Stock'!L630&lt;&gt;"",'Master Stock'!L630&lt;TODAY()-30),COUNT($V$1:V629)+1,"")</f>
        <v/>
      </c>
    </row>
    <row r="631" ht="15.75" customHeight="1" s="230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0">
        <f>IF(AND('Master Stock'!D631&lt;&gt;"",'Master Stock'!H631="OCCUPIED",'Master Stock'!J631&lt;&gt;"",'Master Stock'!K631=""),COUNT($U$1:U630)+1,"")</f>
        <v/>
      </c>
      <c r="V631" s="0">
        <f>IF(AND('Master Stock'!D631&lt;&gt;"",'Master Stock'!L631&lt;&gt;"",'Master Stock'!L631&lt;TODAY()-30),COUNT($V$1:V630)+1,"")</f>
        <v/>
      </c>
    </row>
    <row r="632" ht="15.75" customHeight="1" s="230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0">
        <f>IF(AND('Master Stock'!D632&lt;&gt;"",'Master Stock'!H632="OCCUPIED",'Master Stock'!J632&lt;&gt;"",'Master Stock'!K632=""),COUNT($U$1:U631)+1,"")</f>
        <v/>
      </c>
      <c r="V632" s="0">
        <f>IF(AND('Master Stock'!D632&lt;&gt;"",'Master Stock'!L632&lt;&gt;"",'Master Stock'!L632&lt;TODAY()-30),COUNT($V$1:V631)+1,"")</f>
        <v/>
      </c>
    </row>
    <row r="633" ht="15.75" customHeight="1" s="230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0">
        <f>IF(AND('Master Stock'!D633&lt;&gt;"",'Master Stock'!H633="OCCUPIED",'Master Stock'!J633&lt;&gt;"",'Master Stock'!K633=""),COUNT($U$1:U632)+1,"")</f>
        <v/>
      </c>
      <c r="V633" s="0">
        <f>IF(AND('Master Stock'!D633&lt;&gt;"",'Master Stock'!L633&lt;&gt;"",'Master Stock'!L633&lt;TODAY()-30),COUNT($V$1:V632)+1,"")</f>
        <v/>
      </c>
    </row>
    <row r="634" ht="15.75" customHeight="1" s="230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0">
        <f>IF(AND('Master Stock'!D634&lt;&gt;"",'Master Stock'!H634="OCCUPIED",'Master Stock'!J634&lt;&gt;"",'Master Stock'!K634=""),COUNT($U$1:U633)+1,"")</f>
        <v/>
      </c>
      <c r="V634" s="0">
        <f>IF(AND('Master Stock'!D634&lt;&gt;"",'Master Stock'!L634&lt;&gt;"",'Master Stock'!L634&lt;TODAY()-30),COUNT($V$1:V633)+1,"")</f>
        <v/>
      </c>
    </row>
    <row r="635" ht="15.75" customHeight="1" s="230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0">
        <f>IF(AND('Master Stock'!D635&lt;&gt;"",'Master Stock'!H635="OCCUPIED",'Master Stock'!J635&lt;&gt;"",'Master Stock'!K635=""),COUNT($U$1:U634)+1,"")</f>
        <v/>
      </c>
      <c r="V635" s="0">
        <f>IF(AND('Master Stock'!D635&lt;&gt;"",'Master Stock'!L635&lt;&gt;"",'Master Stock'!L635&lt;TODAY()-30),COUNT($V$1:V634)+1,"")</f>
        <v/>
      </c>
    </row>
    <row r="636" ht="15.75" customHeight="1" s="230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0">
        <f>IF(AND('Master Stock'!D636&lt;&gt;"",'Master Stock'!H636="OCCUPIED",'Master Stock'!J636&lt;&gt;"",'Master Stock'!K636=""),COUNT($U$1:U635)+1,"")</f>
        <v/>
      </c>
      <c r="V636" s="0">
        <f>IF(AND('Master Stock'!D636&lt;&gt;"",'Master Stock'!L636&lt;&gt;"",'Master Stock'!L636&lt;TODAY()-30),COUNT($V$1:V635)+1,"")</f>
        <v/>
      </c>
    </row>
    <row r="637" ht="15.75" customHeight="1" s="230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0">
        <f>IF(AND('Master Stock'!D637&lt;&gt;"",'Master Stock'!H637="OCCUPIED",'Master Stock'!J637&lt;&gt;"",'Master Stock'!K637=""),COUNT($U$1:U636)+1,"")</f>
        <v/>
      </c>
      <c r="V637" s="0">
        <f>IF(AND('Master Stock'!D637&lt;&gt;"",'Master Stock'!L637&lt;&gt;"",'Master Stock'!L637&lt;TODAY()-30),COUNT($V$1:V636)+1,"")</f>
        <v/>
      </c>
    </row>
    <row r="638" ht="15.75" customHeight="1" s="230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0">
        <f>IF(AND('Master Stock'!D638&lt;&gt;"",'Master Stock'!H638="OCCUPIED",'Master Stock'!J638&lt;&gt;"",'Master Stock'!K638=""),COUNT($U$1:U637)+1,"")</f>
        <v/>
      </c>
      <c r="V638" s="0">
        <f>IF(AND('Master Stock'!D638&lt;&gt;"",'Master Stock'!L638&lt;&gt;"",'Master Stock'!L638&lt;TODAY()-30),COUNT($V$1:V637)+1,"")</f>
        <v/>
      </c>
    </row>
    <row r="639" ht="15.75" customHeight="1" s="230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0">
        <f>IF(AND('Master Stock'!D639&lt;&gt;"",'Master Stock'!H639="OCCUPIED",'Master Stock'!J639&lt;&gt;"",'Master Stock'!K639=""),COUNT($U$1:U638)+1,"")</f>
        <v/>
      </c>
      <c r="V639" s="0">
        <f>IF(AND('Master Stock'!D639&lt;&gt;"",'Master Stock'!L639&lt;&gt;"",'Master Stock'!L639&lt;TODAY()-30),COUNT($V$1:V638)+1,"")</f>
        <v/>
      </c>
    </row>
    <row r="640" ht="15.75" customHeight="1" s="23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0">
        <f>IF(AND('Master Stock'!D640&lt;&gt;"",'Master Stock'!H640="OCCUPIED",'Master Stock'!J640&lt;&gt;"",'Master Stock'!K640=""),COUNT($U$1:U639)+1,"")</f>
        <v/>
      </c>
      <c r="V640" s="0">
        <f>IF(AND('Master Stock'!D640&lt;&gt;"",'Master Stock'!L640&lt;&gt;"",'Master Stock'!L640&lt;TODAY()-30),COUNT($V$1:V639)+1,"")</f>
        <v/>
      </c>
    </row>
    <row r="641" ht="15.75" customHeight="1" s="230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0">
        <f>IF(AND('Master Stock'!D641&lt;&gt;"",'Master Stock'!H641="OCCUPIED",'Master Stock'!J641&lt;&gt;"",'Master Stock'!K641=""),COUNT($U$1:U640)+1,"")</f>
        <v/>
      </c>
      <c r="V641" s="0">
        <f>IF(AND('Master Stock'!D641&lt;&gt;"",'Master Stock'!L641&lt;&gt;"",'Master Stock'!L641&lt;TODAY()-30),COUNT($V$1:V640)+1,"")</f>
        <v/>
      </c>
    </row>
    <row r="642" ht="15.75" customHeight="1" s="230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0">
        <f>IF(AND('Master Stock'!D642&lt;&gt;"",'Master Stock'!H642="OCCUPIED",'Master Stock'!J642&lt;&gt;"",'Master Stock'!K642=""),COUNT($U$1:U641)+1,"")</f>
        <v/>
      </c>
      <c r="V642" s="0">
        <f>IF(AND('Master Stock'!D642&lt;&gt;"",'Master Stock'!L642&lt;&gt;"",'Master Stock'!L642&lt;TODAY()-30),COUNT($V$1:V641)+1,"")</f>
        <v/>
      </c>
    </row>
    <row r="643" ht="15.75" customHeight="1" s="230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0">
        <f>IF(AND('Master Stock'!D643&lt;&gt;"",'Master Stock'!H643="OCCUPIED",'Master Stock'!J643&lt;&gt;"",'Master Stock'!K643=""),COUNT($U$1:U642)+1,"")</f>
        <v/>
      </c>
      <c r="V643" s="0">
        <f>IF(AND('Master Stock'!D643&lt;&gt;"",'Master Stock'!L643&lt;&gt;"",'Master Stock'!L643&lt;TODAY()-30),COUNT($V$1:V642)+1,"")</f>
        <v/>
      </c>
    </row>
    <row r="644" ht="15.75" customHeight="1" s="230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0">
        <f>IF(AND('Master Stock'!D644&lt;&gt;"",'Master Stock'!H644="OCCUPIED",'Master Stock'!J644&lt;&gt;"",'Master Stock'!K644=""),COUNT($U$1:U643)+1,"")</f>
        <v/>
      </c>
      <c r="V644" s="0">
        <f>IF(AND('Master Stock'!D644&lt;&gt;"",'Master Stock'!L644&lt;&gt;"",'Master Stock'!L644&lt;TODAY()-30),COUNT($V$1:V643)+1,"")</f>
        <v/>
      </c>
    </row>
    <row r="645" ht="15.75" customHeight="1" s="230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0">
        <f>IF(AND('Master Stock'!D645&lt;&gt;"",'Master Stock'!H645="OCCUPIED",'Master Stock'!J645&lt;&gt;"",'Master Stock'!K645=""),COUNT($U$1:U644)+1,"")</f>
        <v/>
      </c>
      <c r="V645" s="0">
        <f>IF(AND('Master Stock'!D645&lt;&gt;"",'Master Stock'!L645&lt;&gt;"",'Master Stock'!L645&lt;TODAY()-30),COUNT($V$1:V644)+1,"")</f>
        <v/>
      </c>
    </row>
    <row r="646" ht="15.75" customHeight="1" s="230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0">
        <f>IF(AND('Master Stock'!D646&lt;&gt;"",'Master Stock'!H646="OCCUPIED",'Master Stock'!J646&lt;&gt;"",'Master Stock'!K646=""),COUNT($U$1:U645)+1,"")</f>
        <v/>
      </c>
      <c r="V646" s="0">
        <f>IF(AND('Master Stock'!D646&lt;&gt;"",'Master Stock'!L646&lt;&gt;"",'Master Stock'!L646&lt;TODAY()-30),COUNT($V$1:V645)+1,"")</f>
        <v/>
      </c>
    </row>
    <row r="647" ht="15.75" customHeight="1" s="230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0">
        <f>IF(AND('Master Stock'!D647&lt;&gt;"",'Master Stock'!H647="OCCUPIED",'Master Stock'!J647&lt;&gt;"",'Master Stock'!K647=""),COUNT($U$1:U646)+1,"")</f>
        <v/>
      </c>
      <c r="V647" s="0">
        <f>IF(AND('Master Stock'!D647&lt;&gt;"",'Master Stock'!L647&lt;&gt;"",'Master Stock'!L647&lt;TODAY()-30),COUNT($V$1:V646)+1,"")</f>
        <v/>
      </c>
    </row>
    <row r="648" ht="15.75" customHeight="1" s="230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0">
        <f>IF(AND('Master Stock'!D648&lt;&gt;"",'Master Stock'!H648="OCCUPIED",'Master Stock'!J648&lt;&gt;"",'Master Stock'!K648=""),COUNT($U$1:U647)+1,"")</f>
        <v/>
      </c>
      <c r="V648" s="0">
        <f>IF(AND('Master Stock'!D648&lt;&gt;"",'Master Stock'!L648&lt;&gt;"",'Master Stock'!L648&lt;TODAY()-30),COUNT($V$1:V647)+1,"")</f>
        <v/>
      </c>
    </row>
    <row r="649" ht="15.75" customHeight="1" s="230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0">
        <f>IF(AND('Master Stock'!D649&lt;&gt;"",'Master Stock'!H649="OCCUPIED",'Master Stock'!J649&lt;&gt;"",'Master Stock'!K649=""),COUNT($U$1:U648)+1,"")</f>
        <v/>
      </c>
      <c r="V649" s="0">
        <f>IF(AND('Master Stock'!D649&lt;&gt;"",'Master Stock'!L649&lt;&gt;"",'Master Stock'!L649&lt;TODAY()-30),COUNT($V$1:V648)+1,"")</f>
        <v/>
      </c>
    </row>
    <row r="650" ht="15.75" customHeight="1" s="23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0">
        <f>IF(AND('Master Stock'!D650&lt;&gt;"",'Master Stock'!H650="OCCUPIED",'Master Stock'!J650&lt;&gt;"",'Master Stock'!K650=""),COUNT($U$1:U649)+1,"")</f>
        <v/>
      </c>
      <c r="V650" s="0">
        <f>IF(AND('Master Stock'!D650&lt;&gt;"",'Master Stock'!L650&lt;&gt;"",'Master Stock'!L650&lt;TODAY()-30),COUNT($V$1:V649)+1,"")</f>
        <v/>
      </c>
    </row>
    <row r="651" ht="15.75" customHeight="1" s="230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0">
        <f>IF(AND('Master Stock'!D651&lt;&gt;"",'Master Stock'!H651="OCCUPIED",'Master Stock'!J651&lt;&gt;"",'Master Stock'!K651=""),COUNT($U$1:U650)+1,"")</f>
        <v/>
      </c>
      <c r="V651" s="0">
        <f>IF(AND('Master Stock'!D651&lt;&gt;"",'Master Stock'!L651&lt;&gt;"",'Master Stock'!L651&lt;TODAY()-30),COUNT($V$1:V650)+1,"")</f>
        <v/>
      </c>
    </row>
    <row r="652" ht="15.75" customHeight="1" s="230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0">
        <f>IF(AND('Master Stock'!D652&lt;&gt;"",'Master Stock'!H652="OCCUPIED",'Master Stock'!J652&lt;&gt;"",'Master Stock'!K652=""),COUNT($U$1:U651)+1,"")</f>
        <v/>
      </c>
      <c r="V652" s="0">
        <f>IF(AND('Master Stock'!D652&lt;&gt;"",'Master Stock'!L652&lt;&gt;"",'Master Stock'!L652&lt;TODAY()-30),COUNT($V$1:V651)+1,"")</f>
        <v/>
      </c>
    </row>
    <row r="653" ht="15.75" customHeight="1" s="230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0">
        <f>IF(AND('Master Stock'!D653&lt;&gt;"",'Master Stock'!H653="OCCUPIED",'Master Stock'!J653&lt;&gt;"",'Master Stock'!K653=""),COUNT($U$1:U652)+1,"")</f>
        <v/>
      </c>
      <c r="V653" s="0">
        <f>IF(AND('Master Stock'!D653&lt;&gt;"",'Master Stock'!L653&lt;&gt;"",'Master Stock'!L653&lt;TODAY()-30),COUNT($V$1:V652)+1,"")</f>
        <v/>
      </c>
    </row>
    <row r="654" ht="15.75" customHeight="1" s="230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0">
        <f>IF(AND('Master Stock'!D654&lt;&gt;"",'Master Stock'!H654="OCCUPIED",'Master Stock'!J654&lt;&gt;"",'Master Stock'!K654=""),COUNT($U$1:U653)+1,"")</f>
        <v/>
      </c>
      <c r="V654" s="0">
        <f>IF(AND('Master Stock'!D654&lt;&gt;"",'Master Stock'!L654&lt;&gt;"",'Master Stock'!L654&lt;TODAY()-30),COUNT($V$1:V653)+1,"")</f>
        <v/>
      </c>
    </row>
    <row r="655" ht="15.75" customHeight="1" s="230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0">
        <f>IF(AND('Master Stock'!D655&lt;&gt;"",'Master Stock'!H655="OCCUPIED",'Master Stock'!J655&lt;&gt;"",'Master Stock'!K655=""),COUNT($U$1:U654)+1,"")</f>
        <v/>
      </c>
      <c r="V655" s="0">
        <f>IF(AND('Master Stock'!D655&lt;&gt;"",'Master Stock'!L655&lt;&gt;"",'Master Stock'!L655&lt;TODAY()-30),COUNT($V$1:V654)+1,"")</f>
        <v/>
      </c>
    </row>
    <row r="656" ht="15.75" customHeight="1" s="230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0">
        <f>IF(AND('Master Stock'!D656&lt;&gt;"",'Master Stock'!H656="OCCUPIED",'Master Stock'!J656&lt;&gt;"",'Master Stock'!K656=""),COUNT($U$1:U655)+1,"")</f>
        <v/>
      </c>
      <c r="V656" s="0">
        <f>IF(AND('Master Stock'!D656&lt;&gt;"",'Master Stock'!L656&lt;&gt;"",'Master Stock'!L656&lt;TODAY()-30),COUNT($V$1:V655)+1,"")</f>
        <v/>
      </c>
    </row>
    <row r="657" ht="15.75" customHeight="1" s="230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0">
        <f>IF(AND('Master Stock'!D657&lt;&gt;"",'Master Stock'!H657="OCCUPIED",'Master Stock'!J657&lt;&gt;"",'Master Stock'!K657=""),COUNT($U$1:U656)+1,"")</f>
        <v/>
      </c>
      <c r="V657" s="0">
        <f>IF(AND('Master Stock'!D657&lt;&gt;"",'Master Stock'!L657&lt;&gt;"",'Master Stock'!L657&lt;TODAY()-30),COUNT($V$1:V656)+1,"")</f>
        <v/>
      </c>
    </row>
    <row r="658" ht="15.75" customHeight="1" s="230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0">
        <f>IF(AND('Master Stock'!D658&lt;&gt;"",'Master Stock'!H658="OCCUPIED",'Master Stock'!J658&lt;&gt;"",'Master Stock'!K658=""),COUNT($U$1:U657)+1,"")</f>
        <v/>
      </c>
      <c r="V658" s="0">
        <f>IF(AND('Master Stock'!D658&lt;&gt;"",'Master Stock'!L658&lt;&gt;"",'Master Stock'!L658&lt;TODAY()-30),COUNT($V$1:V657)+1,"")</f>
        <v/>
      </c>
    </row>
    <row r="659" ht="15.75" customHeight="1" s="230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0">
        <f>IF(AND('Master Stock'!D659&lt;&gt;"",'Master Stock'!H659="OCCUPIED",'Master Stock'!J659&lt;&gt;"",'Master Stock'!K659=""),COUNT($U$1:U658)+1,"")</f>
        <v/>
      </c>
      <c r="V659" s="0">
        <f>IF(AND('Master Stock'!D659&lt;&gt;"",'Master Stock'!L659&lt;&gt;"",'Master Stock'!L659&lt;TODAY()-30),COUNT($V$1:V658)+1,"")</f>
        <v/>
      </c>
    </row>
    <row r="660" ht="15.75" customHeight="1" s="23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0">
        <f>IF(AND('Master Stock'!D660&lt;&gt;"",'Master Stock'!H660="OCCUPIED",'Master Stock'!J660&lt;&gt;"",'Master Stock'!K660=""),COUNT($U$1:U659)+1,"")</f>
        <v/>
      </c>
      <c r="V660" s="0">
        <f>IF(AND('Master Stock'!D660&lt;&gt;"",'Master Stock'!L660&lt;&gt;"",'Master Stock'!L660&lt;TODAY()-30),COUNT($V$1:V659)+1,"")</f>
        <v/>
      </c>
    </row>
    <row r="661" ht="15.75" customHeight="1" s="230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0">
        <f>IF(AND('Master Stock'!D661&lt;&gt;"",'Master Stock'!H661="OCCUPIED",'Master Stock'!J661&lt;&gt;"",'Master Stock'!K661=""),COUNT($U$1:U660)+1,"")</f>
        <v/>
      </c>
      <c r="V661" s="0">
        <f>IF(AND('Master Stock'!D661&lt;&gt;"",'Master Stock'!L661&lt;&gt;"",'Master Stock'!L661&lt;TODAY()-30),COUNT($V$1:V660)+1,"")</f>
        <v/>
      </c>
    </row>
    <row r="662" ht="15.75" customHeight="1" s="230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0">
        <f>IF(AND('Master Stock'!D662&lt;&gt;"",'Master Stock'!H662="OCCUPIED",'Master Stock'!J662&lt;&gt;"",'Master Stock'!K662=""),COUNT($U$1:U661)+1,"")</f>
        <v/>
      </c>
      <c r="V662" s="0">
        <f>IF(AND('Master Stock'!D662&lt;&gt;"",'Master Stock'!L662&lt;&gt;"",'Master Stock'!L662&lt;TODAY()-30),COUNT($V$1:V661)+1,"")</f>
        <v/>
      </c>
    </row>
    <row r="663" ht="15.75" customHeight="1" s="230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0">
        <f>IF(AND('Master Stock'!D663&lt;&gt;"",'Master Stock'!H663="OCCUPIED",'Master Stock'!J663&lt;&gt;"",'Master Stock'!K663=""),COUNT($U$1:U662)+1,"")</f>
        <v/>
      </c>
      <c r="V663" s="0">
        <f>IF(AND('Master Stock'!D663&lt;&gt;"",'Master Stock'!L663&lt;&gt;"",'Master Stock'!L663&lt;TODAY()-30),COUNT($V$1:V662)+1,"")</f>
        <v/>
      </c>
    </row>
    <row r="664" ht="15.75" customHeight="1" s="230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0">
        <f>IF(AND('Master Stock'!D664&lt;&gt;"",'Master Stock'!H664="OCCUPIED",'Master Stock'!J664&lt;&gt;"",'Master Stock'!K664=""),COUNT($U$1:U663)+1,"")</f>
        <v/>
      </c>
      <c r="V664" s="0">
        <f>IF(AND('Master Stock'!D664&lt;&gt;"",'Master Stock'!L664&lt;&gt;"",'Master Stock'!L664&lt;TODAY()-30),COUNT($V$1:V663)+1,"")</f>
        <v/>
      </c>
    </row>
    <row r="665" ht="15.75" customHeight="1" s="230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0">
        <f>IF(AND('Master Stock'!D665&lt;&gt;"",'Master Stock'!H665="OCCUPIED",'Master Stock'!J665&lt;&gt;"",'Master Stock'!K665=""),COUNT($U$1:U664)+1,"")</f>
        <v/>
      </c>
      <c r="V665" s="0">
        <f>IF(AND('Master Stock'!D665&lt;&gt;"",'Master Stock'!L665&lt;&gt;"",'Master Stock'!L665&lt;TODAY()-30),COUNT($V$1:V664)+1,"")</f>
        <v/>
      </c>
    </row>
    <row r="666" ht="15.75" customHeight="1" s="230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0">
        <f>IF(AND('Master Stock'!D666&lt;&gt;"",'Master Stock'!H666="OCCUPIED",'Master Stock'!J666&lt;&gt;"",'Master Stock'!K666=""),COUNT($U$1:U665)+1,"")</f>
        <v/>
      </c>
      <c r="V666" s="0">
        <f>IF(AND('Master Stock'!D666&lt;&gt;"",'Master Stock'!L666&lt;&gt;"",'Master Stock'!L666&lt;TODAY()-30),COUNT($V$1:V665)+1,"")</f>
        <v/>
      </c>
    </row>
    <row r="667" ht="15.75" customHeight="1" s="230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0">
        <f>IF(AND('Master Stock'!D667&lt;&gt;"",'Master Stock'!H667="OCCUPIED",'Master Stock'!J667&lt;&gt;"",'Master Stock'!K667=""),COUNT($U$1:U666)+1,"")</f>
        <v/>
      </c>
      <c r="V667" s="0">
        <f>IF(AND('Master Stock'!D667&lt;&gt;"",'Master Stock'!L667&lt;&gt;"",'Master Stock'!L667&lt;TODAY()-30),COUNT($V$1:V666)+1,"")</f>
        <v/>
      </c>
    </row>
    <row r="668" ht="15.75" customHeight="1" s="230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0">
        <f>IF(AND('Master Stock'!D668&lt;&gt;"",'Master Stock'!H668="OCCUPIED",'Master Stock'!J668&lt;&gt;"",'Master Stock'!K668=""),COUNT($U$1:U667)+1,"")</f>
        <v/>
      </c>
      <c r="V668" s="0">
        <f>IF(AND('Master Stock'!D668&lt;&gt;"",'Master Stock'!L668&lt;&gt;"",'Master Stock'!L668&lt;TODAY()-30),COUNT($V$1:V667)+1,"")</f>
        <v/>
      </c>
    </row>
    <row r="669" ht="15.75" customHeight="1" s="230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0">
        <f>IF(AND('Master Stock'!D669&lt;&gt;"",'Master Stock'!H669="OCCUPIED",'Master Stock'!J669&lt;&gt;"",'Master Stock'!K669=""),COUNT($U$1:U668)+1,"")</f>
        <v/>
      </c>
      <c r="V669" s="0">
        <f>IF(AND('Master Stock'!D669&lt;&gt;"",'Master Stock'!L669&lt;&gt;"",'Master Stock'!L669&lt;TODAY()-30),COUNT($V$1:V668)+1,"")</f>
        <v/>
      </c>
    </row>
    <row r="670" ht="15.75" customHeight="1" s="23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0">
        <f>IF(AND('Master Stock'!D670&lt;&gt;"",'Master Stock'!H670="OCCUPIED",'Master Stock'!J670&lt;&gt;"",'Master Stock'!K670=""),COUNT($U$1:U669)+1,"")</f>
        <v/>
      </c>
      <c r="V670" s="0">
        <f>IF(AND('Master Stock'!D670&lt;&gt;"",'Master Stock'!L670&lt;&gt;"",'Master Stock'!L670&lt;TODAY()-30),COUNT($V$1:V669)+1,"")</f>
        <v/>
      </c>
    </row>
    <row r="671" ht="15.75" customHeight="1" s="230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0">
        <f>IF(AND('Master Stock'!D671&lt;&gt;"",'Master Stock'!H671="OCCUPIED",'Master Stock'!J671&lt;&gt;"",'Master Stock'!K671=""),COUNT($U$1:U670)+1,"")</f>
        <v/>
      </c>
      <c r="V671" s="0">
        <f>IF(AND('Master Stock'!D671&lt;&gt;"",'Master Stock'!L671&lt;&gt;"",'Master Stock'!L671&lt;TODAY()-30),COUNT($V$1:V670)+1,"")</f>
        <v/>
      </c>
    </row>
    <row r="672" ht="15.75" customHeight="1" s="230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0">
        <f>IF(AND('Master Stock'!D672&lt;&gt;"",'Master Stock'!H672="OCCUPIED",'Master Stock'!J672&lt;&gt;"",'Master Stock'!K672=""),COUNT($U$1:U671)+1,"")</f>
        <v/>
      </c>
      <c r="V672" s="0">
        <f>IF(AND('Master Stock'!D672&lt;&gt;"",'Master Stock'!L672&lt;&gt;"",'Master Stock'!L672&lt;TODAY()-30),COUNT($V$1:V671)+1,"")</f>
        <v/>
      </c>
    </row>
    <row r="673" ht="15.75" customHeight="1" s="230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0">
        <f>IF(AND('Master Stock'!D673&lt;&gt;"",'Master Stock'!H673="OCCUPIED",'Master Stock'!J673&lt;&gt;"",'Master Stock'!K673=""),COUNT($U$1:U672)+1,"")</f>
        <v/>
      </c>
      <c r="V673" s="0">
        <f>IF(AND('Master Stock'!D673&lt;&gt;"",'Master Stock'!L673&lt;&gt;"",'Master Stock'!L673&lt;TODAY()-30),COUNT($V$1:V672)+1,"")</f>
        <v/>
      </c>
    </row>
    <row r="674" ht="15.75" customHeight="1" s="230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0">
        <f>IF(AND('Master Stock'!D674&lt;&gt;"",'Master Stock'!H674="OCCUPIED",'Master Stock'!J674&lt;&gt;"",'Master Stock'!K674=""),COUNT($U$1:U673)+1,"")</f>
        <v/>
      </c>
      <c r="V674" s="0">
        <f>IF(AND('Master Stock'!D674&lt;&gt;"",'Master Stock'!L674&lt;&gt;"",'Master Stock'!L674&lt;TODAY()-30),COUNT($V$1:V673)+1,"")</f>
        <v/>
      </c>
    </row>
    <row r="675" ht="15.75" customHeight="1" s="230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0">
        <f>IF(AND('Master Stock'!D675&lt;&gt;"",'Master Stock'!H675="OCCUPIED",'Master Stock'!J675&lt;&gt;"",'Master Stock'!K675=""),COUNT($U$1:U674)+1,"")</f>
        <v/>
      </c>
      <c r="V675" s="0">
        <f>IF(AND('Master Stock'!D675&lt;&gt;"",'Master Stock'!L675&lt;&gt;"",'Master Stock'!L675&lt;TODAY()-30),COUNT($V$1:V674)+1,"")</f>
        <v/>
      </c>
    </row>
    <row r="676" ht="15.75" customHeight="1" s="230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0">
        <f>IF(AND('Master Stock'!D676&lt;&gt;"",'Master Stock'!H676="OCCUPIED",'Master Stock'!J676&lt;&gt;"",'Master Stock'!K676=""),COUNT($U$1:U675)+1,"")</f>
        <v/>
      </c>
      <c r="V676" s="0">
        <f>IF(AND('Master Stock'!D676&lt;&gt;"",'Master Stock'!L676&lt;&gt;"",'Master Stock'!L676&lt;TODAY()-30),COUNT($V$1:V675)+1,"")</f>
        <v/>
      </c>
    </row>
    <row r="677" ht="15.75" customHeight="1" s="230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0">
        <f>IF(AND('Master Stock'!D677&lt;&gt;"",'Master Stock'!H677="OCCUPIED",'Master Stock'!J677&lt;&gt;"",'Master Stock'!K677=""),COUNT($U$1:U676)+1,"")</f>
        <v/>
      </c>
      <c r="V677" s="0">
        <f>IF(AND('Master Stock'!D677&lt;&gt;"",'Master Stock'!L677&lt;&gt;"",'Master Stock'!L677&lt;TODAY()-30),COUNT($V$1:V676)+1,"")</f>
        <v/>
      </c>
    </row>
    <row r="678" ht="15.75" customHeight="1" s="230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0">
        <f>IF(AND('Master Stock'!D678&lt;&gt;"",'Master Stock'!H678="OCCUPIED",'Master Stock'!J678&lt;&gt;"",'Master Stock'!K678=""),COUNT($U$1:U677)+1,"")</f>
        <v/>
      </c>
      <c r="V678" s="0">
        <f>IF(AND('Master Stock'!D678&lt;&gt;"",'Master Stock'!L678&lt;&gt;"",'Master Stock'!L678&lt;TODAY()-30),COUNT($V$1:V677)+1,"")</f>
        <v/>
      </c>
    </row>
    <row r="679" ht="15.75" customHeight="1" s="230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0">
        <f>IF(AND('Master Stock'!D679&lt;&gt;"",'Master Stock'!H679="OCCUPIED",'Master Stock'!J679&lt;&gt;"",'Master Stock'!K679=""),COUNT($U$1:U678)+1,"")</f>
        <v/>
      </c>
      <c r="V679" s="0">
        <f>IF(AND('Master Stock'!D679&lt;&gt;"",'Master Stock'!L679&lt;&gt;"",'Master Stock'!L679&lt;TODAY()-30),COUNT($V$1:V678)+1,"")</f>
        <v/>
      </c>
    </row>
    <row r="680" ht="15.75" customHeight="1" s="23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0">
        <f>IF(AND('Master Stock'!D680&lt;&gt;"",'Master Stock'!H680="OCCUPIED",'Master Stock'!J680&lt;&gt;"",'Master Stock'!K680=""),COUNT($U$1:U679)+1,"")</f>
        <v/>
      </c>
      <c r="V680" s="0">
        <f>IF(AND('Master Stock'!D680&lt;&gt;"",'Master Stock'!L680&lt;&gt;"",'Master Stock'!L680&lt;TODAY()-30),COUNT($V$1:V679)+1,"")</f>
        <v/>
      </c>
    </row>
    <row r="681" ht="15.75" customHeight="1" s="230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0">
        <f>IF(AND('Master Stock'!D681&lt;&gt;"",'Master Stock'!H681="OCCUPIED",'Master Stock'!J681&lt;&gt;"",'Master Stock'!K681=""),COUNT($U$1:U680)+1,"")</f>
        <v/>
      </c>
      <c r="V681" s="0">
        <f>IF(AND('Master Stock'!D681&lt;&gt;"",'Master Stock'!L681&lt;&gt;"",'Master Stock'!L681&lt;TODAY()-30),COUNT($V$1:V680)+1,"")</f>
        <v/>
      </c>
    </row>
    <row r="682" ht="15.75" customHeight="1" s="230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0">
        <f>IF(AND('Master Stock'!D682&lt;&gt;"",'Master Stock'!H682="OCCUPIED",'Master Stock'!J682&lt;&gt;"",'Master Stock'!K682=""),COUNT($U$1:U681)+1,"")</f>
        <v/>
      </c>
      <c r="V682" s="0">
        <f>IF(AND('Master Stock'!D682&lt;&gt;"",'Master Stock'!L682&lt;&gt;"",'Master Stock'!L682&lt;TODAY()-30),COUNT($V$1:V681)+1,"")</f>
        <v/>
      </c>
    </row>
    <row r="683" ht="15.75" customHeight="1" s="230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0">
        <f>IF(AND('Master Stock'!D683&lt;&gt;"",'Master Stock'!H683="OCCUPIED",'Master Stock'!J683&lt;&gt;"",'Master Stock'!K683=""),COUNT($U$1:U682)+1,"")</f>
        <v/>
      </c>
      <c r="V683" s="0">
        <f>IF(AND('Master Stock'!D683&lt;&gt;"",'Master Stock'!L683&lt;&gt;"",'Master Stock'!L683&lt;TODAY()-30),COUNT($V$1:V682)+1,"")</f>
        <v/>
      </c>
    </row>
    <row r="684" ht="15.75" customHeight="1" s="230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0">
        <f>IF(AND('Master Stock'!D684&lt;&gt;"",'Master Stock'!H684="OCCUPIED",'Master Stock'!J684&lt;&gt;"",'Master Stock'!K684=""),COUNT($U$1:U683)+1,"")</f>
        <v/>
      </c>
      <c r="V684" s="0">
        <f>IF(AND('Master Stock'!D684&lt;&gt;"",'Master Stock'!L684&lt;&gt;"",'Master Stock'!L684&lt;TODAY()-30),COUNT($V$1:V683)+1,"")</f>
        <v/>
      </c>
    </row>
    <row r="685" ht="15.75" customHeight="1" s="230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0">
        <f>IF(AND('Master Stock'!D685&lt;&gt;"",'Master Stock'!H685="OCCUPIED",'Master Stock'!J685&lt;&gt;"",'Master Stock'!K685=""),COUNT($U$1:U684)+1,"")</f>
        <v/>
      </c>
      <c r="V685" s="0">
        <f>IF(AND('Master Stock'!D685&lt;&gt;"",'Master Stock'!L685&lt;&gt;"",'Master Stock'!L685&lt;TODAY()-30),COUNT($V$1:V684)+1,"")</f>
        <v/>
      </c>
    </row>
    <row r="686" ht="15.75" customHeight="1" s="230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0">
        <f>IF(AND('Master Stock'!D686&lt;&gt;"",'Master Stock'!H686="OCCUPIED",'Master Stock'!J686&lt;&gt;"",'Master Stock'!K686=""),COUNT($U$1:U685)+1,"")</f>
        <v/>
      </c>
      <c r="V686" s="0">
        <f>IF(AND('Master Stock'!D686&lt;&gt;"",'Master Stock'!L686&lt;&gt;"",'Master Stock'!L686&lt;TODAY()-30),COUNT($V$1:V685)+1,"")</f>
        <v/>
      </c>
    </row>
    <row r="687" ht="15.75" customHeight="1" s="230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0">
        <f>IF(AND('Master Stock'!D687&lt;&gt;"",'Master Stock'!H687="OCCUPIED",'Master Stock'!J687&lt;&gt;"",'Master Stock'!K687=""),COUNT($U$1:U686)+1,"")</f>
        <v/>
      </c>
      <c r="V687" s="0">
        <f>IF(AND('Master Stock'!D687&lt;&gt;"",'Master Stock'!L687&lt;&gt;"",'Master Stock'!L687&lt;TODAY()-30),COUNT($V$1:V686)+1,"")</f>
        <v/>
      </c>
    </row>
    <row r="688" ht="15.75" customHeight="1" s="230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0">
        <f>IF(AND('Master Stock'!D688&lt;&gt;"",'Master Stock'!H688="OCCUPIED",'Master Stock'!J688&lt;&gt;"",'Master Stock'!K688=""),COUNT($U$1:U687)+1,"")</f>
        <v/>
      </c>
      <c r="V688" s="0">
        <f>IF(AND('Master Stock'!D688&lt;&gt;"",'Master Stock'!L688&lt;&gt;"",'Master Stock'!L688&lt;TODAY()-30),COUNT($V$1:V687)+1,"")</f>
        <v/>
      </c>
    </row>
    <row r="689" ht="15.75" customHeight="1" s="230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0">
        <f>IF(AND('Master Stock'!D689&lt;&gt;"",'Master Stock'!H689="OCCUPIED",'Master Stock'!J689&lt;&gt;"",'Master Stock'!K689=""),COUNT($U$1:U688)+1,"")</f>
        <v/>
      </c>
      <c r="V689" s="0">
        <f>IF(AND('Master Stock'!D689&lt;&gt;"",'Master Stock'!L689&lt;&gt;"",'Master Stock'!L689&lt;TODAY()-30),COUNT($V$1:V688)+1,"")</f>
        <v/>
      </c>
    </row>
    <row r="690" ht="15.75" customHeight="1" s="23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0">
        <f>IF(AND('Master Stock'!D690&lt;&gt;"",'Master Stock'!H690="OCCUPIED",'Master Stock'!J690&lt;&gt;"",'Master Stock'!K690=""),COUNT($U$1:U689)+1,"")</f>
        <v/>
      </c>
      <c r="V690" s="0">
        <f>IF(AND('Master Stock'!D690&lt;&gt;"",'Master Stock'!L690&lt;&gt;"",'Master Stock'!L690&lt;TODAY()-30),COUNT($V$1:V689)+1,"")</f>
        <v/>
      </c>
    </row>
    <row r="691" ht="15.75" customHeight="1" s="230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0">
        <f>IF(AND('Master Stock'!D691&lt;&gt;"",'Master Stock'!H691="OCCUPIED",'Master Stock'!J691&lt;&gt;"",'Master Stock'!K691=""),COUNT($U$1:U690)+1,"")</f>
        <v/>
      </c>
      <c r="V691" s="0">
        <f>IF(AND('Master Stock'!D691&lt;&gt;"",'Master Stock'!L691&lt;&gt;"",'Master Stock'!L691&lt;TODAY()-30),COUNT($V$1:V690)+1,"")</f>
        <v/>
      </c>
    </row>
    <row r="692" ht="15.75" customHeight="1" s="230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0">
        <f>IF(AND('Master Stock'!D692&lt;&gt;"",'Master Stock'!H692="OCCUPIED",'Master Stock'!J692&lt;&gt;"",'Master Stock'!K692=""),COUNT($U$1:U691)+1,"")</f>
        <v/>
      </c>
      <c r="V692" s="0">
        <f>IF(AND('Master Stock'!D692&lt;&gt;"",'Master Stock'!L692&lt;&gt;"",'Master Stock'!L692&lt;TODAY()-30),COUNT($V$1:V691)+1,"")</f>
        <v/>
      </c>
    </row>
    <row r="693" ht="15.75" customHeight="1" s="230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0">
        <f>IF(AND('Master Stock'!D693&lt;&gt;"",'Master Stock'!H693="OCCUPIED",'Master Stock'!J693&lt;&gt;"",'Master Stock'!K693=""),COUNT($U$1:U692)+1,"")</f>
        <v/>
      </c>
      <c r="V693" s="0">
        <f>IF(AND('Master Stock'!D693&lt;&gt;"",'Master Stock'!L693&lt;&gt;"",'Master Stock'!L693&lt;TODAY()-30),COUNT($V$1:V692)+1,"")</f>
        <v/>
      </c>
    </row>
    <row r="694" ht="15.75" customHeight="1" s="230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0">
        <f>IF(AND('Master Stock'!D694&lt;&gt;"",'Master Stock'!H694="OCCUPIED",'Master Stock'!J694&lt;&gt;"",'Master Stock'!K694=""),COUNT($U$1:U693)+1,"")</f>
        <v/>
      </c>
      <c r="V694" s="0">
        <f>IF(AND('Master Stock'!D694&lt;&gt;"",'Master Stock'!L694&lt;&gt;"",'Master Stock'!L694&lt;TODAY()-30),COUNT($V$1:V693)+1,"")</f>
        <v/>
      </c>
    </row>
    <row r="695" ht="15.75" customHeight="1" s="230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0">
        <f>IF(AND('Master Stock'!D695&lt;&gt;"",'Master Stock'!H695="OCCUPIED",'Master Stock'!J695&lt;&gt;"",'Master Stock'!K695=""),COUNT($U$1:U694)+1,"")</f>
        <v/>
      </c>
      <c r="V695" s="0">
        <f>IF(AND('Master Stock'!D695&lt;&gt;"",'Master Stock'!L695&lt;&gt;"",'Master Stock'!L695&lt;TODAY()-30),COUNT($V$1:V694)+1,"")</f>
        <v/>
      </c>
    </row>
    <row r="696" ht="15.75" customHeight="1" s="230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0">
        <f>IF(AND('Master Stock'!D696&lt;&gt;"",'Master Stock'!H696="OCCUPIED",'Master Stock'!J696&lt;&gt;"",'Master Stock'!K696=""),COUNT($U$1:U695)+1,"")</f>
        <v/>
      </c>
      <c r="V696" s="0">
        <f>IF(AND('Master Stock'!D696&lt;&gt;"",'Master Stock'!L696&lt;&gt;"",'Master Stock'!L696&lt;TODAY()-30),COUNT($V$1:V695)+1,"")</f>
        <v/>
      </c>
    </row>
    <row r="697" ht="15.75" customHeight="1" s="230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0">
        <f>IF(AND('Master Stock'!D697&lt;&gt;"",'Master Stock'!H697="OCCUPIED",'Master Stock'!J697&lt;&gt;"",'Master Stock'!K697=""),COUNT($U$1:U696)+1,"")</f>
        <v/>
      </c>
      <c r="V697" s="0">
        <f>IF(AND('Master Stock'!D697&lt;&gt;"",'Master Stock'!L697&lt;&gt;"",'Master Stock'!L697&lt;TODAY()-30),COUNT($V$1:V696)+1,"")</f>
        <v/>
      </c>
    </row>
    <row r="698" ht="15.75" customHeight="1" s="230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0">
        <f>IF(AND('Master Stock'!D698&lt;&gt;"",'Master Stock'!H698="OCCUPIED",'Master Stock'!J698&lt;&gt;"",'Master Stock'!K698=""),COUNT($U$1:U697)+1,"")</f>
        <v/>
      </c>
      <c r="V698" s="0">
        <f>IF(AND('Master Stock'!D698&lt;&gt;"",'Master Stock'!L698&lt;&gt;"",'Master Stock'!L698&lt;TODAY()-30),COUNT($V$1:V697)+1,"")</f>
        <v/>
      </c>
    </row>
    <row r="699" ht="15.75" customHeight="1" s="230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0">
        <f>IF(AND('Master Stock'!D699&lt;&gt;"",'Master Stock'!H699="OCCUPIED",'Master Stock'!J699&lt;&gt;"",'Master Stock'!K699=""),COUNT($U$1:U698)+1,"")</f>
        <v/>
      </c>
      <c r="V699" s="0">
        <f>IF(AND('Master Stock'!D699&lt;&gt;"",'Master Stock'!L699&lt;&gt;"",'Master Stock'!L699&lt;TODAY()-30),COUNT($V$1:V698)+1,"")</f>
        <v/>
      </c>
    </row>
    <row r="700" ht="15.75" customHeight="1" s="23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0">
        <f>IF(AND('Master Stock'!D700&lt;&gt;"",'Master Stock'!H700="OCCUPIED",'Master Stock'!J700&lt;&gt;"",'Master Stock'!K700=""),COUNT($U$1:U699)+1,"")</f>
        <v/>
      </c>
      <c r="V700" s="0">
        <f>IF(AND('Master Stock'!D700&lt;&gt;"",'Master Stock'!L700&lt;&gt;"",'Master Stock'!L700&lt;TODAY()-30),COUNT($V$1:V699)+1,"")</f>
        <v/>
      </c>
    </row>
    <row r="701" ht="15.75" customHeight="1" s="230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0">
        <f>IF(AND('Master Stock'!D701&lt;&gt;"",'Master Stock'!H701="OCCUPIED",'Master Stock'!J701&lt;&gt;"",'Master Stock'!K701=""),COUNT($U$1:U700)+1,"")</f>
        <v/>
      </c>
      <c r="V701" s="0">
        <f>IF(AND('Master Stock'!D701&lt;&gt;"",'Master Stock'!L701&lt;&gt;"",'Master Stock'!L701&lt;TODAY()-30),COUNT($V$1:V700)+1,"")</f>
        <v/>
      </c>
    </row>
    <row r="702" ht="15.75" customHeight="1" s="230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0">
        <f>IF(AND('Master Stock'!D702&lt;&gt;"",'Master Stock'!H702="OCCUPIED",'Master Stock'!J702&lt;&gt;"",'Master Stock'!K702=""),COUNT($U$1:U701)+1,"")</f>
        <v/>
      </c>
      <c r="V702" s="0">
        <f>IF(AND('Master Stock'!D702&lt;&gt;"",'Master Stock'!L702&lt;&gt;"",'Master Stock'!L702&lt;TODAY()-30),COUNT($V$1:V701)+1,"")</f>
        <v/>
      </c>
    </row>
    <row r="703" ht="15.75" customHeight="1" s="230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0">
        <f>IF(AND('Master Stock'!D703&lt;&gt;"",'Master Stock'!H703="OCCUPIED",'Master Stock'!J703&lt;&gt;"",'Master Stock'!K703=""),COUNT($U$1:U702)+1,"")</f>
        <v/>
      </c>
      <c r="V703" s="0">
        <f>IF(AND('Master Stock'!D703&lt;&gt;"",'Master Stock'!L703&lt;&gt;"",'Master Stock'!L703&lt;TODAY()-30),COUNT($V$1:V702)+1,"")</f>
        <v/>
      </c>
    </row>
    <row r="704" ht="15.75" customHeight="1" s="230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0">
        <f>IF(AND('Master Stock'!D704&lt;&gt;"",'Master Stock'!H704="OCCUPIED",'Master Stock'!J704&lt;&gt;"",'Master Stock'!K704=""),COUNT($U$1:U703)+1,"")</f>
        <v/>
      </c>
      <c r="V704" s="0">
        <f>IF(AND('Master Stock'!D704&lt;&gt;"",'Master Stock'!L704&lt;&gt;"",'Master Stock'!L704&lt;TODAY()-30),COUNT($V$1:V703)+1,"")</f>
        <v/>
      </c>
    </row>
    <row r="705" ht="15.75" customHeight="1" s="230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0">
        <f>IF(AND('Master Stock'!D705&lt;&gt;"",'Master Stock'!H705="OCCUPIED",'Master Stock'!J705&lt;&gt;"",'Master Stock'!K705=""),COUNT($U$1:U704)+1,"")</f>
        <v/>
      </c>
      <c r="V705" s="0">
        <f>IF(AND('Master Stock'!D705&lt;&gt;"",'Master Stock'!L705&lt;&gt;"",'Master Stock'!L705&lt;TODAY()-30),COUNT($V$1:V704)+1,"")</f>
        <v/>
      </c>
    </row>
    <row r="706" ht="15.75" customHeight="1" s="230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0">
        <f>IF(AND('Master Stock'!D706&lt;&gt;"",'Master Stock'!H706="OCCUPIED",'Master Stock'!J706&lt;&gt;"",'Master Stock'!K706=""),COUNT($U$1:U705)+1,"")</f>
        <v/>
      </c>
      <c r="V706" s="0">
        <f>IF(AND('Master Stock'!D706&lt;&gt;"",'Master Stock'!L706&lt;&gt;"",'Master Stock'!L706&lt;TODAY()-30),COUNT($V$1:V705)+1,"")</f>
        <v/>
      </c>
    </row>
    <row r="707" ht="15.75" customHeight="1" s="230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0">
        <f>IF(AND('Master Stock'!D707&lt;&gt;"",'Master Stock'!H707="OCCUPIED",'Master Stock'!J707&lt;&gt;"",'Master Stock'!K707=""),COUNT($U$1:U706)+1,"")</f>
        <v/>
      </c>
      <c r="V707" s="0">
        <f>IF(AND('Master Stock'!D707&lt;&gt;"",'Master Stock'!L707&lt;&gt;"",'Master Stock'!L707&lt;TODAY()-30),COUNT($V$1:V706)+1,"")</f>
        <v/>
      </c>
    </row>
    <row r="708" ht="15.75" customHeight="1" s="230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0">
        <f>IF(AND('Master Stock'!D708&lt;&gt;"",'Master Stock'!H708="OCCUPIED",'Master Stock'!J708&lt;&gt;"",'Master Stock'!K708=""),COUNT($U$1:U707)+1,"")</f>
        <v/>
      </c>
      <c r="V708" s="0">
        <f>IF(AND('Master Stock'!D708&lt;&gt;"",'Master Stock'!L708&lt;&gt;"",'Master Stock'!L708&lt;TODAY()-30),COUNT($V$1:V707)+1,"")</f>
        <v/>
      </c>
    </row>
    <row r="709" ht="15.75" customHeight="1" s="230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0">
        <f>IF(AND('Master Stock'!D709&lt;&gt;"",'Master Stock'!H709="OCCUPIED",'Master Stock'!J709&lt;&gt;"",'Master Stock'!K709=""),COUNT($U$1:U708)+1,"")</f>
        <v/>
      </c>
      <c r="V709" s="0">
        <f>IF(AND('Master Stock'!D709&lt;&gt;"",'Master Stock'!L709&lt;&gt;"",'Master Stock'!L709&lt;TODAY()-30),COUNT($V$1:V708)+1,"")</f>
        <v/>
      </c>
    </row>
    <row r="710" ht="15.75" customHeight="1" s="23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0">
        <f>IF(AND('Master Stock'!D710&lt;&gt;"",'Master Stock'!H710="OCCUPIED",'Master Stock'!J710&lt;&gt;"",'Master Stock'!K710=""),COUNT($U$1:U709)+1,"")</f>
        <v/>
      </c>
      <c r="V710" s="0">
        <f>IF(AND('Master Stock'!D710&lt;&gt;"",'Master Stock'!L710&lt;&gt;"",'Master Stock'!L710&lt;TODAY()-30),COUNT($V$1:V709)+1,"")</f>
        <v/>
      </c>
    </row>
    <row r="711" ht="15.75" customHeight="1" s="230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0">
        <f>IF(AND('Master Stock'!D711&lt;&gt;"",'Master Stock'!H711="OCCUPIED",'Master Stock'!J711&lt;&gt;"",'Master Stock'!K711=""),COUNT($U$1:U710)+1,"")</f>
        <v/>
      </c>
      <c r="V711" s="0">
        <f>IF(AND('Master Stock'!D711&lt;&gt;"",'Master Stock'!L711&lt;&gt;"",'Master Stock'!L711&lt;TODAY()-30),COUNT($V$1:V710)+1,"")</f>
        <v/>
      </c>
    </row>
    <row r="712" ht="15.75" customHeight="1" s="230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0">
        <f>IF(AND('Master Stock'!D712&lt;&gt;"",'Master Stock'!H712="OCCUPIED",'Master Stock'!J712&lt;&gt;"",'Master Stock'!K712=""),COUNT($U$1:U711)+1,"")</f>
        <v/>
      </c>
      <c r="V712" s="0">
        <f>IF(AND('Master Stock'!D712&lt;&gt;"",'Master Stock'!L712&lt;&gt;"",'Master Stock'!L712&lt;TODAY()-30),COUNT($V$1:V711)+1,"")</f>
        <v/>
      </c>
    </row>
    <row r="713" ht="15.75" customHeight="1" s="230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0">
        <f>IF(AND('Master Stock'!D713&lt;&gt;"",'Master Stock'!H713="OCCUPIED",'Master Stock'!J713&lt;&gt;"",'Master Stock'!K713=""),COUNT($U$1:U712)+1,"")</f>
        <v/>
      </c>
      <c r="V713" s="0">
        <f>IF(AND('Master Stock'!D713&lt;&gt;"",'Master Stock'!L713&lt;&gt;"",'Master Stock'!L713&lt;TODAY()-30),COUNT($V$1:V712)+1,"")</f>
        <v/>
      </c>
    </row>
    <row r="714" ht="15.75" customHeight="1" s="230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0">
        <f>IF(AND('Master Stock'!D714&lt;&gt;"",'Master Stock'!H714="OCCUPIED",'Master Stock'!J714&lt;&gt;"",'Master Stock'!K714=""),COUNT($U$1:U713)+1,"")</f>
        <v/>
      </c>
      <c r="V714" s="0">
        <f>IF(AND('Master Stock'!D714&lt;&gt;"",'Master Stock'!L714&lt;&gt;"",'Master Stock'!L714&lt;TODAY()-30),COUNT($V$1:V713)+1,"")</f>
        <v/>
      </c>
    </row>
    <row r="715" ht="15.75" customHeight="1" s="230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0">
        <f>IF(AND('Master Stock'!D715&lt;&gt;"",'Master Stock'!H715="OCCUPIED",'Master Stock'!J715&lt;&gt;"",'Master Stock'!K715=""),COUNT($U$1:U714)+1,"")</f>
        <v/>
      </c>
      <c r="V715" s="0">
        <f>IF(AND('Master Stock'!D715&lt;&gt;"",'Master Stock'!L715&lt;&gt;"",'Master Stock'!L715&lt;TODAY()-30),COUNT($V$1:V714)+1,"")</f>
        <v/>
      </c>
    </row>
    <row r="716" ht="15.75" customHeight="1" s="230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0">
        <f>IF(AND('Master Stock'!D716&lt;&gt;"",'Master Stock'!H716="OCCUPIED",'Master Stock'!J716&lt;&gt;"",'Master Stock'!K716=""),COUNT($U$1:U715)+1,"")</f>
        <v/>
      </c>
      <c r="V716" s="0">
        <f>IF(AND('Master Stock'!D716&lt;&gt;"",'Master Stock'!L716&lt;&gt;"",'Master Stock'!L716&lt;TODAY()-30),COUNT($V$1:V715)+1,"")</f>
        <v/>
      </c>
    </row>
    <row r="717" ht="15.75" customHeight="1" s="230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0">
        <f>IF(AND('Master Stock'!D717&lt;&gt;"",'Master Stock'!H717="OCCUPIED",'Master Stock'!J717&lt;&gt;"",'Master Stock'!K717=""),COUNT($U$1:U716)+1,"")</f>
        <v/>
      </c>
      <c r="V717" s="0">
        <f>IF(AND('Master Stock'!D717&lt;&gt;"",'Master Stock'!L717&lt;&gt;"",'Master Stock'!L717&lt;TODAY()-30),COUNT($V$1:V716)+1,"")</f>
        <v/>
      </c>
    </row>
    <row r="718" ht="15.75" customHeight="1" s="230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0">
        <f>IF(AND('Master Stock'!D718&lt;&gt;"",'Master Stock'!H718="OCCUPIED",'Master Stock'!J718&lt;&gt;"",'Master Stock'!K718=""),COUNT($U$1:U717)+1,"")</f>
        <v/>
      </c>
      <c r="V718" s="0">
        <f>IF(AND('Master Stock'!D718&lt;&gt;"",'Master Stock'!L718&lt;&gt;"",'Master Stock'!L718&lt;TODAY()-30),COUNT($V$1:V717)+1,"")</f>
        <v/>
      </c>
    </row>
    <row r="719" ht="15.75" customHeight="1" s="230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0">
        <f>IF(AND('Master Stock'!D719&lt;&gt;"",'Master Stock'!H719="OCCUPIED",'Master Stock'!J719&lt;&gt;"",'Master Stock'!K719=""),COUNT($U$1:U718)+1,"")</f>
        <v/>
      </c>
      <c r="V719" s="0">
        <f>IF(AND('Master Stock'!D719&lt;&gt;"",'Master Stock'!L719&lt;&gt;"",'Master Stock'!L719&lt;TODAY()-30),COUNT($V$1:V718)+1,"")</f>
        <v/>
      </c>
    </row>
    <row r="720" ht="15.75" customHeight="1" s="23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0">
        <f>IF(AND('Master Stock'!D720&lt;&gt;"",'Master Stock'!H720="OCCUPIED",'Master Stock'!J720&lt;&gt;"",'Master Stock'!K720=""),COUNT($U$1:U719)+1,"")</f>
        <v/>
      </c>
      <c r="V720" s="0">
        <f>IF(AND('Master Stock'!D720&lt;&gt;"",'Master Stock'!L720&lt;&gt;"",'Master Stock'!L720&lt;TODAY()-30),COUNT($V$1:V719)+1,"")</f>
        <v/>
      </c>
    </row>
    <row r="721" ht="15.75" customHeight="1" s="230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0">
        <f>IF(AND('Master Stock'!D721&lt;&gt;"",'Master Stock'!H721="OCCUPIED",'Master Stock'!J721&lt;&gt;"",'Master Stock'!K721=""),COUNT($U$1:U720)+1,"")</f>
        <v/>
      </c>
      <c r="V721" s="0">
        <f>IF(AND('Master Stock'!D721&lt;&gt;"",'Master Stock'!L721&lt;&gt;"",'Master Stock'!L721&lt;TODAY()-30),COUNT($V$1:V720)+1,"")</f>
        <v/>
      </c>
    </row>
    <row r="722" ht="15.75" customHeight="1" s="230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0">
        <f>IF(AND('Master Stock'!D722&lt;&gt;"",'Master Stock'!H722="OCCUPIED",'Master Stock'!J722&lt;&gt;"",'Master Stock'!K722=""),COUNT($U$1:U721)+1,"")</f>
        <v/>
      </c>
      <c r="V722" s="0">
        <f>IF(AND('Master Stock'!D722&lt;&gt;"",'Master Stock'!L722&lt;&gt;"",'Master Stock'!L722&lt;TODAY()-30),COUNT($V$1:V721)+1,"")</f>
        <v/>
      </c>
    </row>
    <row r="723" ht="15.75" customHeight="1" s="230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0">
        <f>IF(AND('Master Stock'!D723&lt;&gt;"",'Master Stock'!H723="OCCUPIED",'Master Stock'!J723&lt;&gt;"",'Master Stock'!K723=""),COUNT($U$1:U722)+1,"")</f>
        <v/>
      </c>
      <c r="V723" s="0">
        <f>IF(AND('Master Stock'!D723&lt;&gt;"",'Master Stock'!L723&lt;&gt;"",'Master Stock'!L723&lt;TODAY()-30),COUNT($V$1:V722)+1,"")</f>
        <v/>
      </c>
    </row>
    <row r="724" ht="15.75" customHeight="1" s="230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0">
        <f>IF(AND('Master Stock'!D724&lt;&gt;"",'Master Stock'!H724="OCCUPIED",'Master Stock'!J724&lt;&gt;"",'Master Stock'!K724=""),COUNT($U$1:U723)+1,"")</f>
        <v/>
      </c>
      <c r="V724" s="0">
        <f>IF(AND('Master Stock'!D724&lt;&gt;"",'Master Stock'!L724&lt;&gt;"",'Master Stock'!L724&lt;TODAY()-30),COUNT($V$1:V723)+1,"")</f>
        <v/>
      </c>
    </row>
    <row r="725" ht="15.75" customHeight="1" s="230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0">
        <f>IF(AND('Master Stock'!D725&lt;&gt;"",'Master Stock'!H725="OCCUPIED",'Master Stock'!J725&lt;&gt;"",'Master Stock'!K725=""),COUNT($U$1:U724)+1,"")</f>
        <v/>
      </c>
      <c r="V725" s="0">
        <f>IF(AND('Master Stock'!D725&lt;&gt;"",'Master Stock'!L725&lt;&gt;"",'Master Stock'!L725&lt;TODAY()-30),COUNT($V$1:V724)+1,"")</f>
        <v/>
      </c>
    </row>
    <row r="726" ht="15.75" customHeight="1" s="230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0">
        <f>IF(AND('Master Stock'!D726&lt;&gt;"",'Master Stock'!H726="OCCUPIED",'Master Stock'!J726&lt;&gt;"",'Master Stock'!K726=""),COUNT($U$1:U725)+1,"")</f>
        <v/>
      </c>
      <c r="V726" s="0">
        <f>IF(AND('Master Stock'!D726&lt;&gt;"",'Master Stock'!L726&lt;&gt;"",'Master Stock'!L726&lt;TODAY()-30),COUNT($V$1:V725)+1,"")</f>
        <v/>
      </c>
    </row>
    <row r="727" ht="15.75" customHeight="1" s="230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0">
        <f>IF(AND('Master Stock'!D727&lt;&gt;"",'Master Stock'!H727="OCCUPIED",'Master Stock'!J727&lt;&gt;"",'Master Stock'!K727=""),COUNT($U$1:U726)+1,"")</f>
        <v/>
      </c>
      <c r="V727" s="0">
        <f>IF(AND('Master Stock'!D727&lt;&gt;"",'Master Stock'!L727&lt;&gt;"",'Master Stock'!L727&lt;TODAY()-30),COUNT($V$1:V726)+1,"")</f>
        <v/>
      </c>
    </row>
    <row r="728" ht="15.75" customHeight="1" s="230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0">
        <f>IF(AND('Master Stock'!D728&lt;&gt;"",'Master Stock'!H728="OCCUPIED",'Master Stock'!J728&lt;&gt;"",'Master Stock'!K728=""),COUNT($U$1:U727)+1,"")</f>
        <v/>
      </c>
      <c r="V728" s="0">
        <f>IF(AND('Master Stock'!D728&lt;&gt;"",'Master Stock'!L728&lt;&gt;"",'Master Stock'!L728&lt;TODAY()-30),COUNT($V$1:V727)+1,"")</f>
        <v/>
      </c>
    </row>
    <row r="729" ht="15.75" customHeight="1" s="230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0">
        <f>IF(AND('Master Stock'!D729&lt;&gt;"",'Master Stock'!H729="OCCUPIED",'Master Stock'!J729&lt;&gt;"",'Master Stock'!K729=""),COUNT($U$1:U728)+1,"")</f>
        <v/>
      </c>
      <c r="V729" s="0">
        <f>IF(AND('Master Stock'!D729&lt;&gt;"",'Master Stock'!L729&lt;&gt;"",'Master Stock'!L729&lt;TODAY()-30),COUNT($V$1:V728)+1,"")</f>
        <v/>
      </c>
    </row>
    <row r="730" ht="15.75" customHeight="1" s="2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0">
        <f>IF(AND('Master Stock'!D730&lt;&gt;"",'Master Stock'!H730="OCCUPIED",'Master Stock'!J730&lt;&gt;"",'Master Stock'!K730=""),COUNT($U$1:U729)+1,"")</f>
        <v/>
      </c>
      <c r="V730" s="0">
        <f>IF(AND('Master Stock'!D730&lt;&gt;"",'Master Stock'!L730&lt;&gt;"",'Master Stock'!L730&lt;TODAY()-30),COUNT($V$1:V729)+1,"")</f>
        <v/>
      </c>
    </row>
    <row r="731" ht="15.75" customHeight="1" s="230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0">
        <f>IF(AND('Master Stock'!D731&lt;&gt;"",'Master Stock'!H731="OCCUPIED",'Master Stock'!J731&lt;&gt;"",'Master Stock'!K731=""),COUNT($U$1:U730)+1,"")</f>
        <v/>
      </c>
      <c r="V731" s="0">
        <f>IF(AND('Master Stock'!D731&lt;&gt;"",'Master Stock'!L731&lt;&gt;"",'Master Stock'!L731&lt;TODAY()-30),COUNT($V$1:V730)+1,"")</f>
        <v/>
      </c>
    </row>
    <row r="732" ht="15.75" customHeight="1" s="230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0">
        <f>IF(AND('Master Stock'!D732&lt;&gt;"",'Master Stock'!H732="OCCUPIED",'Master Stock'!J732&lt;&gt;"",'Master Stock'!K732=""),COUNT($U$1:U731)+1,"")</f>
        <v/>
      </c>
      <c r="V732" s="0">
        <f>IF(AND('Master Stock'!D732&lt;&gt;"",'Master Stock'!L732&lt;&gt;"",'Master Stock'!L732&lt;TODAY()-30),COUNT($V$1:V731)+1,"")</f>
        <v/>
      </c>
    </row>
    <row r="733" ht="15.75" customHeight="1" s="230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0">
        <f>IF(AND('Master Stock'!D733&lt;&gt;"",'Master Stock'!H733="OCCUPIED",'Master Stock'!J733&lt;&gt;"",'Master Stock'!K733=""),COUNT($U$1:U732)+1,"")</f>
        <v/>
      </c>
      <c r="V733" s="0">
        <f>IF(AND('Master Stock'!D733&lt;&gt;"",'Master Stock'!L733&lt;&gt;"",'Master Stock'!L733&lt;TODAY()-30),COUNT($V$1:V732)+1,"")</f>
        <v/>
      </c>
    </row>
    <row r="734" ht="15.75" customHeight="1" s="230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0">
        <f>IF(AND('Master Stock'!D734&lt;&gt;"",'Master Stock'!H734="OCCUPIED",'Master Stock'!J734&lt;&gt;"",'Master Stock'!K734=""),COUNT($U$1:U733)+1,"")</f>
        <v/>
      </c>
      <c r="V734" s="0">
        <f>IF(AND('Master Stock'!D734&lt;&gt;"",'Master Stock'!L734&lt;&gt;"",'Master Stock'!L734&lt;TODAY()-30),COUNT($V$1:V733)+1,"")</f>
        <v/>
      </c>
    </row>
    <row r="735" ht="15.75" customHeight="1" s="230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0">
        <f>IF(AND('Master Stock'!D735&lt;&gt;"",'Master Stock'!H735="OCCUPIED",'Master Stock'!J735&lt;&gt;"",'Master Stock'!K735=""),COUNT($U$1:U734)+1,"")</f>
        <v/>
      </c>
      <c r="V735" s="0">
        <f>IF(AND('Master Stock'!D735&lt;&gt;"",'Master Stock'!L735&lt;&gt;"",'Master Stock'!L735&lt;TODAY()-30),COUNT($V$1:V734)+1,"")</f>
        <v/>
      </c>
    </row>
    <row r="736" ht="15.75" customHeight="1" s="230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0">
        <f>IF(AND('Master Stock'!D736&lt;&gt;"",'Master Stock'!H736="OCCUPIED",'Master Stock'!J736&lt;&gt;"",'Master Stock'!K736=""),COUNT($U$1:U735)+1,"")</f>
        <v/>
      </c>
      <c r="V736" s="0">
        <f>IF(AND('Master Stock'!D736&lt;&gt;"",'Master Stock'!L736&lt;&gt;"",'Master Stock'!L736&lt;TODAY()-30),COUNT($V$1:V735)+1,"")</f>
        <v/>
      </c>
    </row>
    <row r="737" ht="15.75" customHeight="1" s="230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0">
        <f>IF(AND('Master Stock'!D737&lt;&gt;"",'Master Stock'!H737="OCCUPIED",'Master Stock'!J737&lt;&gt;"",'Master Stock'!K737=""),COUNT($U$1:U736)+1,"")</f>
        <v/>
      </c>
      <c r="V737" s="0">
        <f>IF(AND('Master Stock'!D737&lt;&gt;"",'Master Stock'!L737&lt;&gt;"",'Master Stock'!L737&lt;TODAY()-30),COUNT($V$1:V736)+1,"")</f>
        <v/>
      </c>
    </row>
    <row r="738" ht="15.75" customHeight="1" s="230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0">
        <f>IF(AND('Master Stock'!D738&lt;&gt;"",'Master Stock'!H738="OCCUPIED",'Master Stock'!J738&lt;&gt;"",'Master Stock'!K738=""),COUNT($U$1:U737)+1,"")</f>
        <v/>
      </c>
      <c r="V738" s="0">
        <f>IF(AND('Master Stock'!D738&lt;&gt;"",'Master Stock'!L738&lt;&gt;"",'Master Stock'!L738&lt;TODAY()-30),COUNT($V$1:V737)+1,"")</f>
        <v/>
      </c>
    </row>
    <row r="739" ht="15.75" customHeight="1" s="230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0">
        <f>IF(AND('Master Stock'!D739&lt;&gt;"",'Master Stock'!H739="OCCUPIED",'Master Stock'!J739&lt;&gt;"",'Master Stock'!K739=""),COUNT($U$1:U738)+1,"")</f>
        <v/>
      </c>
      <c r="V739" s="0">
        <f>IF(AND('Master Stock'!D739&lt;&gt;"",'Master Stock'!L739&lt;&gt;"",'Master Stock'!L739&lt;TODAY()-30),COUNT($V$1:V738)+1,"")</f>
        <v/>
      </c>
    </row>
    <row r="740" ht="15.75" customHeight="1" s="23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0">
        <f>IF(AND('Master Stock'!D740&lt;&gt;"",'Master Stock'!H740="OCCUPIED",'Master Stock'!J740&lt;&gt;"",'Master Stock'!K740=""),COUNT($U$1:U739)+1,"")</f>
        <v/>
      </c>
      <c r="V740" s="0">
        <f>IF(AND('Master Stock'!D740&lt;&gt;"",'Master Stock'!L740&lt;&gt;"",'Master Stock'!L740&lt;TODAY()-30),COUNT($V$1:V739)+1,"")</f>
        <v/>
      </c>
    </row>
    <row r="741" ht="15.75" customHeight="1" s="230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0">
        <f>IF(AND('Master Stock'!D741&lt;&gt;"",'Master Stock'!H741="OCCUPIED",'Master Stock'!J741&lt;&gt;"",'Master Stock'!K741=""),COUNT($U$1:U740)+1,"")</f>
        <v/>
      </c>
      <c r="V741" s="0">
        <f>IF(AND('Master Stock'!D741&lt;&gt;"",'Master Stock'!L741&lt;&gt;"",'Master Stock'!L741&lt;TODAY()-30),COUNT($V$1:V740)+1,"")</f>
        <v/>
      </c>
    </row>
    <row r="742" ht="15.75" customHeight="1" s="230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0">
        <f>IF(AND('Master Stock'!D742&lt;&gt;"",'Master Stock'!H742="OCCUPIED",'Master Stock'!J742&lt;&gt;"",'Master Stock'!K742=""),COUNT($U$1:U741)+1,"")</f>
        <v/>
      </c>
      <c r="V742" s="0">
        <f>IF(AND('Master Stock'!D742&lt;&gt;"",'Master Stock'!L742&lt;&gt;"",'Master Stock'!L742&lt;TODAY()-30),COUNT($V$1:V741)+1,"")</f>
        <v/>
      </c>
    </row>
    <row r="743" ht="15.75" customHeight="1" s="230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0">
        <f>IF(AND('Master Stock'!D743&lt;&gt;"",'Master Stock'!H743="OCCUPIED",'Master Stock'!J743&lt;&gt;"",'Master Stock'!K743=""),COUNT($U$1:U742)+1,"")</f>
        <v/>
      </c>
      <c r="V743" s="0">
        <f>IF(AND('Master Stock'!D743&lt;&gt;"",'Master Stock'!L743&lt;&gt;"",'Master Stock'!L743&lt;TODAY()-30),COUNT($V$1:V742)+1,"")</f>
        <v/>
      </c>
    </row>
    <row r="744" ht="15.75" customHeight="1" s="230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0">
        <f>IF(AND('Master Stock'!D744&lt;&gt;"",'Master Stock'!H744="OCCUPIED",'Master Stock'!J744&lt;&gt;"",'Master Stock'!K744=""),COUNT($U$1:U743)+1,"")</f>
        <v/>
      </c>
      <c r="V744" s="0">
        <f>IF(AND('Master Stock'!D744&lt;&gt;"",'Master Stock'!L744&lt;&gt;"",'Master Stock'!L744&lt;TODAY()-30),COUNT($V$1:V743)+1,"")</f>
        <v/>
      </c>
    </row>
    <row r="745" ht="15.75" customHeight="1" s="230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0">
        <f>IF(AND('Master Stock'!D745&lt;&gt;"",'Master Stock'!H745="OCCUPIED",'Master Stock'!J745&lt;&gt;"",'Master Stock'!K745=""),COUNT($U$1:U744)+1,"")</f>
        <v/>
      </c>
      <c r="V745" s="0">
        <f>IF(AND('Master Stock'!D745&lt;&gt;"",'Master Stock'!L745&lt;&gt;"",'Master Stock'!L745&lt;TODAY()-30),COUNT($V$1:V744)+1,"")</f>
        <v/>
      </c>
    </row>
    <row r="746" ht="15.75" customHeight="1" s="230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0">
        <f>IF(AND('Master Stock'!D746&lt;&gt;"",'Master Stock'!H746="OCCUPIED",'Master Stock'!J746&lt;&gt;"",'Master Stock'!K746=""),COUNT($U$1:U745)+1,"")</f>
        <v/>
      </c>
      <c r="V746" s="0">
        <f>IF(AND('Master Stock'!D746&lt;&gt;"",'Master Stock'!L746&lt;&gt;"",'Master Stock'!L746&lt;TODAY()-30),COUNT($V$1:V745)+1,"")</f>
        <v/>
      </c>
    </row>
    <row r="747" ht="15.75" customHeight="1" s="230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0">
        <f>IF(AND('Master Stock'!D747&lt;&gt;"",'Master Stock'!H747="OCCUPIED",'Master Stock'!J747&lt;&gt;"",'Master Stock'!K747=""),COUNT($U$1:U746)+1,"")</f>
        <v/>
      </c>
      <c r="V747" s="0">
        <f>IF(AND('Master Stock'!D747&lt;&gt;"",'Master Stock'!L747&lt;&gt;"",'Master Stock'!L747&lt;TODAY()-30),COUNT($V$1:V746)+1,"")</f>
        <v/>
      </c>
    </row>
    <row r="748" ht="15.75" customHeight="1" s="230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0">
        <f>IF(AND('Master Stock'!D748&lt;&gt;"",'Master Stock'!H748="OCCUPIED",'Master Stock'!J748&lt;&gt;"",'Master Stock'!K748=""),COUNT($U$1:U747)+1,"")</f>
        <v/>
      </c>
      <c r="V748" s="0">
        <f>IF(AND('Master Stock'!D748&lt;&gt;"",'Master Stock'!L748&lt;&gt;"",'Master Stock'!L748&lt;TODAY()-30),COUNT($V$1:V747)+1,"")</f>
        <v/>
      </c>
    </row>
    <row r="749" ht="15.75" customHeight="1" s="230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0">
        <f>IF(AND('Master Stock'!D749&lt;&gt;"",'Master Stock'!H749="OCCUPIED",'Master Stock'!J749&lt;&gt;"",'Master Stock'!K749=""),COUNT($U$1:U748)+1,"")</f>
        <v/>
      </c>
      <c r="V749" s="0">
        <f>IF(AND('Master Stock'!D749&lt;&gt;"",'Master Stock'!L749&lt;&gt;"",'Master Stock'!L749&lt;TODAY()-30),COUNT($V$1:V748)+1,"")</f>
        <v/>
      </c>
    </row>
    <row r="750" ht="15.75" customHeight="1" s="23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0">
        <f>IF(AND('Master Stock'!D750&lt;&gt;"",'Master Stock'!H750="OCCUPIED",'Master Stock'!J750&lt;&gt;"",'Master Stock'!K750=""),COUNT($U$1:U749)+1,"")</f>
        <v/>
      </c>
      <c r="V750" s="0">
        <f>IF(AND('Master Stock'!D750&lt;&gt;"",'Master Stock'!L750&lt;&gt;"",'Master Stock'!L750&lt;TODAY()-30),COUNT($V$1:V749)+1,"")</f>
        <v/>
      </c>
    </row>
    <row r="751" ht="15.75" customHeight="1" s="230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0">
        <f>IF(AND('Master Stock'!D751&lt;&gt;"",'Master Stock'!H751="OCCUPIED",'Master Stock'!J751&lt;&gt;"",'Master Stock'!K751=""),COUNT($U$1:U750)+1,"")</f>
        <v/>
      </c>
      <c r="V751" s="0">
        <f>IF(AND('Master Stock'!D751&lt;&gt;"",'Master Stock'!L751&lt;&gt;"",'Master Stock'!L751&lt;TODAY()-30),COUNT($V$1:V750)+1,"")</f>
        <v/>
      </c>
    </row>
    <row r="752" ht="15.75" customHeight="1" s="230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0">
        <f>IF(AND('Master Stock'!D752&lt;&gt;"",'Master Stock'!H752="OCCUPIED",'Master Stock'!J752&lt;&gt;"",'Master Stock'!K752=""),COUNT($U$1:U751)+1,"")</f>
        <v/>
      </c>
      <c r="V752" s="0">
        <f>IF(AND('Master Stock'!D752&lt;&gt;"",'Master Stock'!L752&lt;&gt;"",'Master Stock'!L752&lt;TODAY()-30),COUNT($V$1:V751)+1,"")</f>
        <v/>
      </c>
    </row>
    <row r="753" ht="15.75" customHeight="1" s="230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0">
        <f>IF(AND('Master Stock'!D753&lt;&gt;"",'Master Stock'!H753="OCCUPIED",'Master Stock'!J753&lt;&gt;"",'Master Stock'!K753=""),COUNT($U$1:U752)+1,"")</f>
        <v/>
      </c>
      <c r="V753" s="0">
        <f>IF(AND('Master Stock'!D753&lt;&gt;"",'Master Stock'!L753&lt;&gt;"",'Master Stock'!L753&lt;TODAY()-30),COUNT($V$1:V752)+1,"")</f>
        <v/>
      </c>
    </row>
    <row r="754" ht="15.75" customHeight="1" s="230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0">
        <f>IF(AND('Master Stock'!D754&lt;&gt;"",'Master Stock'!H754="OCCUPIED",'Master Stock'!J754&lt;&gt;"",'Master Stock'!K754=""),COUNT($U$1:U753)+1,"")</f>
        <v/>
      </c>
      <c r="V754" s="0">
        <f>IF(AND('Master Stock'!D754&lt;&gt;"",'Master Stock'!L754&lt;&gt;"",'Master Stock'!L754&lt;TODAY()-30),COUNT($V$1:V753)+1,"")</f>
        <v/>
      </c>
    </row>
    <row r="755" ht="15.75" customHeight="1" s="230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0">
        <f>IF(AND('Master Stock'!D755&lt;&gt;"",'Master Stock'!H755="OCCUPIED",'Master Stock'!J755&lt;&gt;"",'Master Stock'!K755=""),COUNT($U$1:U754)+1,"")</f>
        <v/>
      </c>
      <c r="V755" s="0">
        <f>IF(AND('Master Stock'!D755&lt;&gt;"",'Master Stock'!L755&lt;&gt;"",'Master Stock'!L755&lt;TODAY()-30),COUNT($V$1:V754)+1,"")</f>
        <v/>
      </c>
    </row>
    <row r="756" ht="15.75" customHeight="1" s="230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0">
        <f>IF(AND('Master Stock'!D756&lt;&gt;"",'Master Stock'!H756="OCCUPIED",'Master Stock'!J756&lt;&gt;"",'Master Stock'!K756=""),COUNT($U$1:U755)+1,"")</f>
        <v/>
      </c>
      <c r="V756" s="0">
        <f>IF(AND('Master Stock'!D756&lt;&gt;"",'Master Stock'!L756&lt;&gt;"",'Master Stock'!L756&lt;TODAY()-30),COUNT($V$1:V755)+1,"")</f>
        <v/>
      </c>
    </row>
    <row r="757" ht="15.75" customHeight="1" s="230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0">
        <f>IF(AND('Master Stock'!D757&lt;&gt;"",'Master Stock'!H757="OCCUPIED",'Master Stock'!J757&lt;&gt;"",'Master Stock'!K757=""),COUNT($U$1:U756)+1,"")</f>
        <v/>
      </c>
      <c r="V757" s="0">
        <f>IF(AND('Master Stock'!D757&lt;&gt;"",'Master Stock'!L757&lt;&gt;"",'Master Stock'!L757&lt;TODAY()-30),COUNT($V$1:V756)+1,"")</f>
        <v/>
      </c>
    </row>
    <row r="758" ht="15.75" customHeight="1" s="230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0">
        <f>IF(AND('Master Stock'!D758&lt;&gt;"",'Master Stock'!H758="OCCUPIED",'Master Stock'!J758&lt;&gt;"",'Master Stock'!K758=""),COUNT($U$1:U757)+1,"")</f>
        <v/>
      </c>
      <c r="V758" s="0">
        <f>IF(AND('Master Stock'!D758&lt;&gt;"",'Master Stock'!L758&lt;&gt;"",'Master Stock'!L758&lt;TODAY()-30),COUNT($V$1:V757)+1,"")</f>
        <v/>
      </c>
    </row>
    <row r="759" ht="15.75" customHeight="1" s="230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0">
        <f>IF(AND('Master Stock'!D759&lt;&gt;"",'Master Stock'!H759="OCCUPIED",'Master Stock'!J759&lt;&gt;"",'Master Stock'!K759=""),COUNT($U$1:U758)+1,"")</f>
        <v/>
      </c>
      <c r="V759" s="0">
        <f>IF(AND('Master Stock'!D759&lt;&gt;"",'Master Stock'!L759&lt;&gt;"",'Master Stock'!L759&lt;TODAY()-30),COUNT($V$1:V758)+1,"")</f>
        <v/>
      </c>
    </row>
    <row r="760" ht="15.75" customHeight="1" s="23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0">
        <f>IF(AND('Master Stock'!D760&lt;&gt;"",'Master Stock'!H760="OCCUPIED",'Master Stock'!J760&lt;&gt;"",'Master Stock'!K760=""),COUNT($U$1:U759)+1,"")</f>
        <v/>
      </c>
      <c r="V760" s="0">
        <f>IF(AND('Master Stock'!D760&lt;&gt;"",'Master Stock'!L760&lt;&gt;"",'Master Stock'!L760&lt;TODAY()-30),COUNT($V$1:V759)+1,"")</f>
        <v/>
      </c>
    </row>
    <row r="761" ht="15.75" customHeight="1" s="230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0">
        <f>IF(AND('Master Stock'!D761&lt;&gt;"",'Master Stock'!H761="OCCUPIED",'Master Stock'!J761&lt;&gt;"",'Master Stock'!K761=""),COUNT($U$1:U760)+1,"")</f>
        <v/>
      </c>
      <c r="V761" s="0">
        <f>IF(AND('Master Stock'!D761&lt;&gt;"",'Master Stock'!L761&lt;&gt;"",'Master Stock'!L761&lt;TODAY()-30),COUNT($V$1:V760)+1,"")</f>
        <v/>
      </c>
    </row>
    <row r="762" ht="15.75" customHeight="1" s="230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0">
        <f>IF(AND('Master Stock'!D762&lt;&gt;"",'Master Stock'!H762="OCCUPIED",'Master Stock'!J762&lt;&gt;"",'Master Stock'!K762=""),COUNT($U$1:U761)+1,"")</f>
        <v/>
      </c>
      <c r="V762" s="0">
        <f>IF(AND('Master Stock'!D762&lt;&gt;"",'Master Stock'!L762&lt;&gt;"",'Master Stock'!L762&lt;TODAY()-30),COUNT($V$1:V761)+1,"")</f>
        <v/>
      </c>
    </row>
    <row r="763" ht="15.75" customHeight="1" s="230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0">
        <f>IF(AND('Master Stock'!D763&lt;&gt;"",'Master Stock'!H763="OCCUPIED",'Master Stock'!J763&lt;&gt;"",'Master Stock'!K763=""),COUNT($U$1:U762)+1,"")</f>
        <v/>
      </c>
      <c r="V763" s="0">
        <f>IF(AND('Master Stock'!D763&lt;&gt;"",'Master Stock'!L763&lt;&gt;"",'Master Stock'!L763&lt;TODAY()-30),COUNT($V$1:V762)+1,"")</f>
        <v/>
      </c>
    </row>
    <row r="764" ht="15.75" customHeight="1" s="230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0">
        <f>IF(AND('Master Stock'!D764&lt;&gt;"",'Master Stock'!H764="OCCUPIED",'Master Stock'!J764&lt;&gt;"",'Master Stock'!K764=""),COUNT($U$1:U763)+1,"")</f>
        <v/>
      </c>
      <c r="V764" s="0">
        <f>IF(AND('Master Stock'!D764&lt;&gt;"",'Master Stock'!L764&lt;&gt;"",'Master Stock'!L764&lt;TODAY()-30),COUNT($V$1:V763)+1,"")</f>
        <v/>
      </c>
    </row>
    <row r="765" ht="15.75" customHeight="1" s="230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0">
        <f>IF(AND('Master Stock'!D765&lt;&gt;"",'Master Stock'!H765="OCCUPIED",'Master Stock'!J765&lt;&gt;"",'Master Stock'!K765=""),COUNT($U$1:U764)+1,"")</f>
        <v/>
      </c>
      <c r="V765" s="0">
        <f>IF(AND('Master Stock'!D765&lt;&gt;"",'Master Stock'!L765&lt;&gt;"",'Master Stock'!L765&lt;TODAY()-30),COUNT($V$1:V764)+1,"")</f>
        <v/>
      </c>
    </row>
    <row r="766" ht="15.75" customHeight="1" s="230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0">
        <f>IF(AND('Master Stock'!D766&lt;&gt;"",'Master Stock'!H766="OCCUPIED",'Master Stock'!J766&lt;&gt;"",'Master Stock'!K766=""),COUNT($U$1:U765)+1,"")</f>
        <v/>
      </c>
      <c r="V766" s="0">
        <f>IF(AND('Master Stock'!D766&lt;&gt;"",'Master Stock'!L766&lt;&gt;"",'Master Stock'!L766&lt;TODAY()-30),COUNT($V$1:V765)+1,"")</f>
        <v/>
      </c>
    </row>
    <row r="767" ht="15.75" customHeight="1" s="230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0">
        <f>IF(AND('Master Stock'!D767&lt;&gt;"",'Master Stock'!H767="OCCUPIED",'Master Stock'!J767&lt;&gt;"",'Master Stock'!K767=""),COUNT($U$1:U766)+1,"")</f>
        <v/>
      </c>
      <c r="V767" s="0">
        <f>IF(AND('Master Stock'!D767&lt;&gt;"",'Master Stock'!L767&lt;&gt;"",'Master Stock'!L767&lt;TODAY()-30),COUNT($V$1:V766)+1,"")</f>
        <v/>
      </c>
    </row>
    <row r="768" ht="15.75" customHeight="1" s="230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0">
        <f>IF(AND('Master Stock'!D768&lt;&gt;"",'Master Stock'!H768="OCCUPIED",'Master Stock'!J768&lt;&gt;"",'Master Stock'!K768=""),COUNT($U$1:U767)+1,"")</f>
        <v/>
      </c>
      <c r="V768" s="0">
        <f>IF(AND('Master Stock'!D768&lt;&gt;"",'Master Stock'!L768&lt;&gt;"",'Master Stock'!L768&lt;TODAY()-30),COUNT($V$1:V767)+1,"")</f>
        <v/>
      </c>
    </row>
    <row r="769" ht="15.75" customHeight="1" s="230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0">
        <f>IF(AND('Master Stock'!D769&lt;&gt;"",'Master Stock'!H769="OCCUPIED",'Master Stock'!J769&lt;&gt;"",'Master Stock'!K769=""),COUNT($U$1:U768)+1,"")</f>
        <v/>
      </c>
      <c r="V769" s="0">
        <f>IF(AND('Master Stock'!D769&lt;&gt;"",'Master Stock'!L769&lt;&gt;"",'Master Stock'!L769&lt;TODAY()-30),COUNT($V$1:V768)+1,"")</f>
        <v/>
      </c>
    </row>
    <row r="770" ht="15.75" customHeight="1" s="23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0">
        <f>IF(AND('Master Stock'!D770&lt;&gt;"",'Master Stock'!H770="OCCUPIED",'Master Stock'!J770&lt;&gt;"",'Master Stock'!K770=""),COUNT($U$1:U769)+1,"")</f>
        <v/>
      </c>
      <c r="V770" s="0">
        <f>IF(AND('Master Stock'!D770&lt;&gt;"",'Master Stock'!L770&lt;&gt;"",'Master Stock'!L770&lt;TODAY()-30),COUNT($V$1:V769)+1,"")</f>
        <v/>
      </c>
    </row>
    <row r="771" ht="15.75" customHeight="1" s="230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0">
        <f>IF(AND('Master Stock'!D771&lt;&gt;"",'Master Stock'!H771="OCCUPIED",'Master Stock'!J771&lt;&gt;"",'Master Stock'!K771=""),COUNT($U$1:U770)+1,"")</f>
        <v/>
      </c>
      <c r="V771" s="0">
        <f>IF(AND('Master Stock'!D771&lt;&gt;"",'Master Stock'!L771&lt;&gt;"",'Master Stock'!L771&lt;TODAY()-30),COUNT($V$1:V770)+1,"")</f>
        <v/>
      </c>
    </row>
    <row r="772" ht="15.75" customHeight="1" s="230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0">
        <f>IF(AND('Master Stock'!D772&lt;&gt;"",'Master Stock'!H772="OCCUPIED",'Master Stock'!J772&lt;&gt;"",'Master Stock'!K772=""),COUNT($U$1:U771)+1,"")</f>
        <v/>
      </c>
      <c r="V772" s="0">
        <f>IF(AND('Master Stock'!D772&lt;&gt;"",'Master Stock'!L772&lt;&gt;"",'Master Stock'!L772&lt;TODAY()-30),COUNT($V$1:V771)+1,"")</f>
        <v/>
      </c>
    </row>
    <row r="773" ht="15.75" customHeight="1" s="230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0">
        <f>IF(AND('Master Stock'!D773&lt;&gt;"",'Master Stock'!H773="OCCUPIED",'Master Stock'!J773&lt;&gt;"",'Master Stock'!K773=""),COUNT($U$1:U772)+1,"")</f>
        <v/>
      </c>
      <c r="V773" s="0">
        <f>IF(AND('Master Stock'!D773&lt;&gt;"",'Master Stock'!L773&lt;&gt;"",'Master Stock'!L773&lt;TODAY()-30),COUNT($V$1:V772)+1,"")</f>
        <v/>
      </c>
    </row>
    <row r="774" ht="15.75" customHeight="1" s="230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0">
        <f>IF(AND('Master Stock'!D774&lt;&gt;"",'Master Stock'!H774="OCCUPIED",'Master Stock'!J774&lt;&gt;"",'Master Stock'!K774=""),COUNT($U$1:U773)+1,"")</f>
        <v/>
      </c>
      <c r="V774" s="0">
        <f>IF(AND('Master Stock'!D774&lt;&gt;"",'Master Stock'!L774&lt;&gt;"",'Master Stock'!L774&lt;TODAY()-30),COUNT($V$1:V773)+1,"")</f>
        <v/>
      </c>
    </row>
    <row r="775" ht="15.75" customHeight="1" s="230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0">
        <f>IF(AND('Master Stock'!D775&lt;&gt;"",'Master Stock'!H775="OCCUPIED",'Master Stock'!J775&lt;&gt;"",'Master Stock'!K775=""),COUNT($U$1:U774)+1,"")</f>
        <v/>
      </c>
      <c r="V775" s="0">
        <f>IF(AND('Master Stock'!D775&lt;&gt;"",'Master Stock'!L775&lt;&gt;"",'Master Stock'!L775&lt;TODAY()-30),COUNT($V$1:V774)+1,"")</f>
        <v/>
      </c>
    </row>
    <row r="776" ht="15.75" customHeight="1" s="230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0">
        <f>IF(AND('Master Stock'!D776&lt;&gt;"",'Master Stock'!H776="OCCUPIED",'Master Stock'!J776&lt;&gt;"",'Master Stock'!K776=""),COUNT($U$1:U775)+1,"")</f>
        <v/>
      </c>
      <c r="V776" s="0">
        <f>IF(AND('Master Stock'!D776&lt;&gt;"",'Master Stock'!L776&lt;&gt;"",'Master Stock'!L776&lt;TODAY()-30),COUNT($V$1:V775)+1,"")</f>
        <v/>
      </c>
    </row>
    <row r="777" ht="15.75" customHeight="1" s="230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0">
        <f>IF(AND('Master Stock'!D777&lt;&gt;"",'Master Stock'!H777="OCCUPIED",'Master Stock'!J777&lt;&gt;"",'Master Stock'!K777=""),COUNT($U$1:U776)+1,"")</f>
        <v/>
      </c>
      <c r="V777" s="0">
        <f>IF(AND('Master Stock'!D777&lt;&gt;"",'Master Stock'!L777&lt;&gt;"",'Master Stock'!L777&lt;TODAY()-30),COUNT($V$1:V776)+1,"")</f>
        <v/>
      </c>
    </row>
    <row r="778" ht="15.75" customHeight="1" s="230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0">
        <f>IF(AND('Master Stock'!D778&lt;&gt;"",'Master Stock'!H778="OCCUPIED",'Master Stock'!J778&lt;&gt;"",'Master Stock'!K778=""),COUNT($U$1:U777)+1,"")</f>
        <v/>
      </c>
      <c r="V778" s="0">
        <f>IF(AND('Master Stock'!D778&lt;&gt;"",'Master Stock'!L778&lt;&gt;"",'Master Stock'!L778&lt;TODAY()-30),COUNT($V$1:V777)+1,"")</f>
        <v/>
      </c>
    </row>
    <row r="779" ht="15.75" customHeight="1" s="230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0">
        <f>IF(AND('Master Stock'!D779&lt;&gt;"",'Master Stock'!H779="OCCUPIED",'Master Stock'!J779&lt;&gt;"",'Master Stock'!K779=""),COUNT($U$1:U778)+1,"")</f>
        <v/>
      </c>
      <c r="V779" s="0">
        <f>IF(AND('Master Stock'!D779&lt;&gt;"",'Master Stock'!L779&lt;&gt;"",'Master Stock'!L779&lt;TODAY()-30),COUNT($V$1:V778)+1,"")</f>
        <v/>
      </c>
    </row>
    <row r="780" ht="15.75" customHeight="1" s="23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0">
        <f>IF(AND('Master Stock'!D780&lt;&gt;"",'Master Stock'!H780="OCCUPIED",'Master Stock'!J780&lt;&gt;"",'Master Stock'!K780=""),COUNT($U$1:U779)+1,"")</f>
        <v/>
      </c>
      <c r="V780" s="0">
        <f>IF(AND('Master Stock'!D780&lt;&gt;"",'Master Stock'!L780&lt;&gt;"",'Master Stock'!L780&lt;TODAY()-30),COUNT($V$1:V779)+1,"")</f>
        <v/>
      </c>
    </row>
    <row r="781" ht="15.75" customHeight="1" s="230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0">
        <f>IF(AND('Master Stock'!D781&lt;&gt;"",'Master Stock'!H781="OCCUPIED",'Master Stock'!J781&lt;&gt;"",'Master Stock'!K781=""),COUNT($U$1:U780)+1,"")</f>
        <v/>
      </c>
      <c r="V781" s="0">
        <f>IF(AND('Master Stock'!D781&lt;&gt;"",'Master Stock'!L781&lt;&gt;"",'Master Stock'!L781&lt;TODAY()-30),COUNT($V$1:V780)+1,"")</f>
        <v/>
      </c>
    </row>
    <row r="782" ht="15.75" customHeight="1" s="230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0">
        <f>IF(AND('Master Stock'!D782&lt;&gt;"",'Master Stock'!H782="OCCUPIED",'Master Stock'!J782&lt;&gt;"",'Master Stock'!K782=""),COUNT($U$1:U781)+1,"")</f>
        <v/>
      </c>
      <c r="V782" s="0">
        <f>IF(AND('Master Stock'!D782&lt;&gt;"",'Master Stock'!L782&lt;&gt;"",'Master Stock'!L782&lt;TODAY()-30),COUNT($V$1:V781)+1,"")</f>
        <v/>
      </c>
    </row>
    <row r="783" ht="15.75" customHeight="1" s="230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0">
        <f>IF(AND('Master Stock'!D783&lt;&gt;"",'Master Stock'!H783="OCCUPIED",'Master Stock'!J783&lt;&gt;"",'Master Stock'!K783=""),COUNT($U$1:U782)+1,"")</f>
        <v/>
      </c>
      <c r="V783" s="0">
        <f>IF(AND('Master Stock'!D783&lt;&gt;"",'Master Stock'!L783&lt;&gt;"",'Master Stock'!L783&lt;TODAY()-30),COUNT($V$1:V782)+1,"")</f>
        <v/>
      </c>
    </row>
    <row r="784" ht="15.75" customHeight="1" s="230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0">
        <f>IF(AND('Master Stock'!D784&lt;&gt;"",'Master Stock'!H784="OCCUPIED",'Master Stock'!J784&lt;&gt;"",'Master Stock'!K784=""),COUNT($U$1:U783)+1,"")</f>
        <v/>
      </c>
      <c r="V784" s="0">
        <f>IF(AND('Master Stock'!D784&lt;&gt;"",'Master Stock'!L784&lt;&gt;"",'Master Stock'!L784&lt;TODAY()-30),COUNT($V$1:V783)+1,"")</f>
        <v/>
      </c>
    </row>
    <row r="785" ht="15.75" customHeight="1" s="230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0">
        <f>IF(AND('Master Stock'!D785&lt;&gt;"",'Master Stock'!H785="OCCUPIED",'Master Stock'!J785&lt;&gt;"",'Master Stock'!K785=""),COUNT($U$1:U784)+1,"")</f>
        <v/>
      </c>
      <c r="V785" s="0">
        <f>IF(AND('Master Stock'!D785&lt;&gt;"",'Master Stock'!L785&lt;&gt;"",'Master Stock'!L785&lt;TODAY()-30),COUNT($V$1:V784)+1,"")</f>
        <v/>
      </c>
    </row>
    <row r="786" ht="15.75" customHeight="1" s="230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0">
        <f>IF(AND('Master Stock'!D786&lt;&gt;"",'Master Stock'!H786="OCCUPIED",'Master Stock'!J786&lt;&gt;"",'Master Stock'!K786=""),COUNT($U$1:U785)+1,"")</f>
        <v/>
      </c>
      <c r="V786" s="0">
        <f>IF(AND('Master Stock'!D786&lt;&gt;"",'Master Stock'!L786&lt;&gt;"",'Master Stock'!L786&lt;TODAY()-30),COUNT($V$1:V785)+1,"")</f>
        <v/>
      </c>
    </row>
    <row r="787" ht="15.75" customHeight="1" s="230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0">
        <f>IF(AND('Master Stock'!D787&lt;&gt;"",'Master Stock'!H787="OCCUPIED",'Master Stock'!J787&lt;&gt;"",'Master Stock'!K787=""),COUNT($U$1:U786)+1,"")</f>
        <v/>
      </c>
      <c r="V787" s="0">
        <f>IF(AND('Master Stock'!D787&lt;&gt;"",'Master Stock'!L787&lt;&gt;"",'Master Stock'!L787&lt;TODAY()-30),COUNT($V$1:V786)+1,"")</f>
        <v/>
      </c>
    </row>
    <row r="788" ht="15.75" customHeight="1" s="230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0">
        <f>IF(AND('Master Stock'!D788&lt;&gt;"",'Master Stock'!H788="OCCUPIED",'Master Stock'!J788&lt;&gt;"",'Master Stock'!K788=""),COUNT($U$1:U787)+1,"")</f>
        <v/>
      </c>
      <c r="V788" s="0">
        <f>IF(AND('Master Stock'!D788&lt;&gt;"",'Master Stock'!L788&lt;&gt;"",'Master Stock'!L788&lt;TODAY()-30),COUNT($V$1:V787)+1,"")</f>
        <v/>
      </c>
    </row>
    <row r="789" ht="15.75" customHeight="1" s="230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0">
        <f>IF(AND('Master Stock'!D789&lt;&gt;"",'Master Stock'!H789="OCCUPIED",'Master Stock'!J789&lt;&gt;"",'Master Stock'!K789=""),COUNT($U$1:U788)+1,"")</f>
        <v/>
      </c>
      <c r="V789" s="0">
        <f>IF(AND('Master Stock'!D789&lt;&gt;"",'Master Stock'!L789&lt;&gt;"",'Master Stock'!L789&lt;TODAY()-30),COUNT($V$1:V788)+1,"")</f>
        <v/>
      </c>
    </row>
    <row r="790" ht="15.75" customHeight="1" s="23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0">
        <f>IF(AND('Master Stock'!D790&lt;&gt;"",'Master Stock'!H790="OCCUPIED",'Master Stock'!J790&lt;&gt;"",'Master Stock'!K790=""),COUNT($U$1:U789)+1,"")</f>
        <v/>
      </c>
      <c r="V790" s="0">
        <f>IF(AND('Master Stock'!D790&lt;&gt;"",'Master Stock'!L790&lt;&gt;"",'Master Stock'!L790&lt;TODAY()-30),COUNT($V$1:V789)+1,"")</f>
        <v/>
      </c>
    </row>
    <row r="791" ht="15.75" customHeight="1" s="230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0">
        <f>IF(AND('Master Stock'!D791&lt;&gt;"",'Master Stock'!H791="OCCUPIED",'Master Stock'!J791&lt;&gt;"",'Master Stock'!K791=""),COUNT($U$1:U790)+1,"")</f>
        <v/>
      </c>
      <c r="V791" s="0">
        <f>IF(AND('Master Stock'!D791&lt;&gt;"",'Master Stock'!L791&lt;&gt;"",'Master Stock'!L791&lt;TODAY()-30),COUNT($V$1:V790)+1,"")</f>
        <v/>
      </c>
    </row>
    <row r="792" ht="15.75" customHeight="1" s="230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0">
        <f>IF(AND('Master Stock'!D792&lt;&gt;"",'Master Stock'!H792="OCCUPIED",'Master Stock'!J792&lt;&gt;"",'Master Stock'!K792=""),COUNT($U$1:U791)+1,"")</f>
        <v/>
      </c>
      <c r="V792" s="0">
        <f>IF(AND('Master Stock'!D792&lt;&gt;"",'Master Stock'!L792&lt;&gt;"",'Master Stock'!L792&lt;TODAY()-30),COUNT($V$1:V791)+1,"")</f>
        <v/>
      </c>
    </row>
    <row r="793" ht="15.75" customHeight="1" s="230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0">
        <f>IF(AND('Master Stock'!D793&lt;&gt;"",'Master Stock'!H793="OCCUPIED",'Master Stock'!J793&lt;&gt;"",'Master Stock'!K793=""),COUNT($U$1:U792)+1,"")</f>
        <v/>
      </c>
      <c r="V793" s="0">
        <f>IF(AND('Master Stock'!D793&lt;&gt;"",'Master Stock'!L793&lt;&gt;"",'Master Stock'!L793&lt;TODAY()-30),COUNT($V$1:V792)+1,"")</f>
        <v/>
      </c>
    </row>
    <row r="794" ht="15.75" customHeight="1" s="230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0">
        <f>IF(AND('Master Stock'!D794&lt;&gt;"",'Master Stock'!H794="OCCUPIED",'Master Stock'!J794&lt;&gt;"",'Master Stock'!K794=""),COUNT($U$1:U793)+1,"")</f>
        <v/>
      </c>
      <c r="V794" s="0">
        <f>IF(AND('Master Stock'!D794&lt;&gt;"",'Master Stock'!L794&lt;&gt;"",'Master Stock'!L794&lt;TODAY()-30),COUNT($V$1:V793)+1,"")</f>
        <v/>
      </c>
    </row>
    <row r="795" ht="15.75" customHeight="1" s="230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0">
        <f>IF(AND('Master Stock'!D795&lt;&gt;"",'Master Stock'!H795="OCCUPIED",'Master Stock'!J795&lt;&gt;"",'Master Stock'!K795=""),COUNT($U$1:U794)+1,"")</f>
        <v/>
      </c>
      <c r="V795" s="0">
        <f>IF(AND('Master Stock'!D795&lt;&gt;"",'Master Stock'!L795&lt;&gt;"",'Master Stock'!L795&lt;TODAY()-30),COUNT($V$1:V794)+1,"")</f>
        <v/>
      </c>
    </row>
    <row r="796" ht="15.75" customHeight="1" s="230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0">
        <f>IF(AND('Master Stock'!D796&lt;&gt;"",'Master Stock'!H796="OCCUPIED",'Master Stock'!J796&lt;&gt;"",'Master Stock'!K796=""),COUNT($U$1:U795)+1,"")</f>
        <v/>
      </c>
      <c r="V796" s="0">
        <f>IF(AND('Master Stock'!D796&lt;&gt;"",'Master Stock'!L796&lt;&gt;"",'Master Stock'!L796&lt;TODAY()-30),COUNT($V$1:V795)+1,"")</f>
        <v/>
      </c>
    </row>
    <row r="797" ht="15.75" customHeight="1" s="230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0">
        <f>IF(AND('Master Stock'!D797&lt;&gt;"",'Master Stock'!H797="OCCUPIED",'Master Stock'!J797&lt;&gt;"",'Master Stock'!K797=""),COUNT($U$1:U796)+1,"")</f>
        <v/>
      </c>
      <c r="V797" s="0">
        <f>IF(AND('Master Stock'!D797&lt;&gt;"",'Master Stock'!L797&lt;&gt;"",'Master Stock'!L797&lt;TODAY()-30),COUNT($V$1:V796)+1,"")</f>
        <v/>
      </c>
    </row>
    <row r="798" ht="15.75" customHeight="1" s="230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0">
        <f>IF(AND('Master Stock'!D798&lt;&gt;"",'Master Stock'!H798="OCCUPIED",'Master Stock'!J798&lt;&gt;"",'Master Stock'!K798=""),COUNT($U$1:U797)+1,"")</f>
        <v/>
      </c>
      <c r="V798" s="0">
        <f>IF(AND('Master Stock'!D798&lt;&gt;"",'Master Stock'!L798&lt;&gt;"",'Master Stock'!L798&lt;TODAY()-30),COUNT($V$1:V797)+1,"")</f>
        <v/>
      </c>
    </row>
    <row r="799" ht="15.75" customHeight="1" s="230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0">
        <f>IF(AND('Master Stock'!D799&lt;&gt;"",'Master Stock'!H799="OCCUPIED",'Master Stock'!J799&lt;&gt;"",'Master Stock'!K799=""),COUNT($U$1:U798)+1,"")</f>
        <v/>
      </c>
      <c r="V799" s="0">
        <f>IF(AND('Master Stock'!D799&lt;&gt;"",'Master Stock'!L799&lt;&gt;"",'Master Stock'!L799&lt;TODAY()-30),COUNT($V$1:V798)+1,"")</f>
        <v/>
      </c>
    </row>
    <row r="800" ht="15.75" customHeight="1" s="23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0">
        <f>IF(AND('Master Stock'!D800&lt;&gt;"",'Master Stock'!H800="OCCUPIED",'Master Stock'!J800&lt;&gt;"",'Master Stock'!K800=""),COUNT($U$1:U799)+1,"")</f>
        <v/>
      </c>
      <c r="V800" s="0">
        <f>IF(AND('Master Stock'!D800&lt;&gt;"",'Master Stock'!L800&lt;&gt;"",'Master Stock'!L800&lt;TODAY()-30),COUNT($V$1:V799)+1,"")</f>
        <v/>
      </c>
    </row>
    <row r="801" ht="15.75" customHeight="1" s="230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0">
        <f>IF(AND('Master Stock'!D801&lt;&gt;"",'Master Stock'!H801="OCCUPIED",'Master Stock'!J801&lt;&gt;"",'Master Stock'!K801=""),COUNT($U$1:U800)+1,"")</f>
        <v/>
      </c>
      <c r="V801" s="0">
        <f>IF(AND('Master Stock'!D801&lt;&gt;"",'Master Stock'!L801&lt;&gt;"",'Master Stock'!L801&lt;TODAY()-30),COUNT($V$1:V800)+1,"")</f>
        <v/>
      </c>
    </row>
    <row r="802" ht="15.75" customHeight="1" s="230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0">
        <f>IF(AND('Master Stock'!D802&lt;&gt;"",'Master Stock'!H802="OCCUPIED",'Master Stock'!J802&lt;&gt;"",'Master Stock'!K802=""),COUNT($U$1:U801)+1,"")</f>
        <v/>
      </c>
      <c r="V802" s="0">
        <f>IF(AND('Master Stock'!D802&lt;&gt;"",'Master Stock'!L802&lt;&gt;"",'Master Stock'!L802&lt;TODAY()-30),COUNT($V$1:V801)+1,"")</f>
        <v/>
      </c>
    </row>
    <row r="803" ht="15.75" customHeight="1" s="230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0">
        <f>IF(AND('Master Stock'!D803&lt;&gt;"",'Master Stock'!H803="OCCUPIED",'Master Stock'!J803&lt;&gt;"",'Master Stock'!K803=""),COUNT($U$1:U802)+1,"")</f>
        <v/>
      </c>
      <c r="V803" s="0">
        <f>IF(AND('Master Stock'!D803&lt;&gt;"",'Master Stock'!L803&lt;&gt;"",'Master Stock'!L803&lt;TODAY()-30),COUNT($V$1:V802)+1,"")</f>
        <v/>
      </c>
    </row>
    <row r="804" ht="15.75" customHeight="1" s="230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0">
        <f>IF(AND('Master Stock'!D804&lt;&gt;"",'Master Stock'!H804="OCCUPIED",'Master Stock'!J804&lt;&gt;"",'Master Stock'!K804=""),COUNT($U$1:U803)+1,"")</f>
        <v/>
      </c>
      <c r="V804" s="0">
        <f>IF(AND('Master Stock'!D804&lt;&gt;"",'Master Stock'!L804&lt;&gt;"",'Master Stock'!L804&lt;TODAY()-30),COUNT($V$1:V803)+1,"")</f>
        <v/>
      </c>
    </row>
    <row r="805" ht="15.75" customHeight="1" s="230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0">
        <f>IF(AND('Master Stock'!D805&lt;&gt;"",'Master Stock'!H805="OCCUPIED",'Master Stock'!J805&lt;&gt;"",'Master Stock'!K805=""),COUNT($U$1:U804)+1,"")</f>
        <v/>
      </c>
      <c r="V805" s="0">
        <f>IF(AND('Master Stock'!D805&lt;&gt;"",'Master Stock'!L805&lt;&gt;"",'Master Stock'!L805&lt;TODAY()-30),COUNT($V$1:V804)+1,"")</f>
        <v/>
      </c>
    </row>
    <row r="806" ht="15.75" customHeight="1" s="230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0">
        <f>IF(AND('Master Stock'!D806&lt;&gt;"",'Master Stock'!H806="OCCUPIED",'Master Stock'!J806&lt;&gt;"",'Master Stock'!K806=""),COUNT($U$1:U805)+1,"")</f>
        <v/>
      </c>
      <c r="V806" s="0">
        <f>IF(AND('Master Stock'!D806&lt;&gt;"",'Master Stock'!L806&lt;&gt;"",'Master Stock'!L806&lt;TODAY()-30),COUNT($V$1:V805)+1,"")</f>
        <v/>
      </c>
    </row>
    <row r="807" ht="15.75" customHeight="1" s="230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0">
        <f>IF(AND('Master Stock'!D807&lt;&gt;"",'Master Stock'!H807="OCCUPIED",'Master Stock'!J807&lt;&gt;"",'Master Stock'!K807=""),COUNT($U$1:U806)+1,"")</f>
        <v/>
      </c>
      <c r="V807" s="0">
        <f>IF(AND('Master Stock'!D807&lt;&gt;"",'Master Stock'!L807&lt;&gt;"",'Master Stock'!L807&lt;TODAY()-30),COUNT($V$1:V806)+1,"")</f>
        <v/>
      </c>
    </row>
    <row r="808" ht="15.75" customHeight="1" s="230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0">
        <f>IF(AND('Master Stock'!D808&lt;&gt;"",'Master Stock'!H808="OCCUPIED",'Master Stock'!J808&lt;&gt;"",'Master Stock'!K808=""),COUNT($U$1:U807)+1,"")</f>
        <v/>
      </c>
      <c r="V808" s="0">
        <f>IF(AND('Master Stock'!D808&lt;&gt;"",'Master Stock'!L808&lt;&gt;"",'Master Stock'!L808&lt;TODAY()-30),COUNT($V$1:V807)+1,"")</f>
        <v/>
      </c>
    </row>
    <row r="809" ht="15.75" customHeight="1" s="230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0">
        <f>IF(AND('Master Stock'!D809&lt;&gt;"",'Master Stock'!H809="OCCUPIED",'Master Stock'!J809&lt;&gt;"",'Master Stock'!K809=""),COUNT($U$1:U808)+1,"")</f>
        <v/>
      </c>
      <c r="V809" s="0">
        <f>IF(AND('Master Stock'!D809&lt;&gt;"",'Master Stock'!L809&lt;&gt;"",'Master Stock'!L809&lt;TODAY()-30),COUNT($V$1:V808)+1,"")</f>
        <v/>
      </c>
    </row>
    <row r="810" ht="15.75" customHeight="1" s="23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0">
        <f>IF(AND('Master Stock'!D810&lt;&gt;"",'Master Stock'!H810="OCCUPIED",'Master Stock'!J810&lt;&gt;"",'Master Stock'!K810=""),COUNT($U$1:U809)+1,"")</f>
        <v/>
      </c>
      <c r="V810" s="0">
        <f>IF(AND('Master Stock'!D810&lt;&gt;"",'Master Stock'!L810&lt;&gt;"",'Master Stock'!L810&lt;TODAY()-30),COUNT($V$1:V809)+1,"")</f>
        <v/>
      </c>
    </row>
    <row r="811" ht="15.75" customHeight="1" s="230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0">
        <f>IF(AND('Master Stock'!D811&lt;&gt;"",'Master Stock'!H811="OCCUPIED",'Master Stock'!J811&lt;&gt;"",'Master Stock'!K811=""),COUNT($U$1:U810)+1,"")</f>
        <v/>
      </c>
      <c r="V811" s="0">
        <f>IF(AND('Master Stock'!D811&lt;&gt;"",'Master Stock'!L811&lt;&gt;"",'Master Stock'!L811&lt;TODAY()-30),COUNT($V$1:V810)+1,"")</f>
        <v/>
      </c>
    </row>
    <row r="812" ht="15.75" customHeight="1" s="230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0">
        <f>IF(AND('Master Stock'!D812&lt;&gt;"",'Master Stock'!H812="OCCUPIED",'Master Stock'!J812&lt;&gt;"",'Master Stock'!K812=""),COUNT($U$1:U811)+1,"")</f>
        <v/>
      </c>
      <c r="V812" s="0">
        <f>IF(AND('Master Stock'!D812&lt;&gt;"",'Master Stock'!L812&lt;&gt;"",'Master Stock'!L812&lt;TODAY()-30),COUNT($V$1:V811)+1,"")</f>
        <v/>
      </c>
    </row>
    <row r="813" ht="15.75" customHeight="1" s="230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0">
        <f>IF(AND('Master Stock'!D813&lt;&gt;"",'Master Stock'!H813="OCCUPIED",'Master Stock'!J813&lt;&gt;"",'Master Stock'!K813=""),COUNT($U$1:U812)+1,"")</f>
        <v/>
      </c>
      <c r="V813" s="0">
        <f>IF(AND('Master Stock'!D813&lt;&gt;"",'Master Stock'!L813&lt;&gt;"",'Master Stock'!L813&lt;TODAY()-30),COUNT($V$1:V812)+1,"")</f>
        <v/>
      </c>
    </row>
    <row r="814" ht="15.75" customHeight="1" s="230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0">
        <f>IF(AND('Master Stock'!D814&lt;&gt;"",'Master Stock'!H814="OCCUPIED",'Master Stock'!J814&lt;&gt;"",'Master Stock'!K814=""),COUNT($U$1:U813)+1,"")</f>
        <v/>
      </c>
      <c r="V814" s="0">
        <f>IF(AND('Master Stock'!D814&lt;&gt;"",'Master Stock'!L814&lt;&gt;"",'Master Stock'!L814&lt;TODAY()-30),COUNT($V$1:V813)+1,"")</f>
        <v/>
      </c>
    </row>
    <row r="815" ht="15.75" customHeight="1" s="230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0">
        <f>IF(AND('Master Stock'!D815&lt;&gt;"",'Master Stock'!H815="OCCUPIED",'Master Stock'!J815&lt;&gt;"",'Master Stock'!K815=""),COUNT($U$1:U814)+1,"")</f>
        <v/>
      </c>
      <c r="V815" s="0">
        <f>IF(AND('Master Stock'!D815&lt;&gt;"",'Master Stock'!L815&lt;&gt;"",'Master Stock'!L815&lt;TODAY()-30),COUNT($V$1:V814)+1,"")</f>
        <v/>
      </c>
    </row>
    <row r="816" ht="15.75" customHeight="1" s="230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0">
        <f>IF(AND('Master Stock'!D816&lt;&gt;"",'Master Stock'!H816="OCCUPIED",'Master Stock'!J816&lt;&gt;"",'Master Stock'!K816=""),COUNT($U$1:U815)+1,"")</f>
        <v/>
      </c>
      <c r="V816" s="0">
        <f>IF(AND('Master Stock'!D816&lt;&gt;"",'Master Stock'!L816&lt;&gt;"",'Master Stock'!L816&lt;TODAY()-30),COUNT($V$1:V815)+1,"")</f>
        <v/>
      </c>
    </row>
    <row r="817" ht="15.75" customHeight="1" s="230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0">
        <f>IF(AND('Master Stock'!D817&lt;&gt;"",'Master Stock'!H817="OCCUPIED",'Master Stock'!J817&lt;&gt;"",'Master Stock'!K817=""),COUNT($U$1:U816)+1,"")</f>
        <v/>
      </c>
      <c r="V817" s="0">
        <f>IF(AND('Master Stock'!D817&lt;&gt;"",'Master Stock'!L817&lt;&gt;"",'Master Stock'!L817&lt;TODAY()-30),COUNT($V$1:V816)+1,"")</f>
        <v/>
      </c>
    </row>
    <row r="818" ht="15.75" customHeight="1" s="230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0">
        <f>IF(AND('Master Stock'!D818&lt;&gt;"",'Master Stock'!H818="OCCUPIED",'Master Stock'!J818&lt;&gt;"",'Master Stock'!K818=""),COUNT($U$1:U817)+1,"")</f>
        <v/>
      </c>
      <c r="V818" s="0">
        <f>IF(AND('Master Stock'!D818&lt;&gt;"",'Master Stock'!L818&lt;&gt;"",'Master Stock'!L818&lt;TODAY()-30),COUNT($V$1:V817)+1,"")</f>
        <v/>
      </c>
    </row>
    <row r="819" ht="15.75" customHeight="1" s="230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0">
        <f>IF(AND('Master Stock'!D819&lt;&gt;"",'Master Stock'!H819="OCCUPIED",'Master Stock'!J819&lt;&gt;"",'Master Stock'!K819=""),COUNT($U$1:U818)+1,"")</f>
        <v/>
      </c>
      <c r="V819" s="0">
        <f>IF(AND('Master Stock'!D819&lt;&gt;"",'Master Stock'!L819&lt;&gt;"",'Master Stock'!L819&lt;TODAY()-30),COUNT($V$1:V818)+1,"")</f>
        <v/>
      </c>
    </row>
    <row r="820" ht="15.75" customHeight="1" s="23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0">
        <f>IF(AND('Master Stock'!D820&lt;&gt;"",'Master Stock'!H820="OCCUPIED",'Master Stock'!J820&lt;&gt;"",'Master Stock'!K820=""),COUNT($U$1:U819)+1,"")</f>
        <v/>
      </c>
      <c r="V820" s="0">
        <f>IF(AND('Master Stock'!D820&lt;&gt;"",'Master Stock'!L820&lt;&gt;"",'Master Stock'!L820&lt;TODAY()-30),COUNT($V$1:V819)+1,"")</f>
        <v/>
      </c>
    </row>
    <row r="821" ht="15.75" customHeight="1" s="230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0">
        <f>IF(AND('Master Stock'!D821&lt;&gt;"",'Master Stock'!H821="OCCUPIED",'Master Stock'!J821&lt;&gt;"",'Master Stock'!K821=""),COUNT($U$1:U820)+1,"")</f>
        <v/>
      </c>
      <c r="V821" s="0">
        <f>IF(AND('Master Stock'!D821&lt;&gt;"",'Master Stock'!L821&lt;&gt;"",'Master Stock'!L821&lt;TODAY()-30),COUNT($V$1:V820)+1,"")</f>
        <v/>
      </c>
    </row>
    <row r="822" ht="15.75" customHeight="1" s="230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0">
        <f>IF(AND('Master Stock'!D822&lt;&gt;"",'Master Stock'!H822="OCCUPIED",'Master Stock'!J822&lt;&gt;"",'Master Stock'!K822=""),COUNT($U$1:U821)+1,"")</f>
        <v/>
      </c>
      <c r="V822" s="0">
        <f>IF(AND('Master Stock'!D822&lt;&gt;"",'Master Stock'!L822&lt;&gt;"",'Master Stock'!L822&lt;TODAY()-30),COUNT($V$1:V821)+1,"")</f>
        <v/>
      </c>
    </row>
    <row r="823" ht="15.75" customHeight="1" s="230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0">
        <f>IF(AND('Master Stock'!D823&lt;&gt;"",'Master Stock'!H823="OCCUPIED",'Master Stock'!J823&lt;&gt;"",'Master Stock'!K823=""),COUNT($U$1:U822)+1,"")</f>
        <v/>
      </c>
      <c r="V823" s="0">
        <f>IF(AND('Master Stock'!D823&lt;&gt;"",'Master Stock'!L823&lt;&gt;"",'Master Stock'!L823&lt;TODAY()-30),COUNT($V$1:V822)+1,"")</f>
        <v/>
      </c>
    </row>
    <row r="824" ht="15.75" customHeight="1" s="230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0">
        <f>IF(AND('Master Stock'!D824&lt;&gt;"",'Master Stock'!H824="OCCUPIED",'Master Stock'!J824&lt;&gt;"",'Master Stock'!K824=""),COUNT($U$1:U823)+1,"")</f>
        <v/>
      </c>
      <c r="V824" s="0">
        <f>IF(AND('Master Stock'!D824&lt;&gt;"",'Master Stock'!L824&lt;&gt;"",'Master Stock'!L824&lt;TODAY()-30),COUNT($V$1:V823)+1,"")</f>
        <v/>
      </c>
    </row>
    <row r="825" ht="15.75" customHeight="1" s="230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0">
        <f>IF(AND('Master Stock'!D825&lt;&gt;"",'Master Stock'!H825="OCCUPIED",'Master Stock'!J825&lt;&gt;"",'Master Stock'!K825=""),COUNT($U$1:U824)+1,"")</f>
        <v/>
      </c>
      <c r="V825" s="0">
        <f>IF(AND('Master Stock'!D825&lt;&gt;"",'Master Stock'!L825&lt;&gt;"",'Master Stock'!L825&lt;TODAY()-30),COUNT($V$1:V824)+1,"")</f>
        <v/>
      </c>
    </row>
    <row r="826" ht="15.75" customHeight="1" s="230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0">
        <f>IF(AND('Master Stock'!D826&lt;&gt;"",'Master Stock'!H826="OCCUPIED",'Master Stock'!J826&lt;&gt;"",'Master Stock'!K826=""),COUNT($U$1:U825)+1,"")</f>
        <v/>
      </c>
      <c r="V826" s="0">
        <f>IF(AND('Master Stock'!D826&lt;&gt;"",'Master Stock'!L826&lt;&gt;"",'Master Stock'!L826&lt;TODAY()-30),COUNT($V$1:V825)+1,"")</f>
        <v/>
      </c>
    </row>
    <row r="827" ht="15.75" customHeight="1" s="230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0">
        <f>IF(AND('Master Stock'!D827&lt;&gt;"",'Master Stock'!H827="OCCUPIED",'Master Stock'!J827&lt;&gt;"",'Master Stock'!K827=""),COUNT($U$1:U826)+1,"")</f>
        <v/>
      </c>
      <c r="V827" s="0">
        <f>IF(AND('Master Stock'!D827&lt;&gt;"",'Master Stock'!L827&lt;&gt;"",'Master Stock'!L827&lt;TODAY()-30),COUNT($V$1:V826)+1,"")</f>
        <v/>
      </c>
    </row>
    <row r="828" ht="15.75" customHeight="1" s="230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0">
        <f>IF(AND('Master Stock'!D828&lt;&gt;"",'Master Stock'!H828="OCCUPIED",'Master Stock'!J828&lt;&gt;"",'Master Stock'!K828=""),COUNT($U$1:U827)+1,"")</f>
        <v/>
      </c>
      <c r="V828" s="0">
        <f>IF(AND('Master Stock'!D828&lt;&gt;"",'Master Stock'!L828&lt;&gt;"",'Master Stock'!L828&lt;TODAY()-30),COUNT($V$1:V827)+1,"")</f>
        <v/>
      </c>
    </row>
    <row r="829" ht="15.75" customHeight="1" s="230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0">
        <f>IF(AND('Master Stock'!D829&lt;&gt;"",'Master Stock'!H829="OCCUPIED",'Master Stock'!J829&lt;&gt;"",'Master Stock'!K829=""),COUNT($U$1:U828)+1,"")</f>
        <v/>
      </c>
      <c r="V829" s="0">
        <f>IF(AND('Master Stock'!D829&lt;&gt;"",'Master Stock'!L829&lt;&gt;"",'Master Stock'!L829&lt;TODAY()-30),COUNT($V$1:V828)+1,"")</f>
        <v/>
      </c>
    </row>
    <row r="830" ht="15.75" customHeight="1" s="2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0">
        <f>IF(AND('Master Stock'!D830&lt;&gt;"",'Master Stock'!H830="OCCUPIED",'Master Stock'!J830&lt;&gt;"",'Master Stock'!K830=""),COUNT($U$1:U829)+1,"")</f>
        <v/>
      </c>
      <c r="V830" s="0">
        <f>IF(AND('Master Stock'!D830&lt;&gt;"",'Master Stock'!L830&lt;&gt;"",'Master Stock'!L830&lt;TODAY()-30),COUNT($V$1:V829)+1,"")</f>
        <v/>
      </c>
    </row>
    <row r="831" ht="15.75" customHeight="1" s="230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0">
        <f>IF(AND('Master Stock'!D831&lt;&gt;"",'Master Stock'!H831="OCCUPIED",'Master Stock'!J831&lt;&gt;"",'Master Stock'!K831=""),COUNT($U$1:U830)+1,"")</f>
        <v/>
      </c>
      <c r="V831" s="0">
        <f>IF(AND('Master Stock'!D831&lt;&gt;"",'Master Stock'!L831&lt;&gt;"",'Master Stock'!L831&lt;TODAY()-30),COUNT($V$1:V830)+1,"")</f>
        <v/>
      </c>
    </row>
    <row r="832" ht="15.75" customHeight="1" s="230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0">
        <f>IF(AND('Master Stock'!D832&lt;&gt;"",'Master Stock'!H832="OCCUPIED",'Master Stock'!J832&lt;&gt;"",'Master Stock'!K832=""),COUNT($U$1:U831)+1,"")</f>
        <v/>
      </c>
      <c r="V832" s="0">
        <f>IF(AND('Master Stock'!D832&lt;&gt;"",'Master Stock'!L832&lt;&gt;"",'Master Stock'!L832&lt;TODAY()-30),COUNT($V$1:V831)+1,"")</f>
        <v/>
      </c>
    </row>
    <row r="833" ht="15.75" customHeight="1" s="230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0">
        <f>IF(AND('Master Stock'!D833&lt;&gt;"",'Master Stock'!H833="OCCUPIED",'Master Stock'!J833&lt;&gt;"",'Master Stock'!K833=""),COUNT($U$1:U832)+1,"")</f>
        <v/>
      </c>
      <c r="V833" s="0">
        <f>IF(AND('Master Stock'!D833&lt;&gt;"",'Master Stock'!L833&lt;&gt;"",'Master Stock'!L833&lt;TODAY()-30),COUNT($V$1:V832)+1,"")</f>
        <v/>
      </c>
    </row>
    <row r="834" ht="15.75" customHeight="1" s="230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0">
        <f>IF(AND('Master Stock'!D834&lt;&gt;"",'Master Stock'!H834="OCCUPIED",'Master Stock'!J834&lt;&gt;"",'Master Stock'!K834=""),COUNT($U$1:U833)+1,"")</f>
        <v/>
      </c>
      <c r="V834" s="0">
        <f>IF(AND('Master Stock'!D834&lt;&gt;"",'Master Stock'!L834&lt;&gt;"",'Master Stock'!L834&lt;TODAY()-30),COUNT($V$1:V833)+1,"")</f>
        <v/>
      </c>
    </row>
    <row r="835" ht="15.75" customHeight="1" s="230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0">
        <f>IF(AND('Master Stock'!D835&lt;&gt;"",'Master Stock'!H835="OCCUPIED",'Master Stock'!J835&lt;&gt;"",'Master Stock'!K835=""),COUNT($U$1:U834)+1,"")</f>
        <v/>
      </c>
      <c r="V835" s="0">
        <f>IF(AND('Master Stock'!D835&lt;&gt;"",'Master Stock'!L835&lt;&gt;"",'Master Stock'!L835&lt;TODAY()-30),COUNT($V$1:V834)+1,"")</f>
        <v/>
      </c>
    </row>
    <row r="836" ht="15.75" customHeight="1" s="230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0">
        <f>IF(AND('Master Stock'!D836&lt;&gt;"",'Master Stock'!H836="OCCUPIED",'Master Stock'!J836&lt;&gt;"",'Master Stock'!K836=""),COUNT($U$1:U835)+1,"")</f>
        <v/>
      </c>
      <c r="V836" s="0">
        <f>IF(AND('Master Stock'!D836&lt;&gt;"",'Master Stock'!L836&lt;&gt;"",'Master Stock'!L836&lt;TODAY()-30),COUNT($V$1:V835)+1,"")</f>
        <v/>
      </c>
    </row>
    <row r="837" ht="15.75" customHeight="1" s="230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0">
        <f>IF(AND('Master Stock'!D837&lt;&gt;"",'Master Stock'!H837="OCCUPIED",'Master Stock'!J837&lt;&gt;"",'Master Stock'!K837=""),COUNT($U$1:U836)+1,"")</f>
        <v/>
      </c>
      <c r="V837" s="0">
        <f>IF(AND('Master Stock'!D837&lt;&gt;"",'Master Stock'!L837&lt;&gt;"",'Master Stock'!L837&lt;TODAY()-30),COUNT($V$1:V836)+1,"")</f>
        <v/>
      </c>
    </row>
    <row r="838" ht="15.75" customHeight="1" s="230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0">
        <f>IF(AND('Master Stock'!D838&lt;&gt;"",'Master Stock'!H838="OCCUPIED",'Master Stock'!J838&lt;&gt;"",'Master Stock'!K838=""),COUNT($U$1:U837)+1,"")</f>
        <v/>
      </c>
      <c r="V838" s="0">
        <f>IF(AND('Master Stock'!D838&lt;&gt;"",'Master Stock'!L838&lt;&gt;"",'Master Stock'!L838&lt;TODAY()-30),COUNT($V$1:V837)+1,"")</f>
        <v/>
      </c>
    </row>
    <row r="839" ht="15.75" customHeight="1" s="230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0">
        <f>IF(AND('Master Stock'!D839&lt;&gt;"",'Master Stock'!H839="OCCUPIED",'Master Stock'!J839&lt;&gt;"",'Master Stock'!K839=""),COUNT($U$1:U838)+1,"")</f>
        <v/>
      </c>
      <c r="V839" s="0">
        <f>IF(AND('Master Stock'!D839&lt;&gt;"",'Master Stock'!L839&lt;&gt;"",'Master Stock'!L839&lt;TODAY()-30),COUNT($V$1:V838)+1,"")</f>
        <v/>
      </c>
    </row>
    <row r="840" ht="15.75" customHeight="1" s="23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0">
        <f>IF(AND('Master Stock'!D840&lt;&gt;"",'Master Stock'!H840="OCCUPIED",'Master Stock'!J840&lt;&gt;"",'Master Stock'!K840=""),COUNT($U$1:U839)+1,"")</f>
        <v/>
      </c>
      <c r="V840" s="0">
        <f>IF(AND('Master Stock'!D840&lt;&gt;"",'Master Stock'!L840&lt;&gt;"",'Master Stock'!L840&lt;TODAY()-30),COUNT($V$1:V839)+1,"")</f>
        <v/>
      </c>
    </row>
    <row r="841" ht="15.75" customHeight="1" s="230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0">
        <f>IF(AND('Master Stock'!D841&lt;&gt;"",'Master Stock'!H841="OCCUPIED",'Master Stock'!J841&lt;&gt;"",'Master Stock'!K841=""),COUNT($U$1:U840)+1,"")</f>
        <v/>
      </c>
      <c r="V841" s="0">
        <f>IF(AND('Master Stock'!D841&lt;&gt;"",'Master Stock'!L841&lt;&gt;"",'Master Stock'!L841&lt;TODAY()-30),COUNT($V$1:V840)+1,"")</f>
        <v/>
      </c>
    </row>
    <row r="842" ht="15.75" customHeight="1" s="230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0">
        <f>IF(AND('Master Stock'!D842&lt;&gt;"",'Master Stock'!H842="OCCUPIED",'Master Stock'!J842&lt;&gt;"",'Master Stock'!K842=""),COUNT($U$1:U841)+1,"")</f>
        <v/>
      </c>
      <c r="V842" s="0">
        <f>IF(AND('Master Stock'!D842&lt;&gt;"",'Master Stock'!L842&lt;&gt;"",'Master Stock'!L842&lt;TODAY()-30),COUNT($V$1:V841)+1,"")</f>
        <v/>
      </c>
    </row>
    <row r="843" ht="15.75" customHeight="1" s="230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0">
        <f>IF(AND('Master Stock'!D843&lt;&gt;"",'Master Stock'!H843="OCCUPIED",'Master Stock'!J843&lt;&gt;"",'Master Stock'!K843=""),COUNT($U$1:U842)+1,"")</f>
        <v/>
      </c>
      <c r="V843" s="0">
        <f>IF(AND('Master Stock'!D843&lt;&gt;"",'Master Stock'!L843&lt;&gt;"",'Master Stock'!L843&lt;TODAY()-30),COUNT($V$1:V842)+1,"")</f>
        <v/>
      </c>
    </row>
    <row r="844" ht="15.75" customHeight="1" s="230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0">
        <f>IF(AND('Master Stock'!D844&lt;&gt;"",'Master Stock'!H844="OCCUPIED",'Master Stock'!J844&lt;&gt;"",'Master Stock'!K844=""),COUNT($U$1:U843)+1,"")</f>
        <v/>
      </c>
      <c r="V844" s="0">
        <f>IF(AND('Master Stock'!D844&lt;&gt;"",'Master Stock'!L844&lt;&gt;"",'Master Stock'!L844&lt;TODAY()-30),COUNT($V$1:V843)+1,"")</f>
        <v/>
      </c>
    </row>
    <row r="845" ht="15.75" customHeight="1" s="230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0">
        <f>IF(AND('Master Stock'!D845&lt;&gt;"",'Master Stock'!H845="OCCUPIED",'Master Stock'!J845&lt;&gt;"",'Master Stock'!K845=""),COUNT($U$1:U844)+1,"")</f>
        <v/>
      </c>
      <c r="V845" s="0">
        <f>IF(AND('Master Stock'!D845&lt;&gt;"",'Master Stock'!L845&lt;&gt;"",'Master Stock'!L845&lt;TODAY()-30),COUNT($V$1:V844)+1,"")</f>
        <v/>
      </c>
    </row>
    <row r="846" ht="15.75" customHeight="1" s="230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0">
        <f>IF(AND('Master Stock'!D846&lt;&gt;"",'Master Stock'!H846="OCCUPIED",'Master Stock'!J846&lt;&gt;"",'Master Stock'!K846=""),COUNT($U$1:U845)+1,"")</f>
        <v/>
      </c>
      <c r="V846" s="0">
        <f>IF(AND('Master Stock'!D846&lt;&gt;"",'Master Stock'!L846&lt;&gt;"",'Master Stock'!L846&lt;TODAY()-30),COUNT($V$1:V845)+1,"")</f>
        <v/>
      </c>
    </row>
    <row r="847" ht="15.75" customHeight="1" s="230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0">
        <f>IF(AND('Master Stock'!D847&lt;&gt;"",'Master Stock'!H847="OCCUPIED",'Master Stock'!J847&lt;&gt;"",'Master Stock'!K847=""),COUNT($U$1:U846)+1,"")</f>
        <v/>
      </c>
      <c r="V847" s="0">
        <f>IF(AND('Master Stock'!D847&lt;&gt;"",'Master Stock'!L847&lt;&gt;"",'Master Stock'!L847&lt;TODAY()-30),COUNT($V$1:V846)+1,"")</f>
        <v/>
      </c>
    </row>
    <row r="848" ht="15.75" customHeight="1" s="230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0">
        <f>IF(AND('Master Stock'!D848&lt;&gt;"",'Master Stock'!H848="OCCUPIED",'Master Stock'!J848&lt;&gt;"",'Master Stock'!K848=""),COUNT($U$1:U847)+1,"")</f>
        <v/>
      </c>
      <c r="V848" s="0">
        <f>IF(AND('Master Stock'!D848&lt;&gt;"",'Master Stock'!L848&lt;&gt;"",'Master Stock'!L848&lt;TODAY()-30),COUNT($V$1:V847)+1,"")</f>
        <v/>
      </c>
    </row>
    <row r="849" ht="15.75" customHeight="1" s="230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0">
        <f>IF(AND('Master Stock'!D849&lt;&gt;"",'Master Stock'!H849="OCCUPIED",'Master Stock'!J849&lt;&gt;"",'Master Stock'!K849=""),COUNT($U$1:U848)+1,"")</f>
        <v/>
      </c>
      <c r="V849" s="0">
        <f>IF(AND('Master Stock'!D849&lt;&gt;"",'Master Stock'!L849&lt;&gt;"",'Master Stock'!L849&lt;TODAY()-30),COUNT($V$1:V848)+1,"")</f>
        <v/>
      </c>
    </row>
    <row r="850" ht="15.75" customHeight="1" s="23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0">
        <f>IF(AND('Master Stock'!D850&lt;&gt;"",'Master Stock'!H850="OCCUPIED",'Master Stock'!J850&lt;&gt;"",'Master Stock'!K850=""),COUNT($U$1:U849)+1,"")</f>
        <v/>
      </c>
      <c r="V850" s="0">
        <f>IF(AND('Master Stock'!D850&lt;&gt;"",'Master Stock'!L850&lt;&gt;"",'Master Stock'!L850&lt;TODAY()-30),COUNT($V$1:V849)+1,"")</f>
        <v/>
      </c>
    </row>
    <row r="851" ht="15.75" customHeight="1" s="230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0">
        <f>IF(AND('Master Stock'!D851&lt;&gt;"",'Master Stock'!H851="OCCUPIED",'Master Stock'!J851&lt;&gt;"",'Master Stock'!K851=""),COUNT($U$1:U850)+1,"")</f>
        <v/>
      </c>
      <c r="V851" s="0">
        <f>IF(AND('Master Stock'!D851&lt;&gt;"",'Master Stock'!L851&lt;&gt;"",'Master Stock'!L851&lt;TODAY()-30),COUNT($V$1:V850)+1,"")</f>
        <v/>
      </c>
    </row>
    <row r="852" ht="15.75" customHeight="1" s="230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0">
        <f>IF(AND('Master Stock'!D852&lt;&gt;"",'Master Stock'!H852="OCCUPIED",'Master Stock'!J852&lt;&gt;"",'Master Stock'!K852=""),COUNT($U$1:U851)+1,"")</f>
        <v/>
      </c>
      <c r="V852" s="0">
        <f>IF(AND('Master Stock'!D852&lt;&gt;"",'Master Stock'!L852&lt;&gt;"",'Master Stock'!L852&lt;TODAY()-30),COUNT($V$1:V851)+1,"")</f>
        <v/>
      </c>
    </row>
    <row r="853" ht="15.75" customHeight="1" s="230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0">
        <f>IF(AND('Master Stock'!D853&lt;&gt;"",'Master Stock'!H853="OCCUPIED",'Master Stock'!J853&lt;&gt;"",'Master Stock'!K853=""),COUNT($U$1:U852)+1,"")</f>
        <v/>
      </c>
      <c r="V853" s="0">
        <f>IF(AND('Master Stock'!D853&lt;&gt;"",'Master Stock'!L853&lt;&gt;"",'Master Stock'!L853&lt;TODAY()-30),COUNT($V$1:V852)+1,"")</f>
        <v/>
      </c>
    </row>
    <row r="854" ht="15.75" customHeight="1" s="230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0">
        <f>IF(AND('Master Stock'!D854&lt;&gt;"",'Master Stock'!H854="OCCUPIED",'Master Stock'!J854&lt;&gt;"",'Master Stock'!K854=""),COUNT($U$1:U853)+1,"")</f>
        <v/>
      </c>
      <c r="V854" s="0">
        <f>IF(AND('Master Stock'!D854&lt;&gt;"",'Master Stock'!L854&lt;&gt;"",'Master Stock'!L854&lt;TODAY()-30),COUNT($V$1:V853)+1,"")</f>
        <v/>
      </c>
    </row>
    <row r="855" ht="15.75" customHeight="1" s="230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0">
        <f>IF(AND('Master Stock'!D855&lt;&gt;"",'Master Stock'!H855="OCCUPIED",'Master Stock'!J855&lt;&gt;"",'Master Stock'!K855=""),COUNT($U$1:U854)+1,"")</f>
        <v/>
      </c>
      <c r="V855" s="0">
        <f>IF(AND('Master Stock'!D855&lt;&gt;"",'Master Stock'!L855&lt;&gt;"",'Master Stock'!L855&lt;TODAY()-30),COUNT($V$1:V854)+1,"")</f>
        <v/>
      </c>
    </row>
    <row r="856" ht="15.75" customHeight="1" s="230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0">
        <f>IF(AND('Master Stock'!D856&lt;&gt;"",'Master Stock'!H856="OCCUPIED",'Master Stock'!J856&lt;&gt;"",'Master Stock'!K856=""),COUNT($U$1:U855)+1,"")</f>
        <v/>
      </c>
      <c r="V856" s="0">
        <f>IF(AND('Master Stock'!D856&lt;&gt;"",'Master Stock'!L856&lt;&gt;"",'Master Stock'!L856&lt;TODAY()-30),COUNT($V$1:V855)+1,"")</f>
        <v/>
      </c>
    </row>
    <row r="857" ht="15.75" customHeight="1" s="230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0">
        <f>IF(AND('Master Stock'!D857&lt;&gt;"",'Master Stock'!H857="OCCUPIED",'Master Stock'!J857&lt;&gt;"",'Master Stock'!K857=""),COUNT($U$1:U856)+1,"")</f>
        <v/>
      </c>
      <c r="V857" s="0">
        <f>IF(AND('Master Stock'!D857&lt;&gt;"",'Master Stock'!L857&lt;&gt;"",'Master Stock'!L857&lt;TODAY()-30),COUNT($V$1:V856)+1,"")</f>
        <v/>
      </c>
    </row>
    <row r="858" ht="15.75" customHeight="1" s="230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0">
        <f>IF(AND('Master Stock'!D858&lt;&gt;"",'Master Stock'!H858="OCCUPIED",'Master Stock'!J858&lt;&gt;"",'Master Stock'!K858=""),COUNT($U$1:U857)+1,"")</f>
        <v/>
      </c>
      <c r="V858" s="0">
        <f>IF(AND('Master Stock'!D858&lt;&gt;"",'Master Stock'!L858&lt;&gt;"",'Master Stock'!L858&lt;TODAY()-30),COUNT($V$1:V857)+1,"")</f>
        <v/>
      </c>
    </row>
    <row r="859" ht="15.75" customHeight="1" s="230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0">
        <f>IF(AND('Master Stock'!D859&lt;&gt;"",'Master Stock'!H859="OCCUPIED",'Master Stock'!J859&lt;&gt;"",'Master Stock'!K859=""),COUNT($U$1:U858)+1,"")</f>
        <v/>
      </c>
      <c r="V859" s="0">
        <f>IF(AND('Master Stock'!D859&lt;&gt;"",'Master Stock'!L859&lt;&gt;"",'Master Stock'!L859&lt;TODAY()-30),COUNT($V$1:V858)+1,"")</f>
        <v/>
      </c>
    </row>
    <row r="860" ht="15.75" customHeight="1" s="23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0">
        <f>IF(AND('Master Stock'!D860&lt;&gt;"",'Master Stock'!H860="OCCUPIED",'Master Stock'!J860&lt;&gt;"",'Master Stock'!K860=""),COUNT($U$1:U859)+1,"")</f>
        <v/>
      </c>
      <c r="V860" s="0">
        <f>IF(AND('Master Stock'!D860&lt;&gt;"",'Master Stock'!L860&lt;&gt;"",'Master Stock'!L860&lt;TODAY()-30),COUNT($V$1:V859)+1,"")</f>
        <v/>
      </c>
    </row>
    <row r="861" ht="15.75" customHeight="1" s="230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0">
        <f>IF(AND('Master Stock'!D861&lt;&gt;"",'Master Stock'!H861="OCCUPIED",'Master Stock'!J861&lt;&gt;"",'Master Stock'!K861=""),COUNT($U$1:U860)+1,"")</f>
        <v/>
      </c>
      <c r="V861" s="0">
        <f>IF(AND('Master Stock'!D861&lt;&gt;"",'Master Stock'!L861&lt;&gt;"",'Master Stock'!L861&lt;TODAY()-30),COUNT($V$1:V860)+1,"")</f>
        <v/>
      </c>
    </row>
    <row r="862" ht="15.75" customHeight="1" s="230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0">
        <f>IF(AND('Master Stock'!D862&lt;&gt;"",'Master Stock'!H862="OCCUPIED",'Master Stock'!J862&lt;&gt;"",'Master Stock'!K862=""),COUNT($U$1:U861)+1,"")</f>
        <v/>
      </c>
      <c r="V862" s="0">
        <f>IF(AND('Master Stock'!D862&lt;&gt;"",'Master Stock'!L862&lt;&gt;"",'Master Stock'!L862&lt;TODAY()-30),COUNT($V$1:V861)+1,"")</f>
        <v/>
      </c>
    </row>
    <row r="863" ht="15.75" customHeight="1" s="230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0">
        <f>IF(AND('Master Stock'!D863&lt;&gt;"",'Master Stock'!H863="OCCUPIED",'Master Stock'!J863&lt;&gt;"",'Master Stock'!K863=""),COUNT($U$1:U862)+1,"")</f>
        <v/>
      </c>
      <c r="V863" s="0">
        <f>IF(AND('Master Stock'!D863&lt;&gt;"",'Master Stock'!L863&lt;&gt;"",'Master Stock'!L863&lt;TODAY()-30),COUNT($V$1:V862)+1,"")</f>
        <v/>
      </c>
    </row>
    <row r="864" ht="15.75" customHeight="1" s="230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0">
        <f>IF(AND('Master Stock'!D864&lt;&gt;"",'Master Stock'!H864="OCCUPIED",'Master Stock'!J864&lt;&gt;"",'Master Stock'!K864=""),COUNT($U$1:U863)+1,"")</f>
        <v/>
      </c>
      <c r="V864" s="0">
        <f>IF(AND('Master Stock'!D864&lt;&gt;"",'Master Stock'!L864&lt;&gt;"",'Master Stock'!L864&lt;TODAY()-30),COUNT($V$1:V863)+1,"")</f>
        <v/>
      </c>
    </row>
    <row r="865" ht="15.75" customHeight="1" s="230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0">
        <f>IF(AND('Master Stock'!D865&lt;&gt;"",'Master Stock'!H865="OCCUPIED",'Master Stock'!J865&lt;&gt;"",'Master Stock'!K865=""),COUNT($U$1:U864)+1,"")</f>
        <v/>
      </c>
      <c r="V865" s="0">
        <f>IF(AND('Master Stock'!D865&lt;&gt;"",'Master Stock'!L865&lt;&gt;"",'Master Stock'!L865&lt;TODAY()-30),COUNT($V$1:V864)+1,"")</f>
        <v/>
      </c>
    </row>
    <row r="866" ht="15.75" customHeight="1" s="230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0">
        <f>IF(AND('Master Stock'!D866&lt;&gt;"",'Master Stock'!H866="OCCUPIED",'Master Stock'!J866&lt;&gt;"",'Master Stock'!K866=""),COUNT($U$1:U865)+1,"")</f>
        <v/>
      </c>
      <c r="V866" s="0">
        <f>IF(AND('Master Stock'!D866&lt;&gt;"",'Master Stock'!L866&lt;&gt;"",'Master Stock'!L866&lt;TODAY()-30),COUNT($V$1:V865)+1,"")</f>
        <v/>
      </c>
    </row>
    <row r="867" ht="15.75" customHeight="1" s="230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0">
        <f>IF(AND('Master Stock'!D867&lt;&gt;"",'Master Stock'!H867="OCCUPIED",'Master Stock'!J867&lt;&gt;"",'Master Stock'!K867=""),COUNT($U$1:U866)+1,"")</f>
        <v/>
      </c>
      <c r="V867" s="0">
        <f>IF(AND('Master Stock'!D867&lt;&gt;"",'Master Stock'!L867&lt;&gt;"",'Master Stock'!L867&lt;TODAY()-30),COUNT($V$1:V866)+1,"")</f>
        <v/>
      </c>
    </row>
    <row r="868" ht="15.75" customHeight="1" s="230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0">
        <f>IF(AND('Master Stock'!D868&lt;&gt;"",'Master Stock'!H868="OCCUPIED",'Master Stock'!J868&lt;&gt;"",'Master Stock'!K868=""),COUNT($U$1:U867)+1,"")</f>
        <v/>
      </c>
      <c r="V868" s="0">
        <f>IF(AND('Master Stock'!D868&lt;&gt;"",'Master Stock'!L868&lt;&gt;"",'Master Stock'!L868&lt;TODAY()-30),COUNT($V$1:V867)+1,"")</f>
        <v/>
      </c>
    </row>
    <row r="869" ht="15.75" customHeight="1" s="230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0">
        <f>IF(AND('Master Stock'!D869&lt;&gt;"",'Master Stock'!H869="OCCUPIED",'Master Stock'!J869&lt;&gt;"",'Master Stock'!K869=""),COUNT($U$1:U868)+1,"")</f>
        <v/>
      </c>
      <c r="V869" s="0">
        <f>IF(AND('Master Stock'!D869&lt;&gt;"",'Master Stock'!L869&lt;&gt;"",'Master Stock'!L869&lt;TODAY()-30),COUNT($V$1:V868)+1,"")</f>
        <v/>
      </c>
    </row>
    <row r="870" ht="15.75" customHeight="1" s="23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0">
        <f>IF(AND('Master Stock'!D870&lt;&gt;"",'Master Stock'!H870="OCCUPIED",'Master Stock'!J870&lt;&gt;"",'Master Stock'!K870=""),COUNT($U$1:U869)+1,"")</f>
        <v/>
      </c>
      <c r="V870" s="0">
        <f>IF(AND('Master Stock'!D870&lt;&gt;"",'Master Stock'!L870&lt;&gt;"",'Master Stock'!L870&lt;TODAY()-30),COUNT($V$1:V869)+1,"")</f>
        <v/>
      </c>
    </row>
    <row r="871" ht="15.75" customHeight="1" s="230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0">
        <f>IF(AND('Master Stock'!D871&lt;&gt;"",'Master Stock'!H871="OCCUPIED",'Master Stock'!J871&lt;&gt;"",'Master Stock'!K871=""),COUNT($U$1:U870)+1,"")</f>
        <v/>
      </c>
      <c r="V871" s="0">
        <f>IF(AND('Master Stock'!D871&lt;&gt;"",'Master Stock'!L871&lt;&gt;"",'Master Stock'!L871&lt;TODAY()-30),COUNT($V$1:V870)+1,"")</f>
        <v/>
      </c>
    </row>
    <row r="872" ht="15.75" customHeight="1" s="230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0">
        <f>IF(AND('Master Stock'!D872&lt;&gt;"",'Master Stock'!H872="OCCUPIED",'Master Stock'!J872&lt;&gt;"",'Master Stock'!K872=""),COUNT($U$1:U871)+1,"")</f>
        <v/>
      </c>
      <c r="V872" s="0">
        <f>IF(AND('Master Stock'!D872&lt;&gt;"",'Master Stock'!L872&lt;&gt;"",'Master Stock'!L872&lt;TODAY()-30),COUNT($V$1:V871)+1,"")</f>
        <v/>
      </c>
    </row>
    <row r="873" ht="15.75" customHeight="1" s="230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0">
        <f>IF(AND('Master Stock'!D873&lt;&gt;"",'Master Stock'!H873="OCCUPIED",'Master Stock'!J873&lt;&gt;"",'Master Stock'!K873=""),COUNT($U$1:U872)+1,"")</f>
        <v/>
      </c>
      <c r="V873" s="0">
        <f>IF(AND('Master Stock'!D873&lt;&gt;"",'Master Stock'!L873&lt;&gt;"",'Master Stock'!L873&lt;TODAY()-30),COUNT($V$1:V872)+1,"")</f>
        <v/>
      </c>
    </row>
    <row r="874" ht="15.75" customHeight="1" s="230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0">
        <f>IF(AND('Master Stock'!D874&lt;&gt;"",'Master Stock'!H874="OCCUPIED",'Master Stock'!J874&lt;&gt;"",'Master Stock'!K874=""),COUNT($U$1:U873)+1,"")</f>
        <v/>
      </c>
      <c r="V874" s="0">
        <f>IF(AND('Master Stock'!D874&lt;&gt;"",'Master Stock'!L874&lt;&gt;"",'Master Stock'!L874&lt;TODAY()-30),COUNT($V$1:V873)+1,"")</f>
        <v/>
      </c>
    </row>
    <row r="875" ht="15.75" customHeight="1" s="230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0">
        <f>IF(AND('Master Stock'!D875&lt;&gt;"",'Master Stock'!H875="OCCUPIED",'Master Stock'!J875&lt;&gt;"",'Master Stock'!K875=""),COUNT($U$1:U874)+1,"")</f>
        <v/>
      </c>
      <c r="V875" s="0">
        <f>IF(AND('Master Stock'!D875&lt;&gt;"",'Master Stock'!L875&lt;&gt;"",'Master Stock'!L875&lt;TODAY()-30),COUNT($V$1:V874)+1,"")</f>
        <v/>
      </c>
    </row>
    <row r="876" ht="15.75" customHeight="1" s="230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0">
        <f>IF(AND('Master Stock'!D876&lt;&gt;"",'Master Stock'!H876="OCCUPIED",'Master Stock'!J876&lt;&gt;"",'Master Stock'!K876=""),COUNT($U$1:U875)+1,"")</f>
        <v/>
      </c>
      <c r="V876" s="0">
        <f>IF(AND('Master Stock'!D876&lt;&gt;"",'Master Stock'!L876&lt;&gt;"",'Master Stock'!L876&lt;TODAY()-30),COUNT($V$1:V875)+1,"")</f>
        <v/>
      </c>
    </row>
    <row r="877" ht="15.75" customHeight="1" s="230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0">
        <f>IF(AND('Master Stock'!D877&lt;&gt;"",'Master Stock'!H877="OCCUPIED",'Master Stock'!J877&lt;&gt;"",'Master Stock'!K877=""),COUNT($U$1:U876)+1,"")</f>
        <v/>
      </c>
      <c r="V877" s="0">
        <f>IF(AND('Master Stock'!D877&lt;&gt;"",'Master Stock'!L877&lt;&gt;"",'Master Stock'!L877&lt;TODAY()-30),COUNT($V$1:V876)+1,"")</f>
        <v/>
      </c>
    </row>
    <row r="878" ht="15.75" customHeight="1" s="230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0">
        <f>IF(AND('Master Stock'!D878&lt;&gt;"",'Master Stock'!H878="OCCUPIED",'Master Stock'!J878&lt;&gt;"",'Master Stock'!K878=""),COUNT($U$1:U877)+1,"")</f>
        <v/>
      </c>
      <c r="V878" s="0">
        <f>IF(AND('Master Stock'!D878&lt;&gt;"",'Master Stock'!L878&lt;&gt;"",'Master Stock'!L878&lt;TODAY()-30),COUNT($V$1:V877)+1,"")</f>
        <v/>
      </c>
    </row>
    <row r="879" ht="15.75" customHeight="1" s="230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0">
        <f>IF(AND('Master Stock'!D879&lt;&gt;"",'Master Stock'!H879="OCCUPIED",'Master Stock'!J879&lt;&gt;"",'Master Stock'!K879=""),COUNT($U$1:U878)+1,"")</f>
        <v/>
      </c>
      <c r="V879" s="0">
        <f>IF(AND('Master Stock'!D879&lt;&gt;"",'Master Stock'!L879&lt;&gt;"",'Master Stock'!L879&lt;TODAY()-30),COUNT($V$1:V878)+1,"")</f>
        <v/>
      </c>
    </row>
    <row r="880" ht="15.75" customHeight="1" s="23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0">
        <f>IF(AND('Master Stock'!D880&lt;&gt;"",'Master Stock'!H880="OCCUPIED",'Master Stock'!J880&lt;&gt;"",'Master Stock'!K880=""),COUNT($U$1:U879)+1,"")</f>
        <v/>
      </c>
      <c r="V880" s="0">
        <f>IF(AND('Master Stock'!D880&lt;&gt;"",'Master Stock'!L880&lt;&gt;"",'Master Stock'!L880&lt;TODAY()-30),COUNT($V$1:V879)+1,"")</f>
        <v/>
      </c>
    </row>
    <row r="881" ht="15.75" customHeight="1" s="230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0">
        <f>IF(AND('Master Stock'!D881&lt;&gt;"",'Master Stock'!H881="OCCUPIED",'Master Stock'!J881&lt;&gt;"",'Master Stock'!K881=""),COUNT($U$1:U880)+1,"")</f>
        <v/>
      </c>
      <c r="V881" s="0">
        <f>IF(AND('Master Stock'!D881&lt;&gt;"",'Master Stock'!L881&lt;&gt;"",'Master Stock'!L881&lt;TODAY()-30),COUNT($V$1:V880)+1,"")</f>
        <v/>
      </c>
    </row>
    <row r="882" ht="15.75" customHeight="1" s="230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0">
        <f>IF(AND('Master Stock'!D882&lt;&gt;"",'Master Stock'!H882="OCCUPIED",'Master Stock'!J882&lt;&gt;"",'Master Stock'!K882=""),COUNT($U$1:U881)+1,"")</f>
        <v/>
      </c>
      <c r="V882" s="0">
        <f>IF(AND('Master Stock'!D882&lt;&gt;"",'Master Stock'!L882&lt;&gt;"",'Master Stock'!L882&lt;TODAY()-30),COUNT($V$1:V881)+1,"")</f>
        <v/>
      </c>
    </row>
    <row r="883" ht="15.75" customHeight="1" s="230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0">
        <f>IF(AND('Master Stock'!D883&lt;&gt;"",'Master Stock'!H883="OCCUPIED",'Master Stock'!J883&lt;&gt;"",'Master Stock'!K883=""),COUNT($U$1:U882)+1,"")</f>
        <v/>
      </c>
      <c r="V883" s="0">
        <f>IF(AND('Master Stock'!D883&lt;&gt;"",'Master Stock'!L883&lt;&gt;"",'Master Stock'!L883&lt;TODAY()-30),COUNT($V$1:V882)+1,"")</f>
        <v/>
      </c>
    </row>
    <row r="884" ht="15.75" customHeight="1" s="230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0">
        <f>IF(AND('Master Stock'!D884&lt;&gt;"",'Master Stock'!H884="OCCUPIED",'Master Stock'!J884&lt;&gt;"",'Master Stock'!K884=""),COUNT($U$1:U883)+1,"")</f>
        <v/>
      </c>
      <c r="V884" s="0">
        <f>IF(AND('Master Stock'!D884&lt;&gt;"",'Master Stock'!L884&lt;&gt;"",'Master Stock'!L884&lt;TODAY()-30),COUNT($V$1:V883)+1,"")</f>
        <v/>
      </c>
    </row>
    <row r="885" ht="15.75" customHeight="1" s="230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0">
        <f>IF(AND('Master Stock'!D885&lt;&gt;"",'Master Stock'!H885="OCCUPIED",'Master Stock'!J885&lt;&gt;"",'Master Stock'!K885=""),COUNT($U$1:U884)+1,"")</f>
        <v/>
      </c>
      <c r="V885" s="0">
        <f>IF(AND('Master Stock'!D885&lt;&gt;"",'Master Stock'!L885&lt;&gt;"",'Master Stock'!L885&lt;TODAY()-30),COUNT($V$1:V884)+1,"")</f>
        <v/>
      </c>
    </row>
    <row r="886" ht="15.75" customHeight="1" s="230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0">
        <f>IF(AND('Master Stock'!D886&lt;&gt;"",'Master Stock'!H886="OCCUPIED",'Master Stock'!J886&lt;&gt;"",'Master Stock'!K886=""),COUNT($U$1:U885)+1,"")</f>
        <v/>
      </c>
      <c r="V886" s="0">
        <f>IF(AND('Master Stock'!D886&lt;&gt;"",'Master Stock'!L886&lt;&gt;"",'Master Stock'!L886&lt;TODAY()-30),COUNT($V$1:V885)+1,"")</f>
        <v/>
      </c>
    </row>
    <row r="887" ht="15.75" customHeight="1" s="230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0">
        <f>IF(AND('Master Stock'!D887&lt;&gt;"",'Master Stock'!H887="OCCUPIED",'Master Stock'!J887&lt;&gt;"",'Master Stock'!K887=""),COUNT($U$1:U886)+1,"")</f>
        <v/>
      </c>
      <c r="V887" s="0">
        <f>IF(AND('Master Stock'!D887&lt;&gt;"",'Master Stock'!L887&lt;&gt;"",'Master Stock'!L887&lt;TODAY()-30),COUNT($V$1:V886)+1,"")</f>
        <v/>
      </c>
    </row>
    <row r="888" ht="15.75" customHeight="1" s="230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0">
        <f>IF(AND('Master Stock'!D888&lt;&gt;"",'Master Stock'!H888="OCCUPIED",'Master Stock'!J888&lt;&gt;"",'Master Stock'!K888=""),COUNT($U$1:U887)+1,"")</f>
        <v/>
      </c>
      <c r="V888" s="0">
        <f>IF(AND('Master Stock'!D888&lt;&gt;"",'Master Stock'!L888&lt;&gt;"",'Master Stock'!L888&lt;TODAY()-30),COUNT($V$1:V887)+1,"")</f>
        <v/>
      </c>
    </row>
    <row r="889" ht="15.75" customHeight="1" s="230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0">
        <f>IF(AND('Master Stock'!D889&lt;&gt;"",'Master Stock'!H889="OCCUPIED",'Master Stock'!J889&lt;&gt;"",'Master Stock'!K889=""),COUNT($U$1:U888)+1,"")</f>
        <v/>
      </c>
      <c r="V889" s="0">
        <f>IF(AND('Master Stock'!D889&lt;&gt;"",'Master Stock'!L889&lt;&gt;"",'Master Stock'!L889&lt;TODAY()-30),COUNT($V$1:V888)+1,"")</f>
        <v/>
      </c>
    </row>
    <row r="890" ht="15.75" customHeight="1" s="23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0">
        <f>IF(AND('Master Stock'!D890&lt;&gt;"",'Master Stock'!H890="OCCUPIED",'Master Stock'!J890&lt;&gt;"",'Master Stock'!K890=""),COUNT($U$1:U889)+1,"")</f>
        <v/>
      </c>
      <c r="V890" s="0">
        <f>IF(AND('Master Stock'!D890&lt;&gt;"",'Master Stock'!L890&lt;&gt;"",'Master Stock'!L890&lt;TODAY()-30),COUNT($V$1:V889)+1,"")</f>
        <v/>
      </c>
    </row>
    <row r="891" ht="15.75" customHeight="1" s="230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0">
        <f>IF(AND('Master Stock'!D891&lt;&gt;"",'Master Stock'!H891="OCCUPIED",'Master Stock'!J891&lt;&gt;"",'Master Stock'!K891=""),COUNT($U$1:U890)+1,"")</f>
        <v/>
      </c>
      <c r="V891" s="0">
        <f>IF(AND('Master Stock'!D891&lt;&gt;"",'Master Stock'!L891&lt;&gt;"",'Master Stock'!L891&lt;TODAY()-30),COUNT($V$1:V890)+1,"")</f>
        <v/>
      </c>
    </row>
    <row r="892" ht="15.75" customHeight="1" s="230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0">
        <f>IF(AND('Master Stock'!D892&lt;&gt;"",'Master Stock'!H892="OCCUPIED",'Master Stock'!J892&lt;&gt;"",'Master Stock'!K892=""),COUNT($U$1:U891)+1,"")</f>
        <v/>
      </c>
      <c r="V892" s="0">
        <f>IF(AND('Master Stock'!D892&lt;&gt;"",'Master Stock'!L892&lt;&gt;"",'Master Stock'!L892&lt;TODAY()-30),COUNT($V$1:V891)+1,"")</f>
        <v/>
      </c>
    </row>
    <row r="893" ht="15.75" customHeight="1" s="230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0">
        <f>IF(AND('Master Stock'!D893&lt;&gt;"",'Master Stock'!H893="OCCUPIED",'Master Stock'!J893&lt;&gt;"",'Master Stock'!K893=""),COUNT($U$1:U892)+1,"")</f>
        <v/>
      </c>
      <c r="V893" s="0">
        <f>IF(AND('Master Stock'!D893&lt;&gt;"",'Master Stock'!L893&lt;&gt;"",'Master Stock'!L893&lt;TODAY()-30),COUNT($V$1:V892)+1,"")</f>
        <v/>
      </c>
    </row>
    <row r="894" ht="15.75" customHeight="1" s="230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0">
        <f>IF(AND('Master Stock'!D894&lt;&gt;"",'Master Stock'!H894="OCCUPIED",'Master Stock'!J894&lt;&gt;"",'Master Stock'!K894=""),COUNT($U$1:U893)+1,"")</f>
        <v/>
      </c>
      <c r="V894" s="0">
        <f>IF(AND('Master Stock'!D894&lt;&gt;"",'Master Stock'!L894&lt;&gt;"",'Master Stock'!L894&lt;TODAY()-30),COUNT($V$1:V893)+1,"")</f>
        <v/>
      </c>
    </row>
    <row r="895" ht="15.75" customHeight="1" s="230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0">
        <f>IF(AND('Master Stock'!D895&lt;&gt;"",'Master Stock'!H895="OCCUPIED",'Master Stock'!J895&lt;&gt;"",'Master Stock'!K895=""),COUNT($U$1:U894)+1,"")</f>
        <v/>
      </c>
      <c r="V895" s="0">
        <f>IF(AND('Master Stock'!D895&lt;&gt;"",'Master Stock'!L895&lt;&gt;"",'Master Stock'!L895&lt;TODAY()-30),COUNT($V$1:V894)+1,"")</f>
        <v/>
      </c>
    </row>
    <row r="896" ht="15.75" customHeight="1" s="230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0">
        <f>IF(AND('Master Stock'!D896&lt;&gt;"",'Master Stock'!H896="OCCUPIED",'Master Stock'!J896&lt;&gt;"",'Master Stock'!K896=""),COUNT($U$1:U895)+1,"")</f>
        <v/>
      </c>
      <c r="V896" s="0">
        <f>IF(AND('Master Stock'!D896&lt;&gt;"",'Master Stock'!L896&lt;&gt;"",'Master Stock'!L896&lt;TODAY()-30),COUNT($V$1:V895)+1,"")</f>
        <v/>
      </c>
    </row>
    <row r="897" ht="15.75" customHeight="1" s="230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0">
        <f>IF(AND('Master Stock'!D897&lt;&gt;"",'Master Stock'!H897="OCCUPIED",'Master Stock'!J897&lt;&gt;"",'Master Stock'!K897=""),COUNT($U$1:U896)+1,"")</f>
        <v/>
      </c>
      <c r="V897" s="0">
        <f>IF(AND('Master Stock'!D897&lt;&gt;"",'Master Stock'!L897&lt;&gt;"",'Master Stock'!L897&lt;TODAY()-30),COUNT($V$1:V896)+1,"")</f>
        <v/>
      </c>
    </row>
    <row r="898" ht="15.75" customHeight="1" s="230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0">
        <f>IF(AND('Master Stock'!D898&lt;&gt;"",'Master Stock'!H898="OCCUPIED",'Master Stock'!J898&lt;&gt;"",'Master Stock'!K898=""),COUNT($U$1:U897)+1,"")</f>
        <v/>
      </c>
      <c r="V898" s="0">
        <f>IF(AND('Master Stock'!D898&lt;&gt;"",'Master Stock'!L898&lt;&gt;"",'Master Stock'!L898&lt;TODAY()-30),COUNT($V$1:V897)+1,"")</f>
        <v/>
      </c>
    </row>
    <row r="899" ht="15.75" customHeight="1" s="230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0">
        <f>IF(AND('Master Stock'!D899&lt;&gt;"",'Master Stock'!H899="OCCUPIED",'Master Stock'!J899&lt;&gt;"",'Master Stock'!K899=""),COUNT($U$1:U898)+1,"")</f>
        <v/>
      </c>
      <c r="V899" s="0">
        <f>IF(AND('Master Stock'!D899&lt;&gt;"",'Master Stock'!L899&lt;&gt;"",'Master Stock'!L899&lt;TODAY()-30),COUNT($V$1:V898)+1,"")</f>
        <v/>
      </c>
    </row>
    <row r="900" ht="15.75" customHeight="1" s="23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0">
        <f>IF(AND('Master Stock'!D900&lt;&gt;"",'Master Stock'!H900="OCCUPIED",'Master Stock'!J900&lt;&gt;"",'Master Stock'!K900=""),COUNT($U$1:U899)+1,"")</f>
        <v/>
      </c>
      <c r="V900" s="0">
        <f>IF(AND('Master Stock'!D900&lt;&gt;"",'Master Stock'!L900&lt;&gt;"",'Master Stock'!L900&lt;TODAY()-30),COUNT($V$1:V899)+1,"")</f>
        <v/>
      </c>
    </row>
    <row r="901" ht="15.75" customHeight="1" s="230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0">
        <f>IF(AND('Master Stock'!D901&lt;&gt;"",'Master Stock'!H901="OCCUPIED",'Master Stock'!J901&lt;&gt;"",'Master Stock'!K901=""),COUNT($U$1:U900)+1,"")</f>
        <v/>
      </c>
      <c r="V901" s="0">
        <f>IF(AND('Master Stock'!D901&lt;&gt;"",'Master Stock'!L901&lt;&gt;"",'Master Stock'!L901&lt;TODAY()-30),COUNT($V$1:V900)+1,"")</f>
        <v/>
      </c>
    </row>
    <row r="902" ht="15.75" customHeight="1" s="230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0">
        <f>IF(AND('Master Stock'!D902&lt;&gt;"",'Master Stock'!H902="OCCUPIED",'Master Stock'!J902&lt;&gt;"",'Master Stock'!K902=""),COUNT($U$1:U901)+1,"")</f>
        <v/>
      </c>
      <c r="V902" s="0">
        <f>IF(AND('Master Stock'!D902&lt;&gt;"",'Master Stock'!L902&lt;&gt;"",'Master Stock'!L902&lt;TODAY()-30),COUNT($V$1:V901)+1,"")</f>
        <v/>
      </c>
    </row>
    <row r="903" ht="15.75" customHeight="1" s="230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0">
        <f>IF(AND('Master Stock'!D903&lt;&gt;"",'Master Stock'!H903="OCCUPIED",'Master Stock'!J903&lt;&gt;"",'Master Stock'!K903=""),COUNT($U$1:U902)+1,"")</f>
        <v/>
      </c>
      <c r="V903" s="0">
        <f>IF(AND('Master Stock'!D903&lt;&gt;"",'Master Stock'!L903&lt;&gt;"",'Master Stock'!L903&lt;TODAY()-30),COUNT($V$1:V902)+1,"")</f>
        <v/>
      </c>
    </row>
    <row r="904" ht="15.75" customHeight="1" s="230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0">
        <f>IF(AND('Master Stock'!D904&lt;&gt;"",'Master Stock'!H904="OCCUPIED",'Master Stock'!J904&lt;&gt;"",'Master Stock'!K904=""),COUNT($U$1:U903)+1,"")</f>
        <v/>
      </c>
      <c r="V904" s="0">
        <f>IF(AND('Master Stock'!D904&lt;&gt;"",'Master Stock'!L904&lt;&gt;"",'Master Stock'!L904&lt;TODAY()-30),COUNT($V$1:V903)+1,"")</f>
        <v/>
      </c>
    </row>
    <row r="905" ht="15.75" customHeight="1" s="230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0">
        <f>IF(AND('Master Stock'!D905&lt;&gt;"",'Master Stock'!H905="OCCUPIED",'Master Stock'!J905&lt;&gt;"",'Master Stock'!K905=""),COUNT($U$1:U904)+1,"")</f>
        <v/>
      </c>
      <c r="V905" s="0">
        <f>IF(AND('Master Stock'!D905&lt;&gt;"",'Master Stock'!L905&lt;&gt;"",'Master Stock'!L905&lt;TODAY()-30),COUNT($V$1:V904)+1,"")</f>
        <v/>
      </c>
    </row>
    <row r="906" ht="15.75" customHeight="1" s="230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0">
        <f>IF(AND('Master Stock'!D906&lt;&gt;"",'Master Stock'!H906="OCCUPIED",'Master Stock'!J906&lt;&gt;"",'Master Stock'!K906=""),COUNT($U$1:U905)+1,"")</f>
        <v/>
      </c>
      <c r="V906" s="0">
        <f>IF(AND('Master Stock'!D906&lt;&gt;"",'Master Stock'!L906&lt;&gt;"",'Master Stock'!L906&lt;TODAY()-30),COUNT($V$1:V905)+1,"")</f>
        <v/>
      </c>
    </row>
    <row r="907" ht="15.75" customHeight="1" s="230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0">
        <f>IF(AND('Master Stock'!D907&lt;&gt;"",'Master Stock'!H907="OCCUPIED",'Master Stock'!J907&lt;&gt;"",'Master Stock'!K907=""),COUNT($U$1:U906)+1,"")</f>
        <v/>
      </c>
      <c r="V907" s="0">
        <f>IF(AND('Master Stock'!D907&lt;&gt;"",'Master Stock'!L907&lt;&gt;"",'Master Stock'!L907&lt;TODAY()-30),COUNT($V$1:V906)+1,"")</f>
        <v/>
      </c>
    </row>
    <row r="908" ht="15.75" customHeight="1" s="230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0">
        <f>IF(AND('Master Stock'!D908&lt;&gt;"",'Master Stock'!H908="OCCUPIED",'Master Stock'!J908&lt;&gt;"",'Master Stock'!K908=""),COUNT($U$1:U907)+1,"")</f>
        <v/>
      </c>
      <c r="V908" s="0">
        <f>IF(AND('Master Stock'!D908&lt;&gt;"",'Master Stock'!L908&lt;&gt;"",'Master Stock'!L908&lt;TODAY()-30),COUNT($V$1:V907)+1,"")</f>
        <v/>
      </c>
    </row>
    <row r="909" ht="15.75" customHeight="1" s="230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0">
        <f>IF(AND('Master Stock'!D909&lt;&gt;"",'Master Stock'!H909="OCCUPIED",'Master Stock'!J909&lt;&gt;"",'Master Stock'!K909=""),COUNT($U$1:U908)+1,"")</f>
        <v/>
      </c>
      <c r="V909" s="0">
        <f>IF(AND('Master Stock'!D909&lt;&gt;"",'Master Stock'!L909&lt;&gt;"",'Master Stock'!L909&lt;TODAY()-30),COUNT($V$1:V908)+1,"")</f>
        <v/>
      </c>
    </row>
    <row r="910" ht="15.75" customHeight="1" s="23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0">
        <f>IF(AND('Master Stock'!D910&lt;&gt;"",'Master Stock'!H910="OCCUPIED",'Master Stock'!J910&lt;&gt;"",'Master Stock'!K910=""),COUNT($U$1:U909)+1,"")</f>
        <v/>
      </c>
      <c r="V910" s="0">
        <f>IF(AND('Master Stock'!D910&lt;&gt;"",'Master Stock'!L910&lt;&gt;"",'Master Stock'!L910&lt;TODAY()-30),COUNT($V$1:V909)+1,"")</f>
        <v/>
      </c>
    </row>
    <row r="911" ht="15.75" customHeight="1" s="230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0">
        <f>IF(AND('Master Stock'!D911&lt;&gt;"",'Master Stock'!H911="OCCUPIED",'Master Stock'!J911&lt;&gt;"",'Master Stock'!K911=""),COUNT($U$1:U910)+1,"")</f>
        <v/>
      </c>
      <c r="V911" s="0">
        <f>IF(AND('Master Stock'!D911&lt;&gt;"",'Master Stock'!L911&lt;&gt;"",'Master Stock'!L911&lt;TODAY()-30),COUNT($V$1:V910)+1,"")</f>
        <v/>
      </c>
    </row>
    <row r="912" ht="15.75" customHeight="1" s="230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0">
        <f>IF(AND('Master Stock'!D912&lt;&gt;"",'Master Stock'!H912="OCCUPIED",'Master Stock'!J912&lt;&gt;"",'Master Stock'!K912=""),COUNT($U$1:U911)+1,"")</f>
        <v/>
      </c>
      <c r="V912" s="0">
        <f>IF(AND('Master Stock'!D912&lt;&gt;"",'Master Stock'!L912&lt;&gt;"",'Master Stock'!L912&lt;TODAY()-30),COUNT($V$1:V911)+1,"")</f>
        <v/>
      </c>
    </row>
    <row r="913" ht="15.75" customHeight="1" s="230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0">
        <f>IF(AND('Master Stock'!D913&lt;&gt;"",'Master Stock'!H913="OCCUPIED",'Master Stock'!J913&lt;&gt;"",'Master Stock'!K913=""),COUNT($U$1:U912)+1,"")</f>
        <v/>
      </c>
      <c r="V913" s="0">
        <f>IF(AND('Master Stock'!D913&lt;&gt;"",'Master Stock'!L913&lt;&gt;"",'Master Stock'!L913&lt;TODAY()-30),COUNT($V$1:V912)+1,"")</f>
        <v/>
      </c>
    </row>
    <row r="914" ht="15.75" customHeight="1" s="230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0">
        <f>IF(AND('Master Stock'!D914&lt;&gt;"",'Master Stock'!H914="OCCUPIED",'Master Stock'!J914&lt;&gt;"",'Master Stock'!K914=""),COUNT($U$1:U913)+1,"")</f>
        <v/>
      </c>
      <c r="V914" s="0">
        <f>IF(AND('Master Stock'!D914&lt;&gt;"",'Master Stock'!L914&lt;&gt;"",'Master Stock'!L914&lt;TODAY()-30),COUNT($V$1:V913)+1,"")</f>
        <v/>
      </c>
    </row>
    <row r="915" ht="15.75" customHeight="1" s="230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0">
        <f>IF(AND('Master Stock'!D915&lt;&gt;"",'Master Stock'!H915="OCCUPIED",'Master Stock'!J915&lt;&gt;"",'Master Stock'!K915=""),COUNT($U$1:U914)+1,"")</f>
        <v/>
      </c>
      <c r="V915" s="0">
        <f>IF(AND('Master Stock'!D915&lt;&gt;"",'Master Stock'!L915&lt;&gt;"",'Master Stock'!L915&lt;TODAY()-30),COUNT($V$1:V914)+1,"")</f>
        <v/>
      </c>
    </row>
    <row r="916" ht="15.75" customHeight="1" s="230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0">
        <f>IF(AND('Master Stock'!D916&lt;&gt;"",'Master Stock'!H916="OCCUPIED",'Master Stock'!J916&lt;&gt;"",'Master Stock'!K916=""),COUNT($U$1:U915)+1,"")</f>
        <v/>
      </c>
      <c r="V916" s="0">
        <f>IF(AND('Master Stock'!D916&lt;&gt;"",'Master Stock'!L916&lt;&gt;"",'Master Stock'!L916&lt;TODAY()-30),COUNT($V$1:V915)+1,"")</f>
        <v/>
      </c>
    </row>
    <row r="917" ht="15.75" customHeight="1" s="230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0">
        <f>IF(AND('Master Stock'!D917&lt;&gt;"",'Master Stock'!H917="OCCUPIED",'Master Stock'!J917&lt;&gt;"",'Master Stock'!K917=""),COUNT($U$1:U916)+1,"")</f>
        <v/>
      </c>
      <c r="V917" s="0">
        <f>IF(AND('Master Stock'!D917&lt;&gt;"",'Master Stock'!L917&lt;&gt;"",'Master Stock'!L917&lt;TODAY()-30),COUNT($V$1:V916)+1,"")</f>
        <v/>
      </c>
    </row>
    <row r="918" ht="15.75" customHeight="1" s="230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0">
        <f>IF(AND('Master Stock'!D918&lt;&gt;"",'Master Stock'!H918="OCCUPIED",'Master Stock'!J918&lt;&gt;"",'Master Stock'!K918=""),COUNT($U$1:U917)+1,"")</f>
        <v/>
      </c>
      <c r="V918" s="0">
        <f>IF(AND('Master Stock'!D918&lt;&gt;"",'Master Stock'!L918&lt;&gt;"",'Master Stock'!L918&lt;TODAY()-30),COUNT($V$1:V917)+1,"")</f>
        <v/>
      </c>
    </row>
    <row r="919" ht="15.75" customHeight="1" s="230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0">
        <f>IF(AND('Master Stock'!D919&lt;&gt;"",'Master Stock'!H919="OCCUPIED",'Master Stock'!J919&lt;&gt;"",'Master Stock'!K919=""),COUNT($U$1:U918)+1,"")</f>
        <v/>
      </c>
      <c r="V919" s="0">
        <f>IF(AND('Master Stock'!D919&lt;&gt;"",'Master Stock'!L919&lt;&gt;"",'Master Stock'!L919&lt;TODAY()-30),COUNT($V$1:V918)+1,"")</f>
        <v/>
      </c>
    </row>
    <row r="920" ht="15.75" customHeight="1" s="23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0">
        <f>IF(AND('Master Stock'!D920&lt;&gt;"",'Master Stock'!H920="OCCUPIED",'Master Stock'!J920&lt;&gt;"",'Master Stock'!K920=""),COUNT($U$1:U919)+1,"")</f>
        <v/>
      </c>
      <c r="V920" s="0">
        <f>IF(AND('Master Stock'!D920&lt;&gt;"",'Master Stock'!L920&lt;&gt;"",'Master Stock'!L920&lt;TODAY()-30),COUNT($V$1:V919)+1,"")</f>
        <v/>
      </c>
    </row>
    <row r="921" ht="15.75" customHeight="1" s="230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0">
        <f>IF(AND('Master Stock'!D921&lt;&gt;"",'Master Stock'!H921="OCCUPIED",'Master Stock'!J921&lt;&gt;"",'Master Stock'!K921=""),COUNT($U$1:U920)+1,"")</f>
        <v/>
      </c>
      <c r="V921" s="0">
        <f>IF(AND('Master Stock'!D921&lt;&gt;"",'Master Stock'!L921&lt;&gt;"",'Master Stock'!L921&lt;TODAY()-30),COUNT($V$1:V920)+1,"")</f>
        <v/>
      </c>
    </row>
    <row r="922" ht="15.75" customHeight="1" s="230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0">
        <f>IF(AND('Master Stock'!D922&lt;&gt;"",'Master Stock'!H922="OCCUPIED",'Master Stock'!J922&lt;&gt;"",'Master Stock'!K922=""),COUNT($U$1:U921)+1,"")</f>
        <v/>
      </c>
      <c r="V922" s="0">
        <f>IF(AND('Master Stock'!D922&lt;&gt;"",'Master Stock'!L922&lt;&gt;"",'Master Stock'!L922&lt;TODAY()-30),COUNT($V$1:V921)+1,"")</f>
        <v/>
      </c>
    </row>
    <row r="923" ht="15.75" customHeight="1" s="230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0">
        <f>IF(AND('Master Stock'!D923&lt;&gt;"",'Master Stock'!H923="OCCUPIED",'Master Stock'!J923&lt;&gt;"",'Master Stock'!K923=""),COUNT($U$1:U922)+1,"")</f>
        <v/>
      </c>
      <c r="V923" s="0">
        <f>IF(AND('Master Stock'!D923&lt;&gt;"",'Master Stock'!L923&lt;&gt;"",'Master Stock'!L923&lt;TODAY()-30),COUNT($V$1:V922)+1,"")</f>
        <v/>
      </c>
    </row>
    <row r="924" ht="15.75" customHeight="1" s="230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0">
        <f>IF(AND('Master Stock'!D924&lt;&gt;"",'Master Stock'!H924="OCCUPIED",'Master Stock'!J924&lt;&gt;"",'Master Stock'!K924=""),COUNT($U$1:U923)+1,"")</f>
        <v/>
      </c>
      <c r="V924" s="0">
        <f>IF(AND('Master Stock'!D924&lt;&gt;"",'Master Stock'!L924&lt;&gt;"",'Master Stock'!L924&lt;TODAY()-30),COUNT($V$1:V923)+1,"")</f>
        <v/>
      </c>
    </row>
    <row r="925" ht="15.75" customHeight="1" s="230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0">
        <f>IF(AND('Master Stock'!D925&lt;&gt;"",'Master Stock'!H925="OCCUPIED",'Master Stock'!J925&lt;&gt;"",'Master Stock'!K925=""),COUNT($U$1:U924)+1,"")</f>
        <v/>
      </c>
      <c r="V925" s="0">
        <f>IF(AND('Master Stock'!D925&lt;&gt;"",'Master Stock'!L925&lt;&gt;"",'Master Stock'!L925&lt;TODAY()-30),COUNT($V$1:V924)+1,"")</f>
        <v/>
      </c>
    </row>
    <row r="926" ht="15.75" customHeight="1" s="230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0">
        <f>IF(AND('Master Stock'!D926&lt;&gt;"",'Master Stock'!H926="OCCUPIED",'Master Stock'!J926&lt;&gt;"",'Master Stock'!K926=""),COUNT($U$1:U925)+1,"")</f>
        <v/>
      </c>
      <c r="V926" s="0">
        <f>IF(AND('Master Stock'!D926&lt;&gt;"",'Master Stock'!L926&lt;&gt;"",'Master Stock'!L926&lt;TODAY()-30),COUNT($V$1:V925)+1,"")</f>
        <v/>
      </c>
    </row>
    <row r="927" ht="15.75" customHeight="1" s="230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0">
        <f>IF(AND('Master Stock'!D927&lt;&gt;"",'Master Stock'!H927="OCCUPIED",'Master Stock'!J927&lt;&gt;"",'Master Stock'!K927=""),COUNT($U$1:U926)+1,"")</f>
        <v/>
      </c>
      <c r="V927" s="0">
        <f>IF(AND('Master Stock'!D927&lt;&gt;"",'Master Stock'!L927&lt;&gt;"",'Master Stock'!L927&lt;TODAY()-30),COUNT($V$1:V926)+1,"")</f>
        <v/>
      </c>
    </row>
    <row r="928" ht="15.75" customHeight="1" s="230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0">
        <f>IF(AND('Master Stock'!D928&lt;&gt;"",'Master Stock'!H928="OCCUPIED",'Master Stock'!J928&lt;&gt;"",'Master Stock'!K928=""),COUNT($U$1:U927)+1,"")</f>
        <v/>
      </c>
      <c r="V928" s="0">
        <f>IF(AND('Master Stock'!D928&lt;&gt;"",'Master Stock'!L928&lt;&gt;"",'Master Stock'!L928&lt;TODAY()-30),COUNT($V$1:V927)+1,"")</f>
        <v/>
      </c>
    </row>
    <row r="929" ht="15.75" customHeight="1" s="230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0">
        <f>IF(AND('Master Stock'!D929&lt;&gt;"",'Master Stock'!H929="OCCUPIED",'Master Stock'!J929&lt;&gt;"",'Master Stock'!K929=""),COUNT($U$1:U928)+1,"")</f>
        <v/>
      </c>
      <c r="V929" s="0">
        <f>IF(AND('Master Stock'!D929&lt;&gt;"",'Master Stock'!L929&lt;&gt;"",'Master Stock'!L929&lt;TODAY()-30),COUNT($V$1:V928)+1,"")</f>
        <v/>
      </c>
    </row>
    <row r="930" ht="15.75" customHeight="1" s="2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0">
        <f>IF(AND('Master Stock'!D930&lt;&gt;"",'Master Stock'!H930="OCCUPIED",'Master Stock'!J930&lt;&gt;"",'Master Stock'!K930=""),COUNT($U$1:U929)+1,"")</f>
        <v/>
      </c>
      <c r="V930" s="0">
        <f>IF(AND('Master Stock'!D930&lt;&gt;"",'Master Stock'!L930&lt;&gt;"",'Master Stock'!L930&lt;TODAY()-30),COUNT($V$1:V929)+1,"")</f>
        <v/>
      </c>
    </row>
    <row r="931" ht="15.75" customHeight="1" s="230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0">
        <f>IF(AND('Master Stock'!D931&lt;&gt;"",'Master Stock'!H931="OCCUPIED",'Master Stock'!J931&lt;&gt;"",'Master Stock'!K931=""),COUNT($U$1:U930)+1,"")</f>
        <v/>
      </c>
      <c r="V931" s="0">
        <f>IF(AND('Master Stock'!D931&lt;&gt;"",'Master Stock'!L931&lt;&gt;"",'Master Stock'!L931&lt;TODAY()-30),COUNT($V$1:V930)+1,"")</f>
        <v/>
      </c>
    </row>
    <row r="932" ht="15.75" customHeight="1" s="230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0">
        <f>IF(AND('Master Stock'!D932&lt;&gt;"",'Master Stock'!H932="OCCUPIED",'Master Stock'!J932&lt;&gt;"",'Master Stock'!K932=""),COUNT($U$1:U931)+1,"")</f>
        <v/>
      </c>
      <c r="V932" s="0">
        <f>IF(AND('Master Stock'!D932&lt;&gt;"",'Master Stock'!L932&lt;&gt;"",'Master Stock'!L932&lt;TODAY()-30),COUNT($V$1:V931)+1,"")</f>
        <v/>
      </c>
    </row>
    <row r="933" ht="15.75" customHeight="1" s="230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0">
        <f>IF(AND('Master Stock'!D933&lt;&gt;"",'Master Stock'!H933="OCCUPIED",'Master Stock'!J933&lt;&gt;"",'Master Stock'!K933=""),COUNT($U$1:U932)+1,"")</f>
        <v/>
      </c>
      <c r="V933" s="0">
        <f>IF(AND('Master Stock'!D933&lt;&gt;"",'Master Stock'!L933&lt;&gt;"",'Master Stock'!L933&lt;TODAY()-30),COUNT($V$1:V932)+1,"")</f>
        <v/>
      </c>
    </row>
    <row r="934" ht="15.75" customHeight="1" s="230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0">
        <f>IF(AND('Master Stock'!D934&lt;&gt;"",'Master Stock'!H934="OCCUPIED",'Master Stock'!J934&lt;&gt;"",'Master Stock'!K934=""),COUNT($U$1:U933)+1,"")</f>
        <v/>
      </c>
      <c r="V934" s="0">
        <f>IF(AND('Master Stock'!D934&lt;&gt;"",'Master Stock'!L934&lt;&gt;"",'Master Stock'!L934&lt;TODAY()-30),COUNT($V$1:V933)+1,"")</f>
        <v/>
      </c>
    </row>
    <row r="935" ht="15.75" customHeight="1" s="230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0">
        <f>IF(AND('Master Stock'!D935&lt;&gt;"",'Master Stock'!H935="OCCUPIED",'Master Stock'!J935&lt;&gt;"",'Master Stock'!K935=""),COUNT($U$1:U934)+1,"")</f>
        <v/>
      </c>
      <c r="V935" s="0">
        <f>IF(AND('Master Stock'!D935&lt;&gt;"",'Master Stock'!L935&lt;&gt;"",'Master Stock'!L935&lt;TODAY()-30),COUNT($V$1:V934)+1,"")</f>
        <v/>
      </c>
    </row>
    <row r="936" ht="15.75" customHeight="1" s="230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0">
        <f>IF(AND('Master Stock'!D936&lt;&gt;"",'Master Stock'!H936="OCCUPIED",'Master Stock'!J936&lt;&gt;"",'Master Stock'!K936=""),COUNT($U$1:U935)+1,"")</f>
        <v/>
      </c>
      <c r="V936" s="0">
        <f>IF(AND('Master Stock'!D936&lt;&gt;"",'Master Stock'!L936&lt;&gt;"",'Master Stock'!L936&lt;TODAY()-30),COUNT($V$1:V935)+1,"")</f>
        <v/>
      </c>
    </row>
    <row r="937" ht="15.75" customHeight="1" s="230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0">
        <f>IF(AND('Master Stock'!D937&lt;&gt;"",'Master Stock'!H937="OCCUPIED",'Master Stock'!J937&lt;&gt;"",'Master Stock'!K937=""),COUNT($U$1:U936)+1,"")</f>
        <v/>
      </c>
      <c r="V937" s="0">
        <f>IF(AND('Master Stock'!D937&lt;&gt;"",'Master Stock'!L937&lt;&gt;"",'Master Stock'!L937&lt;TODAY()-30),COUNT($V$1:V936)+1,"")</f>
        <v/>
      </c>
    </row>
    <row r="938" ht="15.75" customHeight="1" s="230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0">
        <f>IF(AND('Master Stock'!D938&lt;&gt;"",'Master Stock'!H938="OCCUPIED",'Master Stock'!J938&lt;&gt;"",'Master Stock'!K938=""),COUNT($U$1:U937)+1,"")</f>
        <v/>
      </c>
      <c r="V938" s="0">
        <f>IF(AND('Master Stock'!D938&lt;&gt;"",'Master Stock'!L938&lt;&gt;"",'Master Stock'!L938&lt;TODAY()-30),COUNT($V$1:V937)+1,"")</f>
        <v/>
      </c>
    </row>
    <row r="939" ht="15.75" customHeight="1" s="230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0">
        <f>IF(AND('Master Stock'!D939&lt;&gt;"",'Master Stock'!H939="OCCUPIED",'Master Stock'!J939&lt;&gt;"",'Master Stock'!K939=""),COUNT($U$1:U938)+1,"")</f>
        <v/>
      </c>
      <c r="V939" s="0">
        <f>IF(AND('Master Stock'!D939&lt;&gt;"",'Master Stock'!L939&lt;&gt;"",'Master Stock'!L939&lt;TODAY()-30),COUNT($V$1:V938)+1,"")</f>
        <v/>
      </c>
    </row>
    <row r="940" ht="15.75" customHeight="1" s="23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0">
        <f>IF(AND('Master Stock'!D940&lt;&gt;"",'Master Stock'!H940="OCCUPIED",'Master Stock'!J940&lt;&gt;"",'Master Stock'!K940=""),COUNT($U$1:U939)+1,"")</f>
        <v/>
      </c>
      <c r="V940" s="0">
        <f>IF(AND('Master Stock'!D940&lt;&gt;"",'Master Stock'!L940&lt;&gt;"",'Master Stock'!L940&lt;TODAY()-30),COUNT($V$1:V939)+1,"")</f>
        <v/>
      </c>
    </row>
    <row r="941" ht="15.75" customHeight="1" s="230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0">
        <f>IF(AND('Master Stock'!D941&lt;&gt;"",'Master Stock'!H941="OCCUPIED",'Master Stock'!J941&lt;&gt;"",'Master Stock'!K941=""),COUNT($U$1:U940)+1,"")</f>
        <v/>
      </c>
      <c r="V941" s="0">
        <f>IF(AND('Master Stock'!D941&lt;&gt;"",'Master Stock'!L941&lt;&gt;"",'Master Stock'!L941&lt;TODAY()-30),COUNT($V$1:V940)+1,"")</f>
        <v/>
      </c>
    </row>
    <row r="942" ht="15.75" customHeight="1" s="230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0">
        <f>IF(AND('Master Stock'!D942&lt;&gt;"",'Master Stock'!H942="OCCUPIED",'Master Stock'!J942&lt;&gt;"",'Master Stock'!K942=""),COUNT($U$1:U941)+1,"")</f>
        <v/>
      </c>
      <c r="V942" s="0">
        <f>IF(AND('Master Stock'!D942&lt;&gt;"",'Master Stock'!L942&lt;&gt;"",'Master Stock'!L942&lt;TODAY()-30),COUNT($V$1:V941)+1,"")</f>
        <v/>
      </c>
    </row>
    <row r="943" ht="15.75" customHeight="1" s="230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0">
        <f>IF(AND('Master Stock'!D943&lt;&gt;"",'Master Stock'!H943="OCCUPIED",'Master Stock'!J943&lt;&gt;"",'Master Stock'!K943=""),COUNT($U$1:U942)+1,"")</f>
        <v/>
      </c>
      <c r="V943" s="0">
        <f>IF(AND('Master Stock'!D943&lt;&gt;"",'Master Stock'!L943&lt;&gt;"",'Master Stock'!L943&lt;TODAY()-30),COUNT($V$1:V942)+1,"")</f>
        <v/>
      </c>
    </row>
    <row r="944" ht="15.75" customHeight="1" s="230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0">
        <f>IF(AND('Master Stock'!D944&lt;&gt;"",'Master Stock'!H944="OCCUPIED",'Master Stock'!J944&lt;&gt;"",'Master Stock'!K944=""),COUNT($U$1:U943)+1,"")</f>
        <v/>
      </c>
      <c r="V944" s="0">
        <f>IF(AND('Master Stock'!D944&lt;&gt;"",'Master Stock'!L944&lt;&gt;"",'Master Stock'!L944&lt;TODAY()-30),COUNT($V$1:V943)+1,"")</f>
        <v/>
      </c>
    </row>
    <row r="945" ht="15.75" customHeight="1" s="230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0">
        <f>IF(AND('Master Stock'!D945&lt;&gt;"",'Master Stock'!H945="OCCUPIED",'Master Stock'!J945&lt;&gt;"",'Master Stock'!K945=""),COUNT($U$1:U944)+1,"")</f>
        <v/>
      </c>
      <c r="V945" s="0">
        <f>IF(AND('Master Stock'!D945&lt;&gt;"",'Master Stock'!L945&lt;&gt;"",'Master Stock'!L945&lt;TODAY()-30),COUNT($V$1:V944)+1,"")</f>
        <v/>
      </c>
    </row>
    <row r="946" ht="15.75" customHeight="1" s="230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0">
        <f>IF(AND('Master Stock'!D946&lt;&gt;"",'Master Stock'!H946="OCCUPIED",'Master Stock'!J946&lt;&gt;"",'Master Stock'!K946=""),COUNT($U$1:U945)+1,"")</f>
        <v/>
      </c>
      <c r="V946" s="0">
        <f>IF(AND('Master Stock'!D946&lt;&gt;"",'Master Stock'!L946&lt;&gt;"",'Master Stock'!L946&lt;TODAY()-30),COUNT($V$1:V945)+1,"")</f>
        <v/>
      </c>
    </row>
    <row r="947" ht="15.75" customHeight="1" s="230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0">
        <f>IF(AND('Master Stock'!D947&lt;&gt;"",'Master Stock'!H947="OCCUPIED",'Master Stock'!J947&lt;&gt;"",'Master Stock'!K947=""),COUNT($U$1:U946)+1,"")</f>
        <v/>
      </c>
      <c r="V947" s="0">
        <f>IF(AND('Master Stock'!D947&lt;&gt;"",'Master Stock'!L947&lt;&gt;"",'Master Stock'!L947&lt;TODAY()-30),COUNT($V$1:V946)+1,"")</f>
        <v/>
      </c>
    </row>
    <row r="948" ht="15.75" customHeight="1" s="230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0">
        <f>IF(AND('Master Stock'!D948&lt;&gt;"",'Master Stock'!H948="OCCUPIED",'Master Stock'!J948&lt;&gt;"",'Master Stock'!K948=""),COUNT($U$1:U947)+1,"")</f>
        <v/>
      </c>
      <c r="V948" s="0">
        <f>IF(AND('Master Stock'!D948&lt;&gt;"",'Master Stock'!L948&lt;&gt;"",'Master Stock'!L948&lt;TODAY()-30),COUNT($V$1:V947)+1,"")</f>
        <v/>
      </c>
    </row>
    <row r="949" ht="15.75" customHeight="1" s="230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0">
        <f>IF(AND('Master Stock'!D949&lt;&gt;"",'Master Stock'!H949="OCCUPIED",'Master Stock'!J949&lt;&gt;"",'Master Stock'!K949=""),COUNT($U$1:U948)+1,"")</f>
        <v/>
      </c>
      <c r="V949" s="0">
        <f>IF(AND('Master Stock'!D949&lt;&gt;"",'Master Stock'!L949&lt;&gt;"",'Master Stock'!L949&lt;TODAY()-30),COUNT($V$1:V948)+1,"")</f>
        <v/>
      </c>
    </row>
    <row r="950" ht="15.75" customHeight="1" s="23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0">
        <f>IF(AND('Master Stock'!D950&lt;&gt;"",'Master Stock'!H950="OCCUPIED",'Master Stock'!J950&lt;&gt;"",'Master Stock'!K950=""),COUNT($U$1:U949)+1,"")</f>
        <v/>
      </c>
      <c r="V950" s="0">
        <f>IF(AND('Master Stock'!D950&lt;&gt;"",'Master Stock'!L950&lt;&gt;"",'Master Stock'!L950&lt;TODAY()-30),COUNT($V$1:V949)+1,"")</f>
        <v/>
      </c>
    </row>
    <row r="951" ht="15.75" customHeight="1" s="230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0">
        <f>IF(AND('Master Stock'!D951&lt;&gt;"",'Master Stock'!H951="OCCUPIED",'Master Stock'!J951&lt;&gt;"",'Master Stock'!K951=""),COUNT($U$1:U950)+1,"")</f>
        <v/>
      </c>
      <c r="V951" s="0">
        <f>IF(AND('Master Stock'!D951&lt;&gt;"",'Master Stock'!L951&lt;&gt;"",'Master Stock'!L951&lt;TODAY()-30),COUNT($V$1:V950)+1,"")</f>
        <v/>
      </c>
    </row>
    <row r="952" ht="15.75" customHeight="1" s="230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0">
        <f>IF(AND('Master Stock'!D952&lt;&gt;"",'Master Stock'!H952="OCCUPIED",'Master Stock'!J952&lt;&gt;"",'Master Stock'!K952=""),COUNT($U$1:U951)+1,"")</f>
        <v/>
      </c>
      <c r="V952" s="0">
        <f>IF(AND('Master Stock'!D952&lt;&gt;"",'Master Stock'!L952&lt;&gt;"",'Master Stock'!L952&lt;TODAY()-30),COUNT($V$1:V951)+1,"")</f>
        <v/>
      </c>
    </row>
    <row r="953" ht="15.75" customHeight="1" s="230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0">
        <f>IF(AND('Master Stock'!D953&lt;&gt;"",'Master Stock'!H953="OCCUPIED",'Master Stock'!J953&lt;&gt;"",'Master Stock'!K953=""),COUNT($U$1:U952)+1,"")</f>
        <v/>
      </c>
      <c r="V953" s="0">
        <f>IF(AND('Master Stock'!D953&lt;&gt;"",'Master Stock'!L953&lt;&gt;"",'Master Stock'!L953&lt;TODAY()-30),COUNT($V$1:V952)+1,"")</f>
        <v/>
      </c>
    </row>
    <row r="954" ht="15.75" customHeight="1" s="230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0">
        <f>IF(AND('Master Stock'!D954&lt;&gt;"",'Master Stock'!H954="OCCUPIED",'Master Stock'!J954&lt;&gt;"",'Master Stock'!K954=""),COUNT($U$1:U953)+1,"")</f>
        <v/>
      </c>
      <c r="V954" s="0">
        <f>IF(AND('Master Stock'!D954&lt;&gt;"",'Master Stock'!L954&lt;&gt;"",'Master Stock'!L954&lt;TODAY()-30),COUNT($V$1:V953)+1,"")</f>
        <v/>
      </c>
    </row>
    <row r="955" ht="15.75" customHeight="1" s="230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0">
        <f>IF(AND('Master Stock'!D955&lt;&gt;"",'Master Stock'!H955="OCCUPIED",'Master Stock'!J955&lt;&gt;"",'Master Stock'!K955=""),COUNT($U$1:U954)+1,"")</f>
        <v/>
      </c>
      <c r="V955" s="0">
        <f>IF(AND('Master Stock'!D955&lt;&gt;"",'Master Stock'!L955&lt;&gt;"",'Master Stock'!L955&lt;TODAY()-30),COUNT($V$1:V954)+1,"")</f>
        <v/>
      </c>
    </row>
    <row r="956" ht="15.75" customHeight="1" s="230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0">
        <f>IF(AND('Master Stock'!D956&lt;&gt;"",'Master Stock'!H956="OCCUPIED",'Master Stock'!J956&lt;&gt;"",'Master Stock'!K956=""),COUNT($U$1:U955)+1,"")</f>
        <v/>
      </c>
      <c r="V956" s="0">
        <f>IF(AND('Master Stock'!D956&lt;&gt;"",'Master Stock'!L956&lt;&gt;"",'Master Stock'!L956&lt;TODAY()-30),COUNT($V$1:V955)+1,"")</f>
        <v/>
      </c>
    </row>
    <row r="957" ht="15.75" customHeight="1" s="230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0">
        <f>IF(AND('Master Stock'!D957&lt;&gt;"",'Master Stock'!H957="OCCUPIED",'Master Stock'!J957&lt;&gt;"",'Master Stock'!K957=""),COUNT($U$1:U956)+1,"")</f>
        <v/>
      </c>
      <c r="V957" s="0">
        <f>IF(AND('Master Stock'!D957&lt;&gt;"",'Master Stock'!L957&lt;&gt;"",'Master Stock'!L957&lt;TODAY()-30),COUNT($V$1:V956)+1,"")</f>
        <v/>
      </c>
    </row>
    <row r="958" ht="15.75" customHeight="1" s="230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0">
        <f>IF(AND('Master Stock'!D958&lt;&gt;"",'Master Stock'!H958="OCCUPIED",'Master Stock'!J958&lt;&gt;"",'Master Stock'!K958=""),COUNT($U$1:U957)+1,"")</f>
        <v/>
      </c>
      <c r="V958" s="0">
        <f>IF(AND('Master Stock'!D958&lt;&gt;"",'Master Stock'!L958&lt;&gt;"",'Master Stock'!L958&lt;TODAY()-30),COUNT($V$1:V957)+1,"")</f>
        <v/>
      </c>
    </row>
    <row r="959" ht="15.75" customHeight="1" s="230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0">
        <f>IF(AND('Master Stock'!D959&lt;&gt;"",'Master Stock'!H959="OCCUPIED",'Master Stock'!J959&lt;&gt;"",'Master Stock'!K959=""),COUNT($U$1:U958)+1,"")</f>
        <v/>
      </c>
      <c r="V959" s="0">
        <f>IF(AND('Master Stock'!D959&lt;&gt;"",'Master Stock'!L959&lt;&gt;"",'Master Stock'!L959&lt;TODAY()-30),COUNT($V$1:V958)+1,"")</f>
        <v/>
      </c>
    </row>
    <row r="960" ht="15.75" customHeight="1" s="23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0">
        <f>IF(AND('Master Stock'!D960&lt;&gt;"",'Master Stock'!H960="OCCUPIED",'Master Stock'!J960&lt;&gt;"",'Master Stock'!K960=""),COUNT($U$1:U959)+1,"")</f>
        <v/>
      </c>
      <c r="V960" s="0">
        <f>IF(AND('Master Stock'!D960&lt;&gt;"",'Master Stock'!L960&lt;&gt;"",'Master Stock'!L960&lt;TODAY()-30),COUNT($V$1:V959)+1,"")</f>
        <v/>
      </c>
    </row>
    <row r="961" ht="15.75" customHeight="1" s="230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0">
        <f>IF(AND('Master Stock'!D961&lt;&gt;"",'Master Stock'!H961="OCCUPIED",'Master Stock'!J961&lt;&gt;"",'Master Stock'!K961=""),COUNT($U$1:U960)+1,"")</f>
        <v/>
      </c>
      <c r="V961" s="0">
        <f>IF(AND('Master Stock'!D961&lt;&gt;"",'Master Stock'!L961&lt;&gt;"",'Master Stock'!L961&lt;TODAY()-30),COUNT($V$1:V960)+1,"")</f>
        <v/>
      </c>
    </row>
    <row r="962" ht="15.75" customHeight="1" s="230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0">
        <f>IF(AND('Master Stock'!D962&lt;&gt;"",'Master Stock'!H962="OCCUPIED",'Master Stock'!J962&lt;&gt;"",'Master Stock'!K962=""),COUNT($U$1:U961)+1,"")</f>
        <v/>
      </c>
      <c r="V962" s="0">
        <f>IF(AND('Master Stock'!D962&lt;&gt;"",'Master Stock'!L962&lt;&gt;"",'Master Stock'!L962&lt;TODAY()-30),COUNT($V$1:V961)+1,"")</f>
        <v/>
      </c>
    </row>
    <row r="963" ht="15.75" customHeight="1" s="230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0">
        <f>IF(AND('Master Stock'!D963&lt;&gt;"",'Master Stock'!H963="OCCUPIED",'Master Stock'!J963&lt;&gt;"",'Master Stock'!K963=""),COUNT($U$1:U962)+1,"")</f>
        <v/>
      </c>
      <c r="V963" s="0">
        <f>IF(AND('Master Stock'!D963&lt;&gt;"",'Master Stock'!L963&lt;&gt;"",'Master Stock'!L963&lt;TODAY()-30),COUNT($V$1:V962)+1,"")</f>
        <v/>
      </c>
    </row>
    <row r="964" ht="15.75" customHeight="1" s="230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0">
        <f>IF(AND('Master Stock'!D964&lt;&gt;"",'Master Stock'!H964="OCCUPIED",'Master Stock'!J964&lt;&gt;"",'Master Stock'!K964=""),COUNT($U$1:U963)+1,"")</f>
        <v/>
      </c>
      <c r="V964" s="0">
        <f>IF(AND('Master Stock'!D964&lt;&gt;"",'Master Stock'!L964&lt;&gt;"",'Master Stock'!L964&lt;TODAY()-30),COUNT($V$1:V963)+1,"")</f>
        <v/>
      </c>
    </row>
    <row r="965" ht="15.75" customHeight="1" s="230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0">
        <f>IF(AND('Master Stock'!D965&lt;&gt;"",'Master Stock'!H965="OCCUPIED",'Master Stock'!J965&lt;&gt;"",'Master Stock'!K965=""),COUNT($U$1:U964)+1,"")</f>
        <v/>
      </c>
      <c r="V965" s="0">
        <f>IF(AND('Master Stock'!D965&lt;&gt;"",'Master Stock'!L965&lt;&gt;"",'Master Stock'!L965&lt;TODAY()-30),COUNT($V$1:V964)+1,"")</f>
        <v/>
      </c>
    </row>
    <row r="966" ht="15.75" customHeight="1" s="230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0">
        <f>IF(AND('Master Stock'!D966&lt;&gt;"",'Master Stock'!H966="OCCUPIED",'Master Stock'!J966&lt;&gt;"",'Master Stock'!K966=""),COUNT($U$1:U965)+1,"")</f>
        <v/>
      </c>
      <c r="V966" s="0">
        <f>IF(AND('Master Stock'!D966&lt;&gt;"",'Master Stock'!L966&lt;&gt;"",'Master Stock'!L966&lt;TODAY()-30),COUNT($V$1:V965)+1,"")</f>
        <v/>
      </c>
    </row>
    <row r="967" ht="15.75" customHeight="1" s="230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0">
        <f>IF(AND('Master Stock'!D967&lt;&gt;"",'Master Stock'!H967="OCCUPIED",'Master Stock'!J967&lt;&gt;"",'Master Stock'!K967=""),COUNT($U$1:U966)+1,"")</f>
        <v/>
      </c>
      <c r="V967" s="0">
        <f>IF(AND('Master Stock'!D967&lt;&gt;"",'Master Stock'!L967&lt;&gt;"",'Master Stock'!L967&lt;TODAY()-30),COUNT($V$1:V966)+1,"")</f>
        <v/>
      </c>
    </row>
    <row r="968" ht="15.75" customHeight="1" s="230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0">
        <f>IF(AND('Master Stock'!D968&lt;&gt;"",'Master Stock'!H968="OCCUPIED",'Master Stock'!J968&lt;&gt;"",'Master Stock'!K968=""),COUNT($U$1:U967)+1,"")</f>
        <v/>
      </c>
      <c r="V968" s="0">
        <f>IF(AND('Master Stock'!D968&lt;&gt;"",'Master Stock'!L968&lt;&gt;"",'Master Stock'!L968&lt;TODAY()-30),COUNT($V$1:V967)+1,"")</f>
        <v/>
      </c>
    </row>
    <row r="969" ht="15.75" customHeight="1" s="230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0">
        <f>IF(AND('Master Stock'!D969&lt;&gt;"",'Master Stock'!H969="OCCUPIED",'Master Stock'!J969&lt;&gt;"",'Master Stock'!K969=""),COUNT($U$1:U968)+1,"")</f>
        <v/>
      </c>
      <c r="V969" s="0">
        <f>IF(AND('Master Stock'!D969&lt;&gt;"",'Master Stock'!L969&lt;&gt;"",'Master Stock'!L969&lt;TODAY()-30),COUNT($V$1:V968)+1,"")</f>
        <v/>
      </c>
    </row>
    <row r="970" ht="15.75" customHeight="1" s="23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0">
        <f>IF(AND('Master Stock'!D970&lt;&gt;"",'Master Stock'!H970="OCCUPIED",'Master Stock'!J970&lt;&gt;"",'Master Stock'!K970=""),COUNT($U$1:U969)+1,"")</f>
        <v/>
      </c>
      <c r="V970" s="0">
        <f>IF(AND('Master Stock'!D970&lt;&gt;"",'Master Stock'!L970&lt;&gt;"",'Master Stock'!L970&lt;TODAY()-30),COUNT($V$1:V969)+1,"")</f>
        <v/>
      </c>
    </row>
    <row r="971" ht="15.75" customHeight="1" s="230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0">
        <f>IF(AND('Master Stock'!D971&lt;&gt;"",'Master Stock'!H971="OCCUPIED",'Master Stock'!J971&lt;&gt;"",'Master Stock'!K971=""),COUNT($U$1:U970)+1,"")</f>
        <v/>
      </c>
      <c r="V971" s="0">
        <f>IF(AND('Master Stock'!D971&lt;&gt;"",'Master Stock'!L971&lt;&gt;"",'Master Stock'!L971&lt;TODAY()-30),COUNT($V$1:V970)+1,"")</f>
        <v/>
      </c>
    </row>
    <row r="972" ht="15.75" customHeight="1" s="230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0">
        <f>IF(AND('Master Stock'!D972&lt;&gt;"",'Master Stock'!H972="OCCUPIED",'Master Stock'!J972&lt;&gt;"",'Master Stock'!K972=""),COUNT($U$1:U971)+1,"")</f>
        <v/>
      </c>
      <c r="V972" s="0">
        <f>IF(AND('Master Stock'!D972&lt;&gt;"",'Master Stock'!L972&lt;&gt;"",'Master Stock'!L972&lt;TODAY()-30),COUNT($V$1:V971)+1,"")</f>
        <v/>
      </c>
    </row>
    <row r="973" ht="15.75" customHeight="1" s="230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0">
        <f>IF(AND('Master Stock'!D973&lt;&gt;"",'Master Stock'!H973="OCCUPIED",'Master Stock'!J973&lt;&gt;"",'Master Stock'!K973=""),COUNT($U$1:U972)+1,"")</f>
        <v/>
      </c>
      <c r="V973" s="0">
        <f>IF(AND('Master Stock'!D973&lt;&gt;"",'Master Stock'!L973&lt;&gt;"",'Master Stock'!L973&lt;TODAY()-30),COUNT($V$1:V972)+1,"")</f>
        <v/>
      </c>
    </row>
    <row r="974" ht="15.75" customHeight="1" s="230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0">
        <f>IF(AND('Master Stock'!D974&lt;&gt;"",'Master Stock'!H974="OCCUPIED",'Master Stock'!J974&lt;&gt;"",'Master Stock'!K974=""),COUNT($U$1:U973)+1,"")</f>
        <v/>
      </c>
      <c r="V974" s="0">
        <f>IF(AND('Master Stock'!D974&lt;&gt;"",'Master Stock'!L974&lt;&gt;"",'Master Stock'!L974&lt;TODAY()-30),COUNT($V$1:V973)+1,"")</f>
        <v/>
      </c>
    </row>
    <row r="975" ht="15.75" customHeight="1" s="230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0">
        <f>IF(AND('Master Stock'!D975&lt;&gt;"",'Master Stock'!H975="OCCUPIED",'Master Stock'!J975&lt;&gt;"",'Master Stock'!K975=""),COUNT($U$1:U974)+1,"")</f>
        <v/>
      </c>
      <c r="V975" s="0">
        <f>IF(AND('Master Stock'!D975&lt;&gt;"",'Master Stock'!L975&lt;&gt;"",'Master Stock'!L975&lt;TODAY()-30),COUNT($V$1:V974)+1,"")</f>
        <v/>
      </c>
    </row>
    <row r="976" ht="15.75" customHeight="1" s="230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0">
        <f>IF(AND('Master Stock'!D976&lt;&gt;"",'Master Stock'!H976="OCCUPIED",'Master Stock'!J976&lt;&gt;"",'Master Stock'!K976=""),COUNT($U$1:U975)+1,"")</f>
        <v/>
      </c>
      <c r="V976" s="0">
        <f>IF(AND('Master Stock'!D976&lt;&gt;"",'Master Stock'!L976&lt;&gt;"",'Master Stock'!L976&lt;TODAY()-30),COUNT($V$1:V975)+1,"")</f>
        <v/>
      </c>
    </row>
    <row r="977" ht="15.75" customHeight="1" s="230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0">
        <f>IF(AND('Master Stock'!D977&lt;&gt;"",'Master Stock'!H977="OCCUPIED",'Master Stock'!J977&lt;&gt;"",'Master Stock'!K977=""),COUNT($U$1:U976)+1,"")</f>
        <v/>
      </c>
      <c r="V977" s="0">
        <f>IF(AND('Master Stock'!D977&lt;&gt;"",'Master Stock'!L977&lt;&gt;"",'Master Stock'!L977&lt;TODAY()-30),COUNT($V$1:V976)+1,"")</f>
        <v/>
      </c>
    </row>
    <row r="978" ht="15.75" customHeight="1" s="230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0">
        <f>IF(AND('Master Stock'!D978&lt;&gt;"",'Master Stock'!H978="OCCUPIED",'Master Stock'!J978&lt;&gt;"",'Master Stock'!K978=""),COUNT($U$1:U977)+1,"")</f>
        <v/>
      </c>
      <c r="V978" s="0">
        <f>IF(AND('Master Stock'!D978&lt;&gt;"",'Master Stock'!L978&lt;&gt;"",'Master Stock'!L978&lt;TODAY()-30),COUNT($V$1:V977)+1,"")</f>
        <v/>
      </c>
    </row>
    <row r="979" ht="15.75" customHeight="1" s="230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0">
        <f>IF(AND('Master Stock'!D979&lt;&gt;"",'Master Stock'!H979="OCCUPIED",'Master Stock'!J979&lt;&gt;"",'Master Stock'!K979=""),COUNT($U$1:U978)+1,"")</f>
        <v/>
      </c>
      <c r="V979" s="0">
        <f>IF(AND('Master Stock'!D979&lt;&gt;"",'Master Stock'!L979&lt;&gt;"",'Master Stock'!L979&lt;TODAY()-30),COUNT($V$1:V978)+1,"")</f>
        <v/>
      </c>
    </row>
    <row r="980" ht="15.75" customHeight="1" s="23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0">
        <f>IF(AND('Master Stock'!D980&lt;&gt;"",'Master Stock'!H980="OCCUPIED",'Master Stock'!J980&lt;&gt;"",'Master Stock'!K980=""),COUNT($U$1:U979)+1,"")</f>
        <v/>
      </c>
      <c r="V980" s="0">
        <f>IF(AND('Master Stock'!D980&lt;&gt;"",'Master Stock'!L980&lt;&gt;"",'Master Stock'!L980&lt;TODAY()-30),COUNT($V$1:V979)+1,"")</f>
        <v/>
      </c>
    </row>
    <row r="981" ht="15.75" customHeight="1" s="230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0">
        <f>IF(AND('Master Stock'!D981&lt;&gt;"",'Master Stock'!H981="OCCUPIED",'Master Stock'!J981&lt;&gt;"",'Master Stock'!K981=""),COUNT($U$1:U980)+1,"")</f>
        <v/>
      </c>
      <c r="V981" s="0">
        <f>IF(AND('Master Stock'!D981&lt;&gt;"",'Master Stock'!L981&lt;&gt;"",'Master Stock'!L981&lt;TODAY()-30),COUNT($V$1:V980)+1,"")</f>
        <v/>
      </c>
    </row>
    <row r="982" ht="15.75" customHeight="1" s="230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0">
        <f>IF(AND('Master Stock'!D982&lt;&gt;"",'Master Stock'!H982="OCCUPIED",'Master Stock'!J982&lt;&gt;"",'Master Stock'!K982=""),COUNT($U$1:U981)+1,"")</f>
        <v/>
      </c>
      <c r="V982" s="0">
        <f>IF(AND('Master Stock'!D982&lt;&gt;"",'Master Stock'!L982&lt;&gt;"",'Master Stock'!L982&lt;TODAY()-30),COUNT($V$1:V981)+1,"")</f>
        <v/>
      </c>
    </row>
    <row r="983" ht="15.75" customHeight="1" s="230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0">
        <f>IF(AND('Master Stock'!D983&lt;&gt;"",'Master Stock'!H983="OCCUPIED",'Master Stock'!J983&lt;&gt;"",'Master Stock'!K983=""),COUNT($U$1:U982)+1,"")</f>
        <v/>
      </c>
      <c r="V983" s="0">
        <f>IF(AND('Master Stock'!D983&lt;&gt;"",'Master Stock'!L983&lt;&gt;"",'Master Stock'!L983&lt;TODAY()-30),COUNT($V$1:V982)+1,"")</f>
        <v/>
      </c>
    </row>
    <row r="984" ht="15.75" customHeight="1" s="230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0">
        <f>IF(AND('Master Stock'!D984&lt;&gt;"",'Master Stock'!H984="OCCUPIED",'Master Stock'!J984&lt;&gt;"",'Master Stock'!K984=""),COUNT($U$1:U983)+1,"")</f>
        <v/>
      </c>
      <c r="V984" s="0">
        <f>IF(AND('Master Stock'!D984&lt;&gt;"",'Master Stock'!L984&lt;&gt;"",'Master Stock'!L984&lt;TODAY()-30),COUNT($V$1:V983)+1,"")</f>
        <v/>
      </c>
    </row>
    <row r="985" ht="15.75" customHeight="1" s="230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0">
        <f>IF(AND('Master Stock'!D985&lt;&gt;"",'Master Stock'!H985="OCCUPIED",'Master Stock'!J985&lt;&gt;"",'Master Stock'!K985=""),COUNT($U$1:U984)+1,"")</f>
        <v/>
      </c>
      <c r="V985" s="0">
        <f>IF(AND('Master Stock'!D985&lt;&gt;"",'Master Stock'!L985&lt;&gt;"",'Master Stock'!L985&lt;TODAY()-30),COUNT($V$1:V984)+1,"")</f>
        <v/>
      </c>
    </row>
    <row r="986" ht="15.75" customHeight="1" s="230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0">
        <f>IF(AND('Master Stock'!D986&lt;&gt;"",'Master Stock'!H986="OCCUPIED",'Master Stock'!J986&lt;&gt;"",'Master Stock'!K986=""),COUNT($U$1:U985)+1,"")</f>
        <v/>
      </c>
      <c r="V986" s="0">
        <f>IF(AND('Master Stock'!D986&lt;&gt;"",'Master Stock'!L986&lt;&gt;"",'Master Stock'!L986&lt;TODAY()-30),COUNT($V$1:V985)+1,"")</f>
        <v/>
      </c>
    </row>
    <row r="987" ht="15.75" customHeight="1" s="230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0">
        <f>IF(AND('Master Stock'!D987&lt;&gt;"",'Master Stock'!H987="OCCUPIED",'Master Stock'!J987&lt;&gt;"",'Master Stock'!K987=""),COUNT($U$1:U986)+1,"")</f>
        <v/>
      </c>
      <c r="V987" s="0">
        <f>IF(AND('Master Stock'!D987&lt;&gt;"",'Master Stock'!L987&lt;&gt;"",'Master Stock'!L987&lt;TODAY()-30),COUNT($V$1:V986)+1,"")</f>
        <v/>
      </c>
    </row>
    <row r="988" ht="15.75" customHeight="1" s="230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0">
        <f>IF(AND('Master Stock'!D988&lt;&gt;"",'Master Stock'!H988="OCCUPIED",'Master Stock'!J988&lt;&gt;"",'Master Stock'!K988=""),COUNT($U$1:U987)+1,"")</f>
        <v/>
      </c>
      <c r="V988" s="0">
        <f>IF(AND('Master Stock'!D988&lt;&gt;"",'Master Stock'!L988&lt;&gt;"",'Master Stock'!L988&lt;TODAY()-30),COUNT($V$1:V987)+1,"")</f>
        <v/>
      </c>
    </row>
    <row r="989" ht="15.75" customHeight="1" s="230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0">
        <f>IF(AND('Master Stock'!D989&lt;&gt;"",'Master Stock'!H989="OCCUPIED",'Master Stock'!J989&lt;&gt;"",'Master Stock'!K989=""),COUNT($U$1:U988)+1,"")</f>
        <v/>
      </c>
      <c r="V989" s="0">
        <f>IF(AND('Master Stock'!D989&lt;&gt;"",'Master Stock'!L989&lt;&gt;"",'Master Stock'!L989&lt;TODAY()-30),COUNT($V$1:V988)+1,"")</f>
        <v/>
      </c>
    </row>
    <row r="990" ht="15.75" customHeight="1" s="23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0">
        <f>IF(AND('Master Stock'!D990&lt;&gt;"",'Master Stock'!H990="OCCUPIED",'Master Stock'!J990&lt;&gt;"",'Master Stock'!K990=""),COUNT($U$1:U989)+1,"")</f>
        <v/>
      </c>
      <c r="V990" s="0">
        <f>IF(AND('Master Stock'!D990&lt;&gt;"",'Master Stock'!L990&lt;&gt;"",'Master Stock'!L990&lt;TODAY()-30),COUNT($V$1:V989)+1,"")</f>
        <v/>
      </c>
    </row>
    <row r="991" ht="15.75" customHeight="1" s="230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0">
        <f>IF(AND('Master Stock'!D991&lt;&gt;"",'Master Stock'!H991="OCCUPIED",'Master Stock'!J991&lt;&gt;"",'Master Stock'!K991=""),COUNT($U$1:U990)+1,"")</f>
        <v/>
      </c>
      <c r="V991" s="0">
        <f>IF(AND('Master Stock'!D991&lt;&gt;"",'Master Stock'!L991&lt;&gt;"",'Master Stock'!L991&lt;TODAY()-30),COUNT($V$1:V990)+1,"")</f>
        <v/>
      </c>
    </row>
    <row r="992" ht="15.75" customHeight="1" s="230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0">
        <f>IF(AND('Master Stock'!D992&lt;&gt;"",'Master Stock'!H992="OCCUPIED",'Master Stock'!J992&lt;&gt;"",'Master Stock'!K992=""),COUNT($U$1:U991)+1,"")</f>
        <v/>
      </c>
      <c r="V992" s="0">
        <f>IF(AND('Master Stock'!D992&lt;&gt;"",'Master Stock'!L992&lt;&gt;"",'Master Stock'!L992&lt;TODAY()-30),COUNT($V$1:V991)+1,"")</f>
        <v/>
      </c>
    </row>
    <row r="993" ht="15.75" customHeight="1" s="230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0">
        <f>IF(AND('Master Stock'!D993&lt;&gt;"",'Master Stock'!H993="OCCUPIED",'Master Stock'!J993&lt;&gt;"",'Master Stock'!K993=""),COUNT($U$1:U992)+1,"")</f>
        <v/>
      </c>
      <c r="V993" s="0">
        <f>IF(AND('Master Stock'!D993&lt;&gt;"",'Master Stock'!L993&lt;&gt;"",'Master Stock'!L993&lt;TODAY()-30),COUNT($V$1:V992)+1,"")</f>
        <v/>
      </c>
    </row>
    <row r="994" ht="15.75" customHeight="1" s="230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0">
        <f>IF(AND('Master Stock'!D994&lt;&gt;"",'Master Stock'!H994="OCCUPIED",'Master Stock'!J994&lt;&gt;"",'Master Stock'!K994=""),COUNT($U$1:U993)+1,"")</f>
        <v/>
      </c>
      <c r="V994" s="0">
        <f>IF(AND('Master Stock'!D994&lt;&gt;"",'Master Stock'!L994&lt;&gt;"",'Master Stock'!L994&lt;TODAY()-30),COUNT($V$1:V993)+1,"")</f>
        <v/>
      </c>
    </row>
    <row r="995" ht="15.75" customHeight="1" s="230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0">
        <f>IF(AND('Master Stock'!D995&lt;&gt;"",'Master Stock'!H995="OCCUPIED",'Master Stock'!J995&lt;&gt;"",'Master Stock'!K995=""),COUNT($U$1:U994)+1,"")</f>
        <v/>
      </c>
      <c r="V995" s="0">
        <f>IF(AND('Master Stock'!D995&lt;&gt;"",'Master Stock'!L995&lt;&gt;"",'Master Stock'!L995&lt;TODAY()-30),COUNT($V$1:V994)+1,"")</f>
        <v/>
      </c>
    </row>
    <row r="996" ht="15.75" customHeight="1" s="230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0">
        <f>IF(AND('Master Stock'!D996&lt;&gt;"",'Master Stock'!H996="OCCUPIED",'Master Stock'!J996&lt;&gt;"",'Master Stock'!K996=""),COUNT($U$1:U995)+1,"")</f>
        <v/>
      </c>
      <c r="V996" s="0">
        <f>IF(AND('Master Stock'!D996&lt;&gt;"",'Master Stock'!L996&lt;&gt;"",'Master Stock'!L996&lt;TODAY()-30),COUNT($V$1:V995)+1,"")</f>
        <v/>
      </c>
    </row>
    <row r="997" ht="15.75" customHeight="1" s="230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0">
        <f>IF(AND('Master Stock'!D997&lt;&gt;"",'Master Stock'!H997="OCCUPIED",'Master Stock'!J997&lt;&gt;"",'Master Stock'!K997=""),COUNT($U$1:U996)+1,"")</f>
        <v/>
      </c>
      <c r="V997" s="0">
        <f>IF(AND('Master Stock'!D997&lt;&gt;"",'Master Stock'!L997&lt;&gt;"",'Master Stock'!L997&lt;TODAY()-30),COUNT($V$1:V996)+1,"")</f>
        <v/>
      </c>
    </row>
    <row r="998" ht="15.75" customHeight="1" s="230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0">
        <f>IF(AND('Master Stock'!D998&lt;&gt;"",'Master Stock'!H998="OCCUPIED",'Master Stock'!J998&lt;&gt;"",'Master Stock'!K998=""),COUNT($U$1:U997)+1,"")</f>
        <v/>
      </c>
      <c r="V998" s="0">
        <f>IF(AND('Master Stock'!D998&lt;&gt;"",'Master Stock'!L998&lt;&gt;"",'Master Stock'!L998&lt;TODAY()-30),COUNT($V$1:V997)+1,"")</f>
        <v/>
      </c>
    </row>
    <row r="999" ht="15.75" customHeight="1" s="230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0">
        <f>IF(AND('Master Stock'!D999&lt;&gt;"",'Master Stock'!H999="OCCUPIED",'Master Stock'!J999&lt;&gt;"",'Master Stock'!K999=""),COUNT($U$1:U998)+1,"")</f>
        <v/>
      </c>
      <c r="V999" s="0">
        <f>IF(AND('Master Stock'!D999&lt;&gt;"",'Master Stock'!L999&lt;&gt;"",'Master Stock'!L999&lt;TODAY()-30),COUNT($V$1:V998)+1,"")</f>
        <v/>
      </c>
    </row>
    <row r="1000" ht="15.75" customHeight="1" s="23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0">
        <f>IF(AND('Master Stock'!D1000&lt;&gt;"",'Master Stock'!H1000="OCCUPIED",'Master Stock'!J1000&lt;&gt;"",'Master Stock'!K1000=""),COUNT($U$1:U999)+1,"")</f>
        <v/>
      </c>
      <c r="V1000" s="0">
        <f>IF(AND('Master Stock'!D1000&lt;&gt;"",'Master Stock'!L1000&lt;&gt;"",'Master Stock'!L1000&lt;TODAY()-30),COUNT($V$1:V999)+1,"")</f>
        <v/>
      </c>
    </row>
    <row r="1001" ht="24" customHeight="1" s="230">
      <c r="A1001" s="91" t="inlineStr">
        <is>
          <t>Shambhu Dayal Meena TA-II FSD Sabarmati</t>
        </is>
      </c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  <c r="Q1001" s="5" t="n"/>
      <c r="R1001" s="5" t="n"/>
      <c r="S1001" s="5" t="n"/>
      <c r="T1001" s="5" t="n"/>
      <c r="U1001" s="5" t="n"/>
      <c r="V1001" s="5" t="n"/>
    </row>
  </sheetData>
  <mergeCells count="38">
    <mergeCell ref="L18:N18"/>
    <mergeCell ref="A20:D20"/>
    <mergeCell ref="C9:E9"/>
    <mergeCell ref="A1:B1"/>
    <mergeCell ref="M1:N1"/>
    <mergeCell ref="L20:N20"/>
    <mergeCell ref="K13:N13"/>
    <mergeCell ref="A7:B7"/>
    <mergeCell ref="G7:H7"/>
    <mergeCell ref="K3:N3"/>
    <mergeCell ref="E4:F6"/>
    <mergeCell ref="I7:J7"/>
    <mergeCell ref="E20:I20"/>
    <mergeCell ref="C4:D6"/>
    <mergeCell ref="A3:B3"/>
    <mergeCell ref="G3:H3"/>
    <mergeCell ref="L21:N21"/>
    <mergeCell ref="I3:J3"/>
    <mergeCell ref="K8:N9"/>
    <mergeCell ref="K14:N15"/>
    <mergeCell ref="A4:B6"/>
    <mergeCell ref="K4:N5"/>
    <mergeCell ref="L17:N17"/>
    <mergeCell ref="C1:L1"/>
    <mergeCell ref="F9:G9"/>
    <mergeCell ref="K10:N11"/>
    <mergeCell ref="C7:D7"/>
    <mergeCell ref="G4:H6"/>
    <mergeCell ref="E7:F7"/>
    <mergeCell ref="I4:J6"/>
    <mergeCell ref="L19:N19"/>
    <mergeCell ref="A43:N43"/>
    <mergeCell ref="H9:J9"/>
    <mergeCell ref="E3:F3"/>
    <mergeCell ref="K6:N7"/>
    <mergeCell ref="A9:B9"/>
    <mergeCell ref="C3:D3"/>
    <mergeCell ref="A44:N44"/>
  </mergeCells>
  <dataValidations count="1">
    <dataValidation sqref="K14" showDropDown="0" showInputMessage="0" showErrorMessage="0" allowBlank="1" type="list">
      <formula1>'Master Stock'!$D$2:$D$1000</formula1>
    </dataValidation>
  </dataValidations>
  <hyperlinks>
    <hyperlink xmlns:r="http://schemas.openxmlformats.org/officeDocument/2006/relationships" ref="K4" r:id="rId1"/>
    <hyperlink xmlns:r="http://schemas.openxmlformats.org/officeDocument/2006/relationships" ref="K6" r:id="rId2"/>
    <hyperlink xmlns:r="http://schemas.openxmlformats.org/officeDocument/2006/relationships" ref="K8" r:id="rId3"/>
    <hyperlink xmlns:r="http://schemas.openxmlformats.org/officeDocument/2006/relationships" ref="K10" r:id="rId4"/>
  </hyperlinks>
  <pageMargins left="0.15" right="0.15" top="0.2" bottom="0.2" header="0" footer="0"/>
  <pageSetup orientation="landscape" paperSize="9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2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9.630000000000001" customWidth="1" style="230" min="1" max="1"/>
    <col width="12.25" customWidth="1" style="230" min="2" max="2"/>
    <col width="14" customWidth="1" style="230" min="3" max="3"/>
    <col width="15.75" customWidth="1" style="230" min="4" max="4"/>
    <col hidden="1" width="10.5" customWidth="1" style="230" min="5" max="5"/>
    <col width="16.38" customWidth="1" style="230" min="6" max="6"/>
    <col width="9.630000000000001" customWidth="1" style="230" min="7" max="7"/>
    <col width="12.25" customWidth="1" style="230" min="8" max="8"/>
    <col width="15.75" customWidth="1" style="230" min="9" max="9"/>
    <col width="18.38" customWidth="1" style="230" min="10" max="10"/>
    <col hidden="1" width="10.5" customWidth="1" style="230" min="11" max="11"/>
  </cols>
  <sheetData>
    <row r="1" ht="39.75" customHeight="1" s="230">
      <c r="A1" s="300" t="inlineStr">
        <is>
          <t>GODOWN STOCK &amp; TREATMENT DASHBOARD</t>
        </is>
      </c>
      <c r="K1" s="95" t="n"/>
    </row>
    <row r="2" ht="15" customHeight="1" s="230">
      <c r="A2" s="96" t="n"/>
      <c r="B2" s="96" t="n"/>
      <c r="C2" s="97" t="n"/>
      <c r="D2" s="97" t="n"/>
      <c r="E2" s="96" t="n"/>
      <c r="F2" s="96" t="n"/>
      <c r="G2" s="97" t="n"/>
      <c r="H2" s="96" t="n"/>
      <c r="I2" s="97" t="n"/>
      <c r="J2" s="96" t="n"/>
      <c r="K2" s="95" t="n"/>
    </row>
    <row r="3" ht="26.25" customHeight="1" s="230">
      <c r="A3" s="301" t="inlineStr">
        <is>
          <t>TOTAL STACKS</t>
        </is>
      </c>
      <c r="C3" s="302" t="inlineStr">
        <is>
          <t>OCCUPIED STACKS</t>
        </is>
      </c>
      <c r="E3" s="301" t="inlineStr">
        <is>
          <t>CURRENTLY UNDER COVER</t>
        </is>
      </c>
      <c r="G3" s="302" t="inlineStr">
        <is>
          <t>TOTAL DEGASSING DUE</t>
        </is>
      </c>
      <c r="I3" s="301" t="inlineStr">
        <is>
          <t>TOTAL EMPTY  STACKS</t>
        </is>
      </c>
      <c r="K3" s="95" t="n"/>
    </row>
    <row r="4" ht="24" customHeight="1" s="230">
      <c r="A4" s="100">
        <f>COUNTA('Master Stock'!$C$2:$C$99)</f>
        <v/>
      </c>
      <c r="C4" s="101">
        <f>COUNTIF('Master Stock'!$H$2:$H$99,"OCCUPIED")</f>
        <v/>
      </c>
      <c r="E4" s="102">
        <f>COUNTIFS('Master Stock'!$H$2:$H$99,"OCCUPIED",'Master Stock'!$J$2:$J$99,"&lt;&gt;",'Master Stock'!$K$2:$K$99,"")</f>
        <v/>
      </c>
      <c r="G4" s="101">
        <f>SUM('Master Stock'!$O$2:$O$99)</f>
        <v/>
      </c>
      <c r="I4" s="103" t="n"/>
      <c r="K4" s="95" t="n"/>
      <c r="L4" s="104">
        <f>'Shed Summary'!D7</f>
        <v/>
      </c>
    </row>
    <row r="5" ht="15" customHeight="1" s="230">
      <c r="A5" s="96" t="n"/>
      <c r="B5" s="96" t="n"/>
      <c r="C5" s="97" t="n"/>
      <c r="D5" s="97" t="n"/>
      <c r="E5" s="96" t="n"/>
      <c r="F5" s="96" t="n"/>
      <c r="G5" s="97" t="n"/>
      <c r="H5" s="96" t="n"/>
      <c r="I5" s="97" t="n"/>
      <c r="J5" s="96" t="n"/>
      <c r="K5" s="95" t="n"/>
    </row>
    <row r="6" ht="15" customHeight="1" s="230">
      <c r="A6" s="96" t="n"/>
      <c r="B6" s="96" t="n"/>
      <c r="C6" s="97" t="n"/>
      <c r="D6" s="97" t="n"/>
      <c r="E6" s="96" t="n"/>
      <c r="F6" s="96" t="n"/>
      <c r="G6" s="97" t="n"/>
      <c r="H6" s="96" t="n"/>
      <c r="I6" s="97" t="n"/>
      <c r="J6" s="96" t="n"/>
      <c r="K6" s="95" t="n"/>
    </row>
    <row r="7" ht="15.75" customHeight="1" s="230">
      <c r="A7" s="105" t="inlineStr">
        <is>
          <t>CURRENTLY UNDER COVER – STACK DETAILS</t>
        </is>
      </c>
      <c r="B7" s="96" t="n"/>
      <c r="C7" s="97" t="n"/>
      <c r="D7" s="97" t="n"/>
      <c r="E7" s="96" t="n"/>
      <c r="F7" s="96" t="n"/>
      <c r="G7" s="106" t="inlineStr">
        <is>
          <t>FUMIGATION MORE THAN 5 DAYS – DEGASSING DUE</t>
        </is>
      </c>
      <c r="H7" s="96" t="n"/>
      <c r="I7" s="97" t="n"/>
      <c r="J7" s="96" t="n"/>
      <c r="K7" s="95" t="n"/>
    </row>
    <row r="8" ht="26.25" customHeight="1" s="230">
      <c r="A8" s="107" t="inlineStr">
        <is>
          <t>Shed</t>
        </is>
      </c>
      <c r="B8" s="107" t="inlineStr">
        <is>
          <t>Stack No.</t>
        </is>
      </c>
      <c r="C8" s="108" t="inlineStr">
        <is>
          <t>Fumigation Date</t>
        </is>
      </c>
      <c r="D8" s="108" t="inlineStr">
        <is>
          <t>Days Count</t>
        </is>
      </c>
      <c r="E8" s="107" t="n"/>
      <c r="F8" s="96" t="n"/>
      <c r="G8" s="108" t="inlineStr">
        <is>
          <t>Shed</t>
        </is>
      </c>
      <c r="H8" s="107" t="inlineStr">
        <is>
          <t>Stack No.</t>
        </is>
      </c>
      <c r="I8" s="108" t="inlineStr">
        <is>
          <t>Fumigation Date</t>
        </is>
      </c>
      <c r="J8" s="107" t="inlineStr">
        <is>
          <t>Days Count</t>
        </is>
      </c>
      <c r="K8" s="95" t="n"/>
    </row>
    <row r="9" ht="15" customHeight="1" s="230">
      <c r="A9" s="109">
        <f t="array" ref="A9">IFERROR(INDEX('Master Stock'!$C$2:$C$99,MATCH(ROWS($A$9:A9),'Master Stock'!$N$2:$N$99,0)),"")</f>
        <v/>
      </c>
      <c r="B9" s="109">
        <f t="array" ref="B9">IFERROR(INDEX('Master Stock'!$D$2:$D$99,MATCH(ROWS($A$9:A9),'Master Stock'!$N$2:$N$99,0)),"")</f>
        <v/>
      </c>
      <c r="C9" s="110">
        <f t="array" ref="C9">IF(A9="","",IFERROR(INDEX('Master Stock'!$J$2:$J$99,MATCH(ROWS($A$9:A9),'Master Stock'!$N$2:$N$99,0)),""))</f>
        <v/>
      </c>
      <c r="D9" s="111">
        <f>IF(C9="","",MAX(0,TODAY()-C9))</f>
        <v/>
      </c>
      <c r="E9" s="112" t="n"/>
      <c r="F9" s="96" t="n"/>
      <c r="G9" s="113">
        <f t="array" ref="G9">IFERROR(INDEX('Master Stock'!$C$2:$C$99,MATCH(ROWS($G$9:G9),'Master Stock'!$P$2:$P$99,0)),"")</f>
        <v/>
      </c>
      <c r="H9" s="114">
        <f t="array" ref="H9">IFERROR(INDEX('Master Stock'!$D$2:$D$99,MATCH(ROWS($G$9:G9),'Master Stock'!$P$2:$P$99,0)),"")</f>
        <v/>
      </c>
      <c r="I9" s="113">
        <f t="array" ref="I9">IF(G9="","",IFERROR(INDEX('Master Stock'!$J$2:$J$99,MATCH(ROWS($G$9:G9),'Master Stock'!$P$2:$P$99,0)),""))</f>
        <v/>
      </c>
      <c r="J9" s="115">
        <f>IF(I9="","",MAX(0,TODAY()-I9))</f>
        <v/>
      </c>
      <c r="K9" s="95" t="n"/>
    </row>
    <row r="10" ht="15" customHeight="1" s="230">
      <c r="A10" s="109">
        <f t="array" ref="A10">IFERROR(INDEX('Master Stock'!$C$2:$C$99,MATCH(ROWS($A$9:A10),'Master Stock'!$N$2:$N$99,0)),"")</f>
        <v/>
      </c>
      <c r="B10" s="109">
        <f t="array" ref="B10">IFERROR(INDEX('Master Stock'!$D$2:$D$99,MATCH(ROWS($A$9:A10),'Master Stock'!$N$2:$N$99,0)),"")</f>
        <v/>
      </c>
      <c r="C10" s="110">
        <f t="array" ref="C10">IF(A10="","",IFERROR(INDEX('Master Stock'!$J$2:$J$99,MATCH(ROWS($A$9:A10),'Master Stock'!$N$2:$N$99,0)),""))</f>
        <v/>
      </c>
      <c r="D10" s="111">
        <f>IF(C10="","",MAX(0,TODAY()-C10))</f>
        <v/>
      </c>
      <c r="E10" s="112" t="n"/>
      <c r="F10" s="96" t="n"/>
      <c r="G10" s="113">
        <f t="array" ref="G10">IFERROR(INDEX('Master Stock'!$C$2:$C$99,MATCH(ROWS($G$9:G10),'Master Stock'!$P$2:$P$99,0)),"")</f>
        <v/>
      </c>
      <c r="H10" s="114">
        <f t="array" ref="H10">IFERROR(INDEX('Master Stock'!$D$2:$D$99,MATCH(ROWS($G$9:G10),'Master Stock'!$P$2:$P$99,0)),"")</f>
        <v/>
      </c>
      <c r="I10" s="113">
        <f t="array" ref="I10">IF(G10="","",IFERROR(INDEX('Master Stock'!$J$2:$J$99,MATCH(ROWS($G$9:G10),'Master Stock'!$P$2:$P$99,0)),""))</f>
        <v/>
      </c>
      <c r="J10" s="115">
        <f>IF(I10="","",MAX(0,TODAY()-I10))</f>
        <v/>
      </c>
      <c r="K10" s="95" t="n"/>
    </row>
    <row r="11" ht="15" customHeight="1" s="230">
      <c r="A11" s="109">
        <f t="array" ref="A11">IFERROR(INDEX('Master Stock'!$C$2:$C$99,MATCH(ROWS($A$9:A11),'Master Stock'!$N$2:$N$99,0)),"")</f>
        <v/>
      </c>
      <c r="B11" s="109">
        <f t="array" ref="B11">IFERROR(INDEX('Master Stock'!$D$2:$D$99,MATCH(ROWS($A$9:A11),'Master Stock'!$N$2:$N$99,0)),"")</f>
        <v/>
      </c>
      <c r="C11" s="110">
        <f t="array" ref="C11">IF(A11="","",IFERROR(INDEX('Master Stock'!$J$2:$J$99,MATCH(ROWS($A$9:A11),'Master Stock'!$N$2:$N$99,0)),""))</f>
        <v/>
      </c>
      <c r="D11" s="111">
        <f>IF(C11="","",MAX(0,TODAY()-C11))</f>
        <v/>
      </c>
      <c r="E11" s="112" t="n"/>
      <c r="F11" s="96" t="n"/>
      <c r="G11" s="113">
        <f t="array" ref="G11">IFERROR(INDEX('Master Stock'!$C$2:$C$99,MATCH(ROWS($G$9:G11),'Master Stock'!$P$2:$P$99,0)),"")</f>
        <v/>
      </c>
      <c r="H11" s="114">
        <f t="array" ref="H11">IFERROR(INDEX('Master Stock'!$D$2:$D$99,MATCH(ROWS($G$9:G11),'Master Stock'!$P$2:$P$99,0)),"")</f>
        <v/>
      </c>
      <c r="I11" s="113">
        <f t="array" ref="I11">IF(G11="","",IFERROR(INDEX('Master Stock'!$J$2:$J$99,MATCH(ROWS($G$9:G11),'Master Stock'!$P$2:$P$99,0)),""))</f>
        <v/>
      </c>
      <c r="J11" s="115">
        <f>IF(I11="","",MAX(0,TODAY()-I11))</f>
        <v/>
      </c>
      <c r="K11" s="95" t="n"/>
    </row>
    <row r="12" ht="15" customHeight="1" s="230">
      <c r="A12" s="109">
        <f t="array" ref="A12">IFERROR(INDEX('Master Stock'!$C$2:$C$99,MATCH(ROWS($A$9:A12),'Master Stock'!$N$2:$N$99,0)),"")</f>
        <v/>
      </c>
      <c r="B12" s="109">
        <f t="array" ref="B12">IFERROR(INDEX('Master Stock'!$D$2:$D$99,MATCH(ROWS($A$9:A12),'Master Stock'!$N$2:$N$99,0)),"")</f>
        <v/>
      </c>
      <c r="C12" s="110">
        <f t="array" ref="C12">IF(A12="","",IFERROR(INDEX('Master Stock'!$J$2:$J$99,MATCH(ROWS($A$9:A12),'Master Stock'!$N$2:$N$99,0)),""))</f>
        <v/>
      </c>
      <c r="D12" s="111">
        <f>IF(C12="","",MAX(0,TODAY()-C12))</f>
        <v/>
      </c>
      <c r="E12" s="112" t="n"/>
      <c r="F12" s="96" t="n"/>
      <c r="G12" s="113">
        <f t="array" ref="G12">IFERROR(INDEX('Master Stock'!$C$2:$C$99,MATCH(ROWS($G$9:G12),'Master Stock'!$P$2:$P$99,0)),"")</f>
        <v/>
      </c>
      <c r="H12" s="114">
        <f t="array" ref="H12">IFERROR(INDEX('Master Stock'!$D$2:$D$99,MATCH(ROWS($G$9:G12),'Master Stock'!$P$2:$P$99,0)),"")</f>
        <v/>
      </c>
      <c r="I12" s="113">
        <f t="array" ref="I12">IF(G12="","",IFERROR(INDEX('Master Stock'!$J$2:$J$99,MATCH(ROWS($G$9:G12),'Master Stock'!$P$2:$P$99,0)),""))</f>
        <v/>
      </c>
      <c r="J12" s="115">
        <f>IF(I12="","",MAX(0,TODAY()-I12))</f>
        <v/>
      </c>
      <c r="K12" s="95" t="n"/>
    </row>
    <row r="13" ht="15" customHeight="1" s="230">
      <c r="A13" s="109">
        <f t="array" ref="A13">IFERROR(INDEX('Master Stock'!$C$2:$C$99,MATCH(ROWS($A$9:A13),'Master Stock'!$N$2:$N$99,0)),"")</f>
        <v/>
      </c>
      <c r="B13" s="109">
        <f t="array" ref="B13">IFERROR(INDEX('Master Stock'!$D$2:$D$99,MATCH(ROWS($A$9:A13),'Master Stock'!$N$2:$N$99,0)),"")</f>
        <v/>
      </c>
      <c r="C13" s="110">
        <f t="array" ref="C13">IF(A13="","",IFERROR(INDEX('Master Stock'!$J$2:$J$99,MATCH(ROWS($A$9:A13),'Master Stock'!$N$2:$N$99,0)),""))</f>
        <v/>
      </c>
      <c r="D13" s="111">
        <f>IF(C13="","",MAX(0,TODAY()-C13))</f>
        <v/>
      </c>
      <c r="E13" s="112" t="n"/>
      <c r="F13" s="96" t="n"/>
      <c r="G13" s="113">
        <f t="array" ref="G13">IFERROR(INDEX('Master Stock'!$C$2:$C$99,MATCH(ROWS($G$9:G13),'Master Stock'!$P$2:$P$99,0)),"")</f>
        <v/>
      </c>
      <c r="H13" s="114">
        <f t="array" ref="H13">IFERROR(INDEX('Master Stock'!$D$2:$D$99,MATCH(ROWS($G$9:G13),'Master Stock'!$P$2:$P$99,0)),"")</f>
        <v/>
      </c>
      <c r="I13" s="113">
        <f t="array" ref="I13">IF(G13="","",IFERROR(INDEX('Master Stock'!$J$2:$J$99,MATCH(ROWS($G$9:G13),'Master Stock'!$P$2:$P$99,0)),""))</f>
        <v/>
      </c>
      <c r="J13" s="115">
        <f>IF(I13="","",MAX(0,TODAY()-I13))</f>
        <v/>
      </c>
      <c r="K13" s="95" t="n"/>
    </row>
    <row r="14" ht="15" customHeight="1" s="230">
      <c r="A14" s="109">
        <f t="array" ref="A14">IFERROR(INDEX('Master Stock'!$C$2:$C$99,MATCH(ROWS($A$9:A14),'Master Stock'!$N$2:$N$99,0)),"")</f>
        <v/>
      </c>
      <c r="B14" s="109">
        <f t="array" ref="B14">IFERROR(INDEX('Master Stock'!$D$2:$D$99,MATCH(ROWS($A$9:A14),'Master Stock'!$N$2:$N$99,0)),"")</f>
        <v/>
      </c>
      <c r="C14" s="110">
        <f t="array" ref="C14">IF(A14="","",IFERROR(INDEX('Master Stock'!$J$2:$J$99,MATCH(ROWS($A$9:A14),'Master Stock'!$N$2:$N$99,0)),""))</f>
        <v/>
      </c>
      <c r="D14" s="111">
        <f>IF(C14="","",MAX(0,TODAY()-C14))</f>
        <v/>
      </c>
      <c r="E14" s="112" t="n"/>
      <c r="F14" s="96" t="n"/>
      <c r="G14" s="113">
        <f t="array" ref="G14">IFERROR(INDEX('Master Stock'!$C$2:$C$99,MATCH(ROWS($G$9:G14),'Master Stock'!$P$2:$P$99,0)),"")</f>
        <v/>
      </c>
      <c r="H14" s="114">
        <f t="array" ref="H14">IFERROR(INDEX('Master Stock'!$D$2:$D$99,MATCH(ROWS($G$9:G14),'Master Stock'!$P$2:$P$99,0)),"")</f>
        <v/>
      </c>
      <c r="I14" s="113">
        <f t="array" ref="I14">IF(G14="","",IFERROR(INDEX('Master Stock'!$J$2:$J$99,MATCH(ROWS($G$9:G14),'Master Stock'!$P$2:$P$99,0)),""))</f>
        <v/>
      </c>
      <c r="J14" s="115">
        <f>IF(I14="","",MAX(0,TODAY()-I14))</f>
        <v/>
      </c>
      <c r="K14" s="95" t="n"/>
    </row>
    <row r="15" ht="15" customHeight="1" s="230">
      <c r="A15" s="109">
        <f t="array" ref="A15">IFERROR(INDEX('Master Stock'!$C$2:$C$99,MATCH(ROWS($A$9:A15),'Master Stock'!$N$2:$N$99,0)),"")</f>
        <v/>
      </c>
      <c r="B15" s="109">
        <f t="array" ref="B15">IFERROR(INDEX('Master Stock'!$D$2:$D$99,MATCH(ROWS($A$9:A15),'Master Stock'!$N$2:$N$99,0)),"")</f>
        <v/>
      </c>
      <c r="C15" s="110">
        <f t="array" ref="C15">IF(A15="","",IFERROR(INDEX('Master Stock'!$J$2:$J$99,MATCH(ROWS($A$9:A15),'Master Stock'!$N$2:$N$99,0)),""))</f>
        <v/>
      </c>
      <c r="D15" s="111">
        <f>IF(C15="","",MAX(0,TODAY()-C15))</f>
        <v/>
      </c>
      <c r="E15" s="112" t="n"/>
      <c r="F15" s="96" t="n"/>
      <c r="G15" s="113">
        <f t="array" ref="G15">IFERROR(INDEX('Master Stock'!$C$2:$C$99,MATCH(ROWS($G$9:G15),'Master Stock'!$P$2:$P$99,0)),"")</f>
        <v/>
      </c>
      <c r="H15" s="114">
        <f t="array" ref="H15">IFERROR(INDEX('Master Stock'!$D$2:$D$99,MATCH(ROWS($G$9:G15),'Master Stock'!$P$2:$P$99,0)),"")</f>
        <v/>
      </c>
      <c r="I15" s="113">
        <f t="array" ref="I15">IF(G15="","",IFERROR(INDEX('Master Stock'!$J$2:$J$99,MATCH(ROWS($G$9:G15),'Master Stock'!$P$2:$P$99,0)),""))</f>
        <v/>
      </c>
      <c r="J15" s="115">
        <f>IF(I15="","",MAX(0,TODAY()-I15))</f>
        <v/>
      </c>
      <c r="K15" s="95" t="n"/>
    </row>
    <row r="16" ht="15" customHeight="1" s="230">
      <c r="A16" s="109">
        <f t="array" ref="A16">IFERROR(INDEX('Master Stock'!$C$2:$C$99,MATCH(ROWS($A$9:A16),'Master Stock'!$N$2:$N$99,0)),"")</f>
        <v/>
      </c>
      <c r="B16" s="109">
        <f t="array" ref="B16">IFERROR(INDEX('Master Stock'!$D$2:$D$99,MATCH(ROWS($A$9:A16),'Master Stock'!$N$2:$N$99,0)),"")</f>
        <v/>
      </c>
      <c r="C16" s="110">
        <f t="array" ref="C16">IF(A16="","",IFERROR(INDEX('Master Stock'!$J$2:$J$99,MATCH(ROWS($A$9:A16),'Master Stock'!$N$2:$N$99,0)),""))</f>
        <v/>
      </c>
      <c r="D16" s="111">
        <f>IF(C16="","",MAX(0,TODAY()-C16))</f>
        <v/>
      </c>
      <c r="E16" s="112" t="n"/>
      <c r="F16" s="96" t="n"/>
      <c r="G16" s="113">
        <f t="array" ref="G16">IFERROR(INDEX('Master Stock'!$C$2:$C$99,MATCH(ROWS($G$9:G16),'Master Stock'!$P$2:$P$99,0)),"")</f>
        <v/>
      </c>
      <c r="H16" s="114">
        <f t="array" ref="H16">IFERROR(INDEX('Master Stock'!$D$2:$D$99,MATCH(ROWS($G$9:G16),'Master Stock'!$P$2:$P$99,0)),"")</f>
        <v/>
      </c>
      <c r="I16" s="113">
        <f t="array" ref="I16">IF(G16="","",IFERROR(INDEX('Master Stock'!$J$2:$J$99,MATCH(ROWS($G$9:G16),'Master Stock'!$P$2:$P$99,0)),""))</f>
        <v/>
      </c>
      <c r="J16" s="115">
        <f>IF(I16="","",MAX(0,TODAY()-I16))</f>
        <v/>
      </c>
      <c r="K16" s="95" t="n"/>
    </row>
    <row r="17" ht="15" customHeight="1" s="230">
      <c r="A17" s="109">
        <f t="array" ref="A17">IFERROR(INDEX('Master Stock'!$C$2:$C$99,MATCH(ROWS($A$9:A17),'Master Stock'!$N$2:$N$99,0)),"")</f>
        <v/>
      </c>
      <c r="B17" s="109">
        <f t="array" ref="B17">IFERROR(INDEX('Master Stock'!$D$2:$D$99,MATCH(ROWS($A$9:A17),'Master Stock'!$N$2:$N$99,0)),"")</f>
        <v/>
      </c>
      <c r="C17" s="110">
        <f t="array" ref="C17">IF(A17="","",IFERROR(INDEX('Master Stock'!$J$2:$J$99,MATCH(ROWS($A$9:A17),'Master Stock'!$N$2:$N$99,0)),""))</f>
        <v/>
      </c>
      <c r="D17" s="111">
        <f>IF(C17="","",MAX(0,TODAY()-C17))</f>
        <v/>
      </c>
      <c r="E17" s="112" t="n"/>
      <c r="F17" s="96" t="n"/>
      <c r="G17" s="113">
        <f t="array" ref="G17">IFERROR(INDEX('Master Stock'!$C$2:$C$99,MATCH(ROWS($G$9:G17),'Master Stock'!$P$2:$P$99,0)),"")</f>
        <v/>
      </c>
      <c r="H17" s="114">
        <f t="array" ref="H17">IFERROR(INDEX('Master Stock'!$D$2:$D$99,MATCH(ROWS($G$9:G17),'Master Stock'!$P$2:$P$99,0)),"")</f>
        <v/>
      </c>
      <c r="I17" s="113">
        <f t="array" ref="I17">IF(G17="","",IFERROR(INDEX('Master Stock'!$J$2:$J$99,MATCH(ROWS($G$9:G17),'Master Stock'!$P$2:$P$99,0)),""))</f>
        <v/>
      </c>
      <c r="J17" s="115">
        <f>IF(I17="","",MAX(0,TODAY()-I17))</f>
        <v/>
      </c>
      <c r="K17" s="95" t="n"/>
    </row>
    <row r="18" ht="15" customHeight="1" s="230">
      <c r="A18" s="109">
        <f t="array" ref="A18">IFERROR(INDEX('Master Stock'!$C$2:$C$99,MATCH(ROWS($A$9:A18),'Master Stock'!$N$2:$N$99,0)),"")</f>
        <v/>
      </c>
      <c r="B18" s="109">
        <f t="array" ref="B18">IFERROR(INDEX('Master Stock'!$D$2:$D$99,MATCH(ROWS($A$9:A18),'Master Stock'!$N$2:$N$99,0)),"")</f>
        <v/>
      </c>
      <c r="C18" s="110">
        <f t="array" ref="C18">IF(A18="","",IFERROR(INDEX('Master Stock'!$J$2:$J$99,MATCH(ROWS($A$9:A18),'Master Stock'!$N$2:$N$99,0)),""))</f>
        <v/>
      </c>
      <c r="D18" s="111">
        <f>IF(C18="","",MAX(0,TODAY()-C18))</f>
        <v/>
      </c>
      <c r="E18" s="112" t="n"/>
      <c r="F18" s="96" t="n"/>
      <c r="G18" s="113">
        <f t="array" ref="G18">IFERROR(INDEX('Master Stock'!$C$2:$C$99,MATCH(ROWS($G$9:G18),'Master Stock'!$P$2:$P$99,0)),"")</f>
        <v/>
      </c>
      <c r="H18" s="114">
        <f t="array" ref="H18">IFERROR(INDEX('Master Stock'!$D$2:$D$99,MATCH(ROWS($G$9:G18),'Master Stock'!$P$2:$P$99,0)),"")</f>
        <v/>
      </c>
      <c r="I18" s="113">
        <f t="array" ref="I18">IF(G18="","",IFERROR(INDEX('Master Stock'!$J$2:$J$99,MATCH(ROWS($G$9:G18),'Master Stock'!$P$2:$P$99,0)),""))</f>
        <v/>
      </c>
      <c r="J18" s="115">
        <f>IF(I18="","",MAX(0,TODAY()-I18))</f>
        <v/>
      </c>
      <c r="K18" s="95" t="n"/>
    </row>
    <row r="19" ht="15" customHeight="1" s="230">
      <c r="A19" s="109">
        <f t="array" ref="A19">IFERROR(INDEX('Master Stock'!$C$2:$C$99,MATCH(ROWS($A$9:A19),'Master Stock'!$N$2:$N$99,0)),"")</f>
        <v/>
      </c>
      <c r="B19" s="109">
        <f t="array" ref="B19">IFERROR(INDEX('Master Stock'!$D$2:$D$99,MATCH(ROWS($A$9:A19),'Master Stock'!$N$2:$N$99,0)),"")</f>
        <v/>
      </c>
      <c r="C19" s="110">
        <f t="array" ref="C19">IF(A19="","",IFERROR(INDEX('Master Stock'!$J$2:$J$99,MATCH(ROWS($A$9:A19),'Master Stock'!$N$2:$N$99,0)),""))</f>
        <v/>
      </c>
      <c r="D19" s="111">
        <f>IF(C19="","",MAX(0,TODAY()-C19))</f>
        <v/>
      </c>
      <c r="E19" s="112" t="n"/>
      <c r="F19" s="96" t="n"/>
      <c r="G19" s="113">
        <f t="array" ref="G19">IFERROR(INDEX('Master Stock'!$C$2:$C$99,MATCH(ROWS($G$9:G19),'Master Stock'!$P$2:$P$99,0)),"")</f>
        <v/>
      </c>
      <c r="H19" s="114">
        <f t="array" ref="H19">IFERROR(INDEX('Master Stock'!$D$2:$D$99,MATCH(ROWS($G$9:G19),'Master Stock'!$P$2:$P$99,0)),"")</f>
        <v/>
      </c>
      <c r="I19" s="113">
        <f t="array" ref="I19">IF(G19="","",IFERROR(INDEX('Master Stock'!$J$2:$J$99,MATCH(ROWS($G$9:G19),'Master Stock'!$P$2:$P$99,0)),""))</f>
        <v/>
      </c>
      <c r="J19" s="115">
        <f>IF(I19="","",MAX(0,TODAY()-I19))</f>
        <v/>
      </c>
      <c r="K19" s="95" t="n"/>
    </row>
    <row r="20" hidden="1" ht="15" customHeight="1" s="230">
      <c r="A20" s="109">
        <f t="array" ref="A20">IFERROR(INDEX('Master Stock'!$C$2:$C$99,MATCH(ROWS($A$9:A20),'Master Stock'!$N$2:$N$99,0)),"")</f>
        <v/>
      </c>
      <c r="B20" s="109">
        <f t="array" ref="B20">IFERROR(INDEX('Master Stock'!$D$2:$D$99,MATCH(ROWS($A$9:A20),'Master Stock'!$N$2:$N$99,0)),"")</f>
        <v/>
      </c>
      <c r="C20" s="110">
        <f t="array" ref="C20">IF(A20="","",IFERROR(INDEX('Master Stock'!$J$2:$J$99,MATCH(ROWS($A$9:A20),'Master Stock'!$N$2:$N$99,0)),""))</f>
        <v/>
      </c>
      <c r="D20" s="111">
        <f>IF(C20="","",MAX(0,TODAY()-C20))</f>
        <v/>
      </c>
      <c r="E20" s="112" t="n"/>
      <c r="F20" s="96" t="n"/>
      <c r="G20" s="113">
        <f t="array" ref="G20">IFERROR(INDEX('Master Stock'!$C$2:$C$99,MATCH(ROWS($G$9:G20),'Master Stock'!$P$2:$P$99,0)),"")</f>
        <v/>
      </c>
      <c r="H20" s="114">
        <f t="array" ref="H20">IFERROR(INDEX('Master Stock'!$D$2:$D$99,MATCH(ROWS($G$9:G20),'Master Stock'!$P$2:$P$99,0)),"")</f>
        <v/>
      </c>
      <c r="I20" s="113">
        <f t="array" ref="I20">IF(G20="","",IFERROR(INDEX('Master Stock'!$J$2:$J$99,MATCH(ROWS($G$9:G20),'Master Stock'!$P$2:$P$99,0)),""))</f>
        <v/>
      </c>
      <c r="J20" s="115">
        <f>IF(I20="","",MAX(0,TODAY()-I20))</f>
        <v/>
      </c>
      <c r="K20" s="95" t="n"/>
    </row>
    <row r="21" hidden="1" ht="15.75" customHeight="1" s="230">
      <c r="A21" s="109">
        <f t="array" ref="A21">IFERROR(INDEX('Master Stock'!$C$2:$C$99,MATCH(ROWS($A$9:A21),'Master Stock'!$N$2:$N$99,0)),"")</f>
        <v/>
      </c>
      <c r="B21" s="109">
        <f t="array" ref="B21">IFERROR(INDEX('Master Stock'!$D$2:$D$99,MATCH(ROWS($A$9:A21),'Master Stock'!$N$2:$N$99,0)),"")</f>
        <v/>
      </c>
      <c r="C21" s="110">
        <f t="array" ref="C21">IF(A21="","",IFERROR(INDEX('Master Stock'!$J$2:$J$99,MATCH(ROWS($A$9:A21),'Master Stock'!$N$2:$N$99,0)),""))</f>
        <v/>
      </c>
      <c r="D21" s="111">
        <f>IF(C21="","",MAX(0,TODAY()-C21))</f>
        <v/>
      </c>
      <c r="E21" s="112" t="n"/>
      <c r="F21" s="96" t="n"/>
      <c r="G21" s="113">
        <f t="array" ref="G21">IFERROR(INDEX('Master Stock'!$C$2:$C$99,MATCH(ROWS($G$9:G21),'Master Stock'!$P$2:$P$99,0)),"")</f>
        <v/>
      </c>
      <c r="H21" s="114">
        <f t="array" ref="H21">IFERROR(INDEX('Master Stock'!$D$2:$D$99,MATCH(ROWS($G$9:G21),'Master Stock'!$P$2:$P$99,0)),"")</f>
        <v/>
      </c>
      <c r="I21" s="113">
        <f t="array" ref="I21">IF(G21="","",IFERROR(INDEX('Master Stock'!$J$2:$J$99,MATCH(ROWS($G$9:G21),'Master Stock'!$P$2:$P$99,0)),""))</f>
        <v/>
      </c>
      <c r="J21" s="115">
        <f>IF(I21="","",MAX(0,TODAY()-I21))</f>
        <v/>
      </c>
      <c r="K21" s="95" t="n"/>
    </row>
    <row r="22" hidden="1" ht="15.75" customHeight="1" s="230">
      <c r="A22" s="114">
        <f t="array" ref="A22">IFERROR(INDEX('Master Stock'!$C$2:$C$99,MATCH(ROWS($A$9:A22),'Master Stock'!$N$2:$N$99,0)),"")</f>
        <v/>
      </c>
      <c r="B22" s="114">
        <f t="array" ref="B22">IFERROR(INDEX('Master Stock'!$D$2:$D$99,MATCH(ROWS($A$9:A22),'Master Stock'!$N$2:$N$99,0)),"")</f>
        <v/>
      </c>
      <c r="C22" s="113">
        <f t="array" ref="C22">IF(A22="","",IFERROR(INDEX('Master Stock'!$J$2:$J$99,MATCH(ROWS($A$9:A22),'Master Stock'!$N$2:$N$99,0)),""))</f>
        <v/>
      </c>
      <c r="D22" s="116">
        <f>IF(C22="","",MAX(0,TODAY()-C22))</f>
        <v/>
      </c>
      <c r="E22" s="112" t="n"/>
      <c r="F22" s="96" t="n"/>
      <c r="G22" s="113">
        <f t="array" ref="G22">IFERROR(INDEX('Master Stock'!$C$2:$C$99,MATCH(ROWS($G$9:G22),'Master Stock'!$P$2:$P$99,0)),"")</f>
        <v/>
      </c>
      <c r="H22" s="114">
        <f t="array" ref="H22">IFERROR(INDEX('Master Stock'!$D$2:$D$99,MATCH(ROWS($G$9:G22),'Master Stock'!$P$2:$P$99,0)),"")</f>
        <v/>
      </c>
      <c r="I22" s="113">
        <f t="array" ref="I22">IF(G22="","",IFERROR(INDEX('Master Stock'!$J$2:$J$99,MATCH(ROWS($G$9:G22),'Master Stock'!$P$2:$P$99,0)),""))</f>
        <v/>
      </c>
      <c r="J22" s="115">
        <f>IF(I22="","",MAX(0,TODAY()-I22))</f>
        <v/>
      </c>
      <c r="K22" s="95" t="n"/>
    </row>
    <row r="23" hidden="1" ht="15.75" customHeight="1" s="230">
      <c r="A23" s="114">
        <f t="array" ref="A23">IFERROR(INDEX('Master Stock'!$C$2:$C$99,MATCH(ROWS($A$9:A23),'Master Stock'!$N$2:$N$99,0)),"")</f>
        <v/>
      </c>
      <c r="B23" s="114">
        <f t="array" ref="B23">IFERROR(INDEX('Master Stock'!$D$2:$D$99,MATCH(ROWS($A$9:A23),'Master Stock'!$N$2:$N$99,0)),"")</f>
        <v/>
      </c>
      <c r="C23" s="113">
        <f t="array" ref="C23">IF(A23="","",IFERROR(INDEX('Master Stock'!$J$2:$J$99,MATCH(ROWS($A$9:A23),'Master Stock'!$N$2:$N$99,0)),""))</f>
        <v/>
      </c>
      <c r="D23" s="116">
        <f>IF(C23="","",MAX(0,TODAY()-C23))</f>
        <v/>
      </c>
      <c r="E23" s="112" t="n"/>
      <c r="F23" s="96" t="n"/>
      <c r="G23" s="113">
        <f t="array" ref="G23">IFERROR(INDEX('Master Stock'!$C$2:$C$99,MATCH(ROWS($G$9:G23),'Master Stock'!$P$2:$P$99,0)),"")</f>
        <v/>
      </c>
      <c r="H23" s="114">
        <f t="array" ref="H23">IFERROR(INDEX('Master Stock'!$D$2:$D$99,MATCH(ROWS($G$9:G23),'Master Stock'!$P$2:$P$99,0)),"")</f>
        <v/>
      </c>
      <c r="I23" s="113">
        <f t="array" ref="I23">IF(G23="","",IFERROR(INDEX('Master Stock'!$J$2:$J$99,MATCH(ROWS($G$9:G23),'Master Stock'!$P$2:$P$99,0)),""))</f>
        <v/>
      </c>
      <c r="J23" s="115">
        <f>IF(I23="","",MAX(0,TODAY()-I23))</f>
        <v/>
      </c>
      <c r="K23" s="95" t="n"/>
    </row>
    <row r="24" hidden="1" ht="15.75" customHeight="1" s="230">
      <c r="A24" s="114">
        <f t="array" ref="A24">IFERROR(INDEX('Master Stock'!$C$2:$C$99,MATCH(ROWS($A$9:A24),'Master Stock'!$N$2:$N$99,0)),"")</f>
        <v/>
      </c>
      <c r="B24" s="114">
        <f t="array" ref="B24">IFERROR(INDEX('Master Stock'!$D$2:$D$99,MATCH(ROWS($A$9:A24),'Master Stock'!$N$2:$N$99,0)),"")</f>
        <v/>
      </c>
      <c r="C24" s="113">
        <f t="array" ref="C24">IF(A24="","",IFERROR(INDEX('Master Stock'!$J$2:$J$99,MATCH(ROWS($A$9:A24),'Master Stock'!$N$2:$N$99,0)),""))</f>
        <v/>
      </c>
      <c r="D24" s="116">
        <f>IF(C24="","",MAX(0,TODAY()-C24))</f>
        <v/>
      </c>
      <c r="E24" s="112" t="n"/>
      <c r="F24" s="96" t="n"/>
      <c r="G24" s="113">
        <f t="array" ref="G24">IFERROR(INDEX('Master Stock'!$C$2:$C$99,MATCH(ROWS($G$9:G24),'Master Stock'!$P$2:$P$99,0)),"")</f>
        <v/>
      </c>
      <c r="H24" s="114">
        <f t="array" ref="H24">IFERROR(INDEX('Master Stock'!$D$2:$D$99,MATCH(ROWS($G$9:G24),'Master Stock'!$P$2:$P$99,0)),"")</f>
        <v/>
      </c>
      <c r="I24" s="113">
        <f t="array" ref="I24">IF(G24="","",IFERROR(INDEX('Master Stock'!$J$2:$J$99,MATCH(ROWS($G$9:G24),'Master Stock'!$P$2:$P$99,0)),""))</f>
        <v/>
      </c>
      <c r="J24" s="115">
        <f>IF(I24="","",MAX(0,TODAY()-I24))</f>
        <v/>
      </c>
      <c r="K24" s="95" t="n"/>
    </row>
    <row r="25" hidden="1" ht="15.75" customHeight="1" s="230">
      <c r="A25" s="114">
        <f t="array" ref="A25">IFERROR(INDEX('Master Stock'!$C$2:$C$99,MATCH(ROWS($A$9:A25),'Master Stock'!$N$2:$N$99,0)),"")</f>
        <v/>
      </c>
      <c r="B25" s="114">
        <f t="array" ref="B25">IFERROR(INDEX('Master Stock'!$D$2:$D$99,MATCH(ROWS($A$9:A25),'Master Stock'!$N$2:$N$99,0)),"")</f>
        <v/>
      </c>
      <c r="C25" s="113">
        <f t="array" ref="C25">IF(A25="","",IFERROR(INDEX('Master Stock'!$J$2:$J$99,MATCH(ROWS($A$9:A25),'Master Stock'!$N$2:$N$99,0)),""))</f>
        <v/>
      </c>
      <c r="D25" s="116">
        <f>IF(C25="","",MAX(0,TODAY()-C25))</f>
        <v/>
      </c>
      <c r="E25" s="112" t="n"/>
      <c r="F25" s="96" t="n"/>
      <c r="G25" s="113">
        <f t="array" ref="G25">IFERROR(INDEX('Master Stock'!$C$2:$C$99,MATCH(ROWS($G$9:G25),'Master Stock'!$P$2:$P$99,0)),"")</f>
        <v/>
      </c>
      <c r="H25" s="114">
        <f t="array" ref="H25">IFERROR(INDEX('Master Stock'!$D$2:$D$99,MATCH(ROWS($G$9:G25),'Master Stock'!$P$2:$P$99,0)),"")</f>
        <v/>
      </c>
      <c r="I25" s="113">
        <f t="array" ref="I25">IF(G25="","",IFERROR(INDEX('Master Stock'!$J$2:$J$99,MATCH(ROWS($G$9:G25),'Master Stock'!$P$2:$P$99,0)),""))</f>
        <v/>
      </c>
      <c r="J25" s="115">
        <f>IF(I25="","",MAX(0,TODAY()-I25))</f>
        <v/>
      </c>
      <c r="K25" s="95" t="n"/>
    </row>
    <row r="26" hidden="1" ht="15.75" customHeight="1" s="230">
      <c r="A26" s="114">
        <f t="array" ref="A26">IFERROR(INDEX('Master Stock'!$C$2:$C$99,MATCH(ROWS($A$9:A26),'Master Stock'!$N$2:$N$99,0)),"")</f>
        <v/>
      </c>
      <c r="B26" s="114">
        <f t="array" ref="B26">IFERROR(INDEX('Master Stock'!$D$2:$D$99,MATCH(ROWS($A$9:A26),'Master Stock'!$N$2:$N$99,0)),"")</f>
        <v/>
      </c>
      <c r="C26" s="113">
        <f t="array" ref="C26">IF(A26="","",IFERROR(INDEX('Master Stock'!$J$2:$J$99,MATCH(ROWS($A$9:A26),'Master Stock'!$N$2:$N$99,0)),""))</f>
        <v/>
      </c>
      <c r="D26" s="116">
        <f>IF(C26="","",MAX(0,TODAY()-C26))</f>
        <v/>
      </c>
      <c r="E26" s="112" t="n"/>
      <c r="F26" s="96" t="n"/>
      <c r="G26" s="113">
        <f t="array" ref="G26">IFERROR(INDEX('Master Stock'!$C$2:$C$99,MATCH(ROWS($G$9:G26),'Master Stock'!$P$2:$P$99,0)),"")</f>
        <v/>
      </c>
      <c r="H26" s="114">
        <f t="array" ref="H26">IFERROR(INDEX('Master Stock'!$D$2:$D$99,MATCH(ROWS($G$9:G26),'Master Stock'!$P$2:$P$99,0)),"")</f>
        <v/>
      </c>
      <c r="I26" s="113">
        <f t="array" ref="I26">IF(G26="","",IFERROR(INDEX('Master Stock'!$J$2:$J$99,MATCH(ROWS($G$9:G26),'Master Stock'!$P$2:$P$99,0)),""))</f>
        <v/>
      </c>
      <c r="J26" s="115">
        <f>IF(I26="","",MAX(0,TODAY()-I26))</f>
        <v/>
      </c>
      <c r="K26" s="95" t="n"/>
    </row>
    <row r="27" hidden="1" ht="15.75" customHeight="1" s="230">
      <c r="A27" s="114">
        <f t="array" ref="A27">IFERROR(INDEX('Master Stock'!$C$2:$C$99,MATCH(ROWS($A$9:A27),'Master Stock'!$N$2:$N$99,0)),"")</f>
        <v/>
      </c>
      <c r="B27" s="114">
        <f t="array" ref="B27">IFERROR(INDEX('Master Stock'!$D$2:$D$99,MATCH(ROWS($A$9:A27),'Master Stock'!$N$2:$N$99,0)),"")</f>
        <v/>
      </c>
      <c r="C27" s="113">
        <f t="array" ref="C27">IF(A27="","",IFERROR(INDEX('Master Stock'!$J$2:$J$99,MATCH(ROWS($A$9:A27),'Master Stock'!$N$2:$N$99,0)),""))</f>
        <v/>
      </c>
      <c r="D27" s="116">
        <f>IF(C27="","",MAX(0,TODAY()-C27))</f>
        <v/>
      </c>
      <c r="E27" s="112" t="n"/>
      <c r="F27" s="96" t="n"/>
      <c r="G27" s="113">
        <f t="array" ref="G27">IFERROR(INDEX('Master Stock'!$C$2:$C$99,MATCH(ROWS($G$9:G27),'Master Stock'!$P$2:$P$99,0)),"")</f>
        <v/>
      </c>
      <c r="H27" s="114">
        <f t="array" ref="H27">IFERROR(INDEX('Master Stock'!$D$2:$D$99,MATCH(ROWS($G$9:G27),'Master Stock'!$P$2:$P$99,0)),"")</f>
        <v/>
      </c>
      <c r="I27" s="113">
        <f t="array" ref="I27">IF(G27="","",IFERROR(INDEX('Master Stock'!$J$2:$J$99,MATCH(ROWS($G$9:G27),'Master Stock'!$P$2:$P$99,0)),""))</f>
        <v/>
      </c>
      <c r="J27" s="115">
        <f>IF(I27="","",MAX(0,TODAY()-I27))</f>
        <v/>
      </c>
      <c r="K27" s="95" t="n"/>
    </row>
    <row r="28" hidden="1" ht="15.75" customHeight="1" s="230">
      <c r="A28" s="114">
        <f t="array" ref="A28">IFERROR(INDEX('Master Stock'!$C$2:$C$99,MATCH(ROWS($A$9:A28),'Master Stock'!$N$2:$N$99,0)),"")</f>
        <v/>
      </c>
      <c r="B28" s="114">
        <f t="array" ref="B28">IFERROR(INDEX('Master Stock'!$D$2:$D$99,MATCH(ROWS($A$9:A28),'Master Stock'!$N$2:$N$99,0)),"")</f>
        <v/>
      </c>
      <c r="C28" s="113">
        <f t="array" ref="C28">IF(A28="","",IFERROR(INDEX('Master Stock'!$J$2:$J$99,MATCH(ROWS($A$9:A28),'Master Stock'!$N$2:$N$99,0)),""))</f>
        <v/>
      </c>
      <c r="D28" s="116">
        <f>IF(C28="","",MAX(0,TODAY()-C28))</f>
        <v/>
      </c>
      <c r="E28" s="112" t="n"/>
      <c r="F28" s="96" t="n"/>
      <c r="G28" s="113">
        <f t="array" ref="G28">IFERROR(INDEX('Master Stock'!$C$2:$C$99,MATCH(ROWS($G$9:G28),'Master Stock'!$P$2:$P$99,0)),"")</f>
        <v/>
      </c>
      <c r="H28" s="114">
        <f t="array" ref="H28">IFERROR(INDEX('Master Stock'!$D$2:$D$99,MATCH(ROWS($G$9:G28),'Master Stock'!$P$2:$P$99,0)),"")</f>
        <v/>
      </c>
      <c r="I28" s="113">
        <f t="array" ref="I28">IF(G28="","",IFERROR(INDEX('Master Stock'!$J$2:$J$99,MATCH(ROWS($G$9:G28),'Master Stock'!$P$2:$P$99,0)),""))</f>
        <v/>
      </c>
      <c r="J28" s="115">
        <f>IF(I28="","",MAX(0,TODAY()-I28))</f>
        <v/>
      </c>
      <c r="K28" s="95" t="n"/>
    </row>
    <row r="29" hidden="1" ht="15.75" customHeight="1" s="230">
      <c r="A29" s="114">
        <f t="array" ref="A29">IFERROR(INDEX('Master Stock'!$C$2:$C$99,MATCH(ROWS($A$9:A29),'Master Stock'!$N$2:$N$99,0)),"")</f>
        <v/>
      </c>
      <c r="B29" s="114">
        <f t="array" ref="B29">IFERROR(INDEX('Master Stock'!$D$2:$D$99,MATCH(ROWS($A$9:A29),'Master Stock'!$N$2:$N$99,0)),"")</f>
        <v/>
      </c>
      <c r="C29" s="113">
        <f t="array" ref="C29">IF(A29="","",IFERROR(INDEX('Master Stock'!$J$2:$J$99,MATCH(ROWS($A$9:A29),'Master Stock'!$N$2:$N$99,0)),""))</f>
        <v/>
      </c>
      <c r="D29" s="116">
        <f>IF(C29="","",MAX(0,TODAY()-C29))</f>
        <v/>
      </c>
      <c r="E29" s="112" t="n"/>
      <c r="F29" s="96" t="n"/>
      <c r="G29" s="113">
        <f t="array" ref="G29">IFERROR(INDEX('Master Stock'!$C$2:$C$99,MATCH(ROWS($G$9:G29),'Master Stock'!$P$2:$P$99,0)),"")</f>
        <v/>
      </c>
      <c r="H29" s="114">
        <f t="array" ref="H29">IFERROR(INDEX('Master Stock'!$D$2:$D$99,MATCH(ROWS($G$9:G29),'Master Stock'!$P$2:$P$99,0)),"")</f>
        <v/>
      </c>
      <c r="I29" s="113">
        <f t="array" ref="I29">IF(G29="","",IFERROR(INDEX('Master Stock'!$J$2:$J$99,MATCH(ROWS($G$9:G29),'Master Stock'!$P$2:$P$99,0)),""))</f>
        <v/>
      </c>
      <c r="J29" s="115">
        <f>IF(I29="","",MAX(0,TODAY()-I29))</f>
        <v/>
      </c>
      <c r="K29" s="95" t="n"/>
    </row>
    <row r="30" hidden="1" ht="15.75" customHeight="1" s="230">
      <c r="A30" s="114">
        <f t="array" ref="A30">IFERROR(INDEX('Master Stock'!$C$2:$C$99,MATCH(ROWS($A$9:A30),'Master Stock'!$N$2:$N$99,0)),"")</f>
        <v/>
      </c>
      <c r="B30" s="114">
        <f t="array" ref="B30">IFERROR(INDEX('Master Stock'!$D$2:$D$99,MATCH(ROWS($A$9:A30),'Master Stock'!$N$2:$N$99,0)),"")</f>
        <v/>
      </c>
      <c r="C30" s="113">
        <f t="array" ref="C30">IF(A30="","",IFERROR(INDEX('Master Stock'!$J$2:$J$99,MATCH(ROWS($A$9:A30),'Master Stock'!$N$2:$N$99,0)),""))</f>
        <v/>
      </c>
      <c r="D30" s="116">
        <f>IF(C30="","",MAX(0,TODAY()-C30))</f>
        <v/>
      </c>
      <c r="E30" s="112" t="n"/>
      <c r="F30" s="96" t="n"/>
      <c r="G30" s="113">
        <f t="array" ref="G30">IFERROR(INDEX('Master Stock'!$C$2:$C$99,MATCH(ROWS($G$9:G30),'Master Stock'!$P$2:$P$99,0)),"")</f>
        <v/>
      </c>
      <c r="H30" s="114">
        <f t="array" ref="H30">IFERROR(INDEX('Master Stock'!$D$2:$D$99,MATCH(ROWS($G$9:G30),'Master Stock'!$P$2:$P$99,0)),"")</f>
        <v/>
      </c>
      <c r="I30" s="113">
        <f t="array" ref="I30">IF(G30="","",IFERROR(INDEX('Master Stock'!$J$2:$J$99,MATCH(ROWS($G$9:G30),'Master Stock'!$P$2:$P$99,0)),""))</f>
        <v/>
      </c>
      <c r="J30" s="115">
        <f>IF(I30="","",MAX(0,TODAY()-I30))</f>
        <v/>
      </c>
      <c r="K30" s="95" t="n"/>
    </row>
    <row r="31" hidden="1" ht="15.75" customHeight="1" s="230">
      <c r="A31" s="114">
        <f t="array" ref="A31">IFERROR(INDEX('Master Stock'!$C$2:$C$99,MATCH(ROWS($A$9:A31),'Master Stock'!$N$2:$N$99,0)),"")</f>
        <v/>
      </c>
      <c r="B31" s="114">
        <f t="array" ref="B31">IFERROR(INDEX('Master Stock'!$D$2:$D$99,MATCH(ROWS($A$9:A31),'Master Stock'!$N$2:$N$99,0)),"")</f>
        <v/>
      </c>
      <c r="C31" s="113">
        <f t="array" ref="C31">IF(A31="","",IFERROR(INDEX('Master Stock'!$J$2:$J$99,MATCH(ROWS($A$9:A31),'Master Stock'!$N$2:$N$99,0)),""))</f>
        <v/>
      </c>
      <c r="D31" s="116">
        <f>IF(C31="","",MAX(0,TODAY()-C31))</f>
        <v/>
      </c>
      <c r="E31" s="112" t="n"/>
      <c r="F31" s="96" t="n"/>
      <c r="G31" s="113">
        <f t="array" ref="G31">IFERROR(INDEX('Master Stock'!$C$2:$C$99,MATCH(ROWS($G$9:G31),'Master Stock'!$P$2:$P$99,0)),"")</f>
        <v/>
      </c>
      <c r="H31" s="114">
        <f t="array" ref="H31">IFERROR(INDEX('Master Stock'!$D$2:$D$99,MATCH(ROWS($G$9:G31),'Master Stock'!$P$2:$P$99,0)),"")</f>
        <v/>
      </c>
      <c r="I31" s="113">
        <f t="array" ref="I31">IF(G31="","",IFERROR(INDEX('Master Stock'!$J$2:$J$99,MATCH(ROWS($G$9:G31),'Master Stock'!$P$2:$P$99,0)),""))</f>
        <v/>
      </c>
      <c r="J31" s="115">
        <f>IF(I31="","",MAX(0,TODAY()-I31))</f>
        <v/>
      </c>
      <c r="K31" s="95" t="n"/>
    </row>
    <row r="32" hidden="1" ht="15.75" customHeight="1" s="230">
      <c r="A32" s="114">
        <f t="array" ref="A32">IFERROR(INDEX('Master Stock'!$C$2:$C$99,MATCH(ROWS($A$9:A32),'Master Stock'!$N$2:$N$99,0)),"")</f>
        <v/>
      </c>
      <c r="B32" s="114">
        <f t="array" ref="B32">IFERROR(INDEX('Master Stock'!$D$2:$D$99,MATCH(ROWS($A$9:A32),'Master Stock'!$N$2:$N$99,0)),"")</f>
        <v/>
      </c>
      <c r="C32" s="113">
        <f t="array" ref="C32">IF(A32="","",IFERROR(INDEX('Master Stock'!$J$2:$J$99,MATCH(ROWS($A$9:A32),'Master Stock'!$N$2:$N$99,0)),""))</f>
        <v/>
      </c>
      <c r="D32" s="116">
        <f>IF(C32="","",MAX(0,TODAY()-C32))</f>
        <v/>
      </c>
      <c r="E32" s="112" t="n"/>
      <c r="F32" s="96" t="n"/>
      <c r="G32" s="113">
        <f t="array" ref="G32">IFERROR(INDEX('Master Stock'!$C$2:$C$99,MATCH(ROWS($G$9:G32),'Master Stock'!$P$2:$P$99,0)),"")</f>
        <v/>
      </c>
      <c r="H32" s="114">
        <f t="array" ref="H32">IFERROR(INDEX('Master Stock'!$D$2:$D$99,MATCH(ROWS($G$9:G32),'Master Stock'!$P$2:$P$99,0)),"")</f>
        <v/>
      </c>
      <c r="I32" s="113">
        <f t="array" ref="I32">IF(G32="","",IFERROR(INDEX('Master Stock'!$J$2:$J$99,MATCH(ROWS($G$9:G32),'Master Stock'!$P$2:$P$99,0)),""))</f>
        <v/>
      </c>
      <c r="J32" s="115">
        <f>IF(I32="","",MAX(0,TODAY()-I32))</f>
        <v/>
      </c>
      <c r="K32" s="95" t="n"/>
    </row>
    <row r="33" hidden="1" ht="15.75" customHeight="1" s="230">
      <c r="A33" s="114">
        <f t="array" ref="A33">IFERROR(INDEX('Master Stock'!$C$2:$C$99,MATCH(ROWS($A$9:A33),'Master Stock'!$N$2:$N$99,0)),"")</f>
        <v/>
      </c>
      <c r="B33" s="114">
        <f t="array" ref="B33">IFERROR(INDEX('Master Stock'!$D$2:$D$99,MATCH(ROWS($A$9:A33),'Master Stock'!$N$2:$N$99,0)),"")</f>
        <v/>
      </c>
      <c r="C33" s="113">
        <f t="array" ref="C33">IF(A33="","",IFERROR(INDEX('Master Stock'!$J$2:$J$99,MATCH(ROWS($A$9:A33),'Master Stock'!$N$2:$N$99,0)),""))</f>
        <v/>
      </c>
      <c r="D33" s="116">
        <f>IF(C33="","",MAX(0,TODAY()-C33))</f>
        <v/>
      </c>
      <c r="E33" s="112" t="n"/>
      <c r="F33" s="96" t="n"/>
      <c r="G33" s="113">
        <f t="array" ref="G33">IFERROR(INDEX('Master Stock'!$C$2:$C$99,MATCH(ROWS($G$9:G33),'Master Stock'!$P$2:$P$99,0)),"")</f>
        <v/>
      </c>
      <c r="H33" s="114">
        <f t="array" ref="H33">IFERROR(INDEX('Master Stock'!$D$2:$D$99,MATCH(ROWS($G$9:G33),'Master Stock'!$P$2:$P$99,0)),"")</f>
        <v/>
      </c>
      <c r="I33" s="113">
        <f t="array" ref="I33">IF(G33="","",IFERROR(INDEX('Master Stock'!$J$2:$J$99,MATCH(ROWS($G$9:G33),'Master Stock'!$P$2:$P$99,0)),""))</f>
        <v/>
      </c>
      <c r="J33" s="115">
        <f>IF(I33="","",MAX(0,TODAY()-I33))</f>
        <v/>
      </c>
      <c r="K33" s="95" t="n"/>
    </row>
    <row r="34" hidden="1" ht="15.75" customHeight="1" s="230">
      <c r="A34" s="114">
        <f t="array" ref="A34">IFERROR(INDEX('Master Stock'!$C$2:$C$99,MATCH(ROWS($A$9:A34),'Master Stock'!$N$2:$N$99,0)),"")</f>
        <v/>
      </c>
      <c r="B34" s="114">
        <f t="array" ref="B34">IFERROR(INDEX('Master Stock'!$D$2:$D$99,MATCH(ROWS($A$9:A34),'Master Stock'!$N$2:$N$99,0)),"")</f>
        <v/>
      </c>
      <c r="C34" s="113">
        <f t="array" ref="C34">IF(A34="","",IFERROR(INDEX('Master Stock'!$J$2:$J$99,MATCH(ROWS($A$9:A34),'Master Stock'!$N$2:$N$99,0)),""))</f>
        <v/>
      </c>
      <c r="D34" s="116">
        <f>IF(C34="","",MAX(0,TODAY()-C34))</f>
        <v/>
      </c>
      <c r="E34" s="112" t="n"/>
      <c r="F34" s="96" t="n"/>
      <c r="G34" s="113">
        <f t="array" ref="G34">IFERROR(INDEX('Master Stock'!$C$2:$C$99,MATCH(ROWS($G$9:G34),'Master Stock'!$P$2:$P$99,0)),"")</f>
        <v/>
      </c>
      <c r="H34" s="114">
        <f t="array" ref="H34">IFERROR(INDEX('Master Stock'!$D$2:$D$99,MATCH(ROWS($G$9:G34),'Master Stock'!$P$2:$P$99,0)),"")</f>
        <v/>
      </c>
      <c r="I34" s="113">
        <f t="array" ref="I34">IF(G34="","",IFERROR(INDEX('Master Stock'!$J$2:$J$99,MATCH(ROWS($G$9:G34),'Master Stock'!$P$2:$P$99,0)),""))</f>
        <v/>
      </c>
      <c r="J34" s="115">
        <f>IF(I34="","",MAX(0,TODAY()-I34))</f>
        <v/>
      </c>
      <c r="K34" s="95" t="n"/>
    </row>
    <row r="35" hidden="1" ht="15.75" customHeight="1" s="230">
      <c r="A35" s="114">
        <f t="array" ref="A35">IFERROR(INDEX('Master Stock'!$C$2:$C$99,MATCH(ROWS($A$9:A35),'Master Stock'!$N$2:$N$99,0)),"")</f>
        <v/>
      </c>
      <c r="B35" s="114">
        <f t="array" ref="B35">IFERROR(INDEX('Master Stock'!$D$2:$D$99,MATCH(ROWS($A$9:A35),'Master Stock'!$N$2:$N$99,0)),"")</f>
        <v/>
      </c>
      <c r="C35" s="113">
        <f t="array" ref="C35">IF(A35="","",IFERROR(INDEX('Master Stock'!$J$2:$J$99,MATCH(ROWS($A$9:A35),'Master Stock'!$N$2:$N$99,0)),""))</f>
        <v/>
      </c>
      <c r="D35" s="116">
        <f>IF(C35="","",MAX(0,TODAY()-C35))</f>
        <v/>
      </c>
      <c r="E35" s="112" t="n"/>
      <c r="F35" s="96" t="n"/>
      <c r="G35" s="113">
        <f t="array" ref="G35">IFERROR(INDEX('Master Stock'!$C$2:$C$99,MATCH(ROWS($G$9:G35),'Master Stock'!$P$2:$P$99,0)),"")</f>
        <v/>
      </c>
      <c r="H35" s="114">
        <f t="array" ref="H35">IFERROR(INDEX('Master Stock'!$D$2:$D$99,MATCH(ROWS($G$9:G35),'Master Stock'!$P$2:$P$99,0)),"")</f>
        <v/>
      </c>
      <c r="I35" s="113">
        <f t="array" ref="I35">IF(G35="","",IFERROR(INDEX('Master Stock'!$J$2:$J$99,MATCH(ROWS($G$9:G35),'Master Stock'!$P$2:$P$99,0)),""))</f>
        <v/>
      </c>
      <c r="J35" s="115">
        <f>IF(I35="","",MAX(0,TODAY()-I35))</f>
        <v/>
      </c>
      <c r="K35" s="95" t="n"/>
    </row>
    <row r="36" hidden="1" ht="15.75" customHeight="1" s="230">
      <c r="A36" s="114">
        <f t="array" ref="A36">IFERROR(INDEX('Master Stock'!$C$2:$C$99,MATCH(ROWS($A$9:A36),'Master Stock'!$N$2:$N$99,0)),"")</f>
        <v/>
      </c>
      <c r="B36" s="114">
        <f t="array" ref="B36">IFERROR(INDEX('Master Stock'!$D$2:$D$99,MATCH(ROWS($A$9:A36),'Master Stock'!$N$2:$N$99,0)),"")</f>
        <v/>
      </c>
      <c r="C36" s="113">
        <f t="array" ref="C36">IF(A36="","",IFERROR(INDEX('Master Stock'!$J$2:$J$99,MATCH(ROWS($A$9:A36),'Master Stock'!$N$2:$N$99,0)),""))</f>
        <v/>
      </c>
      <c r="D36" s="116">
        <f>IF(C36="","",MAX(0,TODAY()-C36))</f>
        <v/>
      </c>
      <c r="E36" s="112" t="n"/>
      <c r="F36" s="96" t="n"/>
      <c r="G36" s="113">
        <f t="array" ref="G36">IFERROR(INDEX('Master Stock'!$C$2:$C$99,MATCH(ROWS($G$9:G36),'Master Stock'!$P$2:$P$99,0)),"")</f>
        <v/>
      </c>
      <c r="H36" s="114">
        <f t="array" ref="H36">IFERROR(INDEX('Master Stock'!$D$2:$D$99,MATCH(ROWS($G$9:G36),'Master Stock'!$P$2:$P$99,0)),"")</f>
        <v/>
      </c>
      <c r="I36" s="113">
        <f t="array" ref="I36">IF(G36="","",IFERROR(INDEX('Master Stock'!$J$2:$J$99,MATCH(ROWS($G$9:G36),'Master Stock'!$P$2:$P$99,0)),""))</f>
        <v/>
      </c>
      <c r="J36" s="115">
        <f>IF(I36="","",MAX(0,TODAY()-I36))</f>
        <v/>
      </c>
      <c r="K36" s="95" t="n"/>
    </row>
    <row r="37" hidden="1" ht="15.75" customHeight="1" s="230">
      <c r="A37" s="114">
        <f t="array" ref="A37">IFERROR(INDEX('Master Stock'!$C$2:$C$99,MATCH(ROWS($A$9:A37),'Master Stock'!$N$2:$N$99,0)),"")</f>
        <v/>
      </c>
      <c r="B37" s="114">
        <f t="array" ref="B37">IFERROR(INDEX('Master Stock'!$D$2:$D$99,MATCH(ROWS($A$9:A37),'Master Stock'!$N$2:$N$99,0)),"")</f>
        <v/>
      </c>
      <c r="C37" s="113">
        <f t="array" ref="C37">IF(A37="","",IFERROR(INDEX('Master Stock'!$J$2:$J$99,MATCH(ROWS($A$9:A37),'Master Stock'!$N$2:$N$99,0)),""))</f>
        <v/>
      </c>
      <c r="D37" s="116">
        <f>IF(C37="","",MAX(0,TODAY()-C37))</f>
        <v/>
      </c>
      <c r="E37" s="112" t="n"/>
      <c r="F37" s="96" t="n"/>
      <c r="G37" s="113">
        <f t="array" ref="G37">IFERROR(INDEX('Master Stock'!$C$2:$C$99,MATCH(ROWS($G$9:G37),'Master Stock'!$P$2:$P$99,0)),"")</f>
        <v/>
      </c>
      <c r="H37" s="114">
        <f t="array" ref="H37">IFERROR(INDEX('Master Stock'!$D$2:$D$99,MATCH(ROWS($G$9:G37),'Master Stock'!$P$2:$P$99,0)),"")</f>
        <v/>
      </c>
      <c r="I37" s="113">
        <f t="array" ref="I37">IF(G37="","",IFERROR(INDEX('Master Stock'!$J$2:$J$99,MATCH(ROWS($G$9:G37),'Master Stock'!$P$2:$P$99,0)),""))</f>
        <v/>
      </c>
      <c r="J37" s="115">
        <f>IF(I37="","",MAX(0,TODAY()-I37))</f>
        <v/>
      </c>
      <c r="K37" s="95" t="n"/>
    </row>
    <row r="38" hidden="1" ht="15.75" customHeight="1" s="230">
      <c r="A38" s="114">
        <f t="array" ref="A38">IFERROR(INDEX('Master Stock'!$C$2:$C$99,MATCH(ROWS($A$9:A38),'Master Stock'!$N$2:$N$99,0)),"")</f>
        <v/>
      </c>
      <c r="B38" s="114">
        <f t="array" ref="B38">IFERROR(INDEX('Master Stock'!$D$2:$D$99,MATCH(ROWS($A$9:A38),'Master Stock'!$N$2:$N$99,0)),"")</f>
        <v/>
      </c>
      <c r="C38" s="113">
        <f t="array" ref="C38">IF(A38="","",IFERROR(INDEX('Master Stock'!$J$2:$J$99,MATCH(ROWS($A$9:A38),'Master Stock'!$N$2:$N$99,0)),""))</f>
        <v/>
      </c>
      <c r="D38" s="116">
        <f>IF(C38="","",MAX(0,TODAY()-C38))</f>
        <v/>
      </c>
      <c r="E38" s="112" t="n"/>
      <c r="F38" s="96" t="n"/>
      <c r="G38" s="113">
        <f t="array" ref="G38">IFERROR(INDEX('Master Stock'!$C$2:$C$99,MATCH(ROWS($G$9:G38),'Master Stock'!$P$2:$P$99,0)),"")</f>
        <v/>
      </c>
      <c r="H38" s="114">
        <f t="array" ref="H38">IFERROR(INDEX('Master Stock'!$D$2:$D$99,MATCH(ROWS($G$9:G38),'Master Stock'!$P$2:$P$99,0)),"")</f>
        <v/>
      </c>
      <c r="I38" s="113">
        <f t="array" ref="I38">IF(G38="","",IFERROR(INDEX('Master Stock'!$J$2:$J$99,MATCH(ROWS($G$9:G38),'Master Stock'!$P$2:$P$99,0)),""))</f>
        <v/>
      </c>
      <c r="J38" s="115">
        <f>IF(I38="","",MAX(0,TODAY()-I38))</f>
        <v/>
      </c>
      <c r="K38" s="95" t="n"/>
    </row>
    <row r="39" hidden="1" ht="15.75" customHeight="1" s="230">
      <c r="A39" s="114">
        <f t="array" ref="A39">IFERROR(INDEX('Master Stock'!$C$2:$C$99,MATCH(ROWS($A$9:A39),'Master Stock'!$N$2:$N$99,0)),"")</f>
        <v/>
      </c>
      <c r="B39" s="114">
        <f t="array" ref="B39">IFERROR(INDEX('Master Stock'!$D$2:$D$99,MATCH(ROWS($A$9:A39),'Master Stock'!$N$2:$N$99,0)),"")</f>
        <v/>
      </c>
      <c r="C39" s="113">
        <f t="array" ref="C39">IF(A39="","",IFERROR(INDEX('Master Stock'!$J$2:$J$99,MATCH(ROWS($A$9:A39),'Master Stock'!$N$2:$N$99,0)),""))</f>
        <v/>
      </c>
      <c r="D39" s="116">
        <f>IF(C39="","",MAX(0,TODAY()-C39))</f>
        <v/>
      </c>
      <c r="E39" s="112" t="n"/>
      <c r="F39" s="96" t="n"/>
      <c r="G39" s="113">
        <f t="array" ref="G39">IFERROR(INDEX('Master Stock'!$C$2:$C$99,MATCH(ROWS($G$9:G39),'Master Stock'!$P$2:$P$99,0)),"")</f>
        <v/>
      </c>
      <c r="H39" s="114">
        <f t="array" ref="H39">IFERROR(INDEX('Master Stock'!$D$2:$D$99,MATCH(ROWS($G$9:G39),'Master Stock'!$P$2:$P$99,0)),"")</f>
        <v/>
      </c>
      <c r="I39" s="113">
        <f t="array" ref="I39">IF(G39="","",IFERROR(INDEX('Master Stock'!$J$2:$J$99,MATCH(ROWS($G$9:G39),'Master Stock'!$P$2:$P$99,0)),""))</f>
        <v/>
      </c>
      <c r="J39" s="115">
        <f>IF(I39="","",MAX(0,TODAY()-I39))</f>
        <v/>
      </c>
      <c r="K39" s="95" t="n"/>
    </row>
    <row r="40" hidden="1" ht="15.75" customHeight="1" s="230">
      <c r="A40" s="114">
        <f t="array" ref="A40">IFERROR(INDEX('Master Stock'!$C$2:$C$99,MATCH(ROWS($A$9:A40),'Master Stock'!$N$2:$N$99,0)),"")</f>
        <v/>
      </c>
      <c r="B40" s="114">
        <f t="array" ref="B40">IFERROR(INDEX('Master Stock'!$D$2:$D$99,MATCH(ROWS($A$9:A40),'Master Stock'!$N$2:$N$99,0)),"")</f>
        <v/>
      </c>
      <c r="C40" s="113">
        <f t="array" ref="C40">IF(A40="","",IFERROR(INDEX('Master Stock'!$J$2:$J$99,MATCH(ROWS($A$9:A40),'Master Stock'!$N$2:$N$99,0)),""))</f>
        <v/>
      </c>
      <c r="D40" s="116">
        <f>IF(C40="","",MAX(0,TODAY()-C40))</f>
        <v/>
      </c>
      <c r="E40" s="112" t="n"/>
      <c r="F40" s="96" t="n"/>
      <c r="G40" s="113">
        <f t="array" ref="G40">IFERROR(INDEX('Master Stock'!$C$2:$C$99,MATCH(ROWS($G$9:G40),'Master Stock'!$P$2:$P$99,0)),"")</f>
        <v/>
      </c>
      <c r="H40" s="114">
        <f t="array" ref="H40">IFERROR(INDEX('Master Stock'!$D$2:$D$99,MATCH(ROWS($G$9:G40),'Master Stock'!$P$2:$P$99,0)),"")</f>
        <v/>
      </c>
      <c r="I40" s="113">
        <f t="array" ref="I40">IF(G40="","",IFERROR(INDEX('Master Stock'!$J$2:$J$99,MATCH(ROWS($G$9:G40),'Master Stock'!$P$2:$P$99,0)),""))</f>
        <v/>
      </c>
      <c r="J40" s="115">
        <f>IF(I40="","",MAX(0,TODAY()-I40))</f>
        <v/>
      </c>
      <c r="K40" s="95" t="n"/>
    </row>
    <row r="41" hidden="1" ht="15.75" customHeight="1" s="230">
      <c r="A41" s="114">
        <f t="array" ref="A41">IFERROR(INDEX('Master Stock'!$C$2:$C$99,MATCH(ROWS($A$9:A41),'Master Stock'!$N$2:$N$99,0)),"")</f>
        <v/>
      </c>
      <c r="B41" s="114">
        <f t="array" ref="B41">IFERROR(INDEX('Master Stock'!$D$2:$D$99,MATCH(ROWS($A$9:A41),'Master Stock'!$N$2:$N$99,0)),"")</f>
        <v/>
      </c>
      <c r="C41" s="113">
        <f t="array" ref="C41">IF(A41="","",IFERROR(INDEX('Master Stock'!$J$2:$J$99,MATCH(ROWS($A$9:A41),'Master Stock'!$N$2:$N$99,0)),""))</f>
        <v/>
      </c>
      <c r="D41" s="116">
        <f>IF(C41="","",MAX(0,TODAY()-C41))</f>
        <v/>
      </c>
      <c r="E41" s="112" t="n"/>
      <c r="F41" s="96" t="n"/>
      <c r="G41" s="113">
        <f t="array" ref="G41">IFERROR(INDEX('Master Stock'!$C$2:$C$99,MATCH(ROWS($G$9:G41),'Master Stock'!$P$2:$P$99,0)),"")</f>
        <v/>
      </c>
      <c r="H41" s="114">
        <f t="array" ref="H41">IFERROR(INDEX('Master Stock'!$D$2:$D$99,MATCH(ROWS($G$9:G41),'Master Stock'!$P$2:$P$99,0)),"")</f>
        <v/>
      </c>
      <c r="I41" s="113">
        <f t="array" ref="I41">IF(G41="","",IFERROR(INDEX('Master Stock'!$J$2:$J$99,MATCH(ROWS($G$9:G41),'Master Stock'!$P$2:$P$99,0)),""))</f>
        <v/>
      </c>
      <c r="J41" s="115">
        <f>IF(I41="","",MAX(0,TODAY()-I41))</f>
        <v/>
      </c>
      <c r="K41" s="95" t="n"/>
    </row>
    <row r="42" hidden="1" ht="15.75" customHeight="1" s="230">
      <c r="A42" s="114">
        <f t="array" ref="A42">IFERROR(INDEX('Master Stock'!$C$2:$C$99,MATCH(ROWS($A$9:A42),'Master Stock'!$N$2:$N$99,0)),"")</f>
        <v/>
      </c>
      <c r="B42" s="114">
        <f t="array" ref="B42">IFERROR(INDEX('Master Stock'!$D$2:$D$99,MATCH(ROWS($A$9:A42),'Master Stock'!$N$2:$N$99,0)),"")</f>
        <v/>
      </c>
      <c r="C42" s="113">
        <f t="array" ref="C42">IF(A42="","",IFERROR(INDEX('Master Stock'!$J$2:$J$99,MATCH(ROWS($A$9:A42),'Master Stock'!$N$2:$N$99,0)),""))</f>
        <v/>
      </c>
      <c r="D42" s="116">
        <f>IF(C42="","",MAX(0,TODAY()-C42))</f>
        <v/>
      </c>
      <c r="E42" s="112" t="n"/>
      <c r="F42" s="96" t="n"/>
      <c r="G42" s="113">
        <f t="array" ref="G42">IFERROR(INDEX('Master Stock'!$C$2:$C$99,MATCH(ROWS($G$9:G42),'Master Stock'!$P$2:$P$99,0)),"")</f>
        <v/>
      </c>
      <c r="H42" s="114">
        <f t="array" ref="H42">IFERROR(INDEX('Master Stock'!$D$2:$D$99,MATCH(ROWS($G$9:G42),'Master Stock'!$P$2:$P$99,0)),"")</f>
        <v/>
      </c>
      <c r="I42" s="113">
        <f t="array" ref="I42">IF(G42="","",IFERROR(INDEX('Master Stock'!$J$2:$J$99,MATCH(ROWS($G$9:G42),'Master Stock'!$P$2:$P$99,0)),""))</f>
        <v/>
      </c>
      <c r="J42" s="115">
        <f>IF(I42="","",MAX(0,TODAY()-I42))</f>
        <v/>
      </c>
      <c r="K42" s="95" t="n"/>
    </row>
    <row r="43" hidden="1" ht="15.75" customHeight="1" s="230">
      <c r="A43" s="114">
        <f t="array" ref="A43">IFERROR(INDEX('Master Stock'!$C$2:$C$99,MATCH(ROWS($A$9:A43),'Master Stock'!$N$2:$N$99,0)),"")</f>
        <v/>
      </c>
      <c r="B43" s="114">
        <f t="array" ref="B43">IFERROR(INDEX('Master Stock'!$D$2:$D$99,MATCH(ROWS($A$9:A43),'Master Stock'!$N$2:$N$99,0)),"")</f>
        <v/>
      </c>
      <c r="C43" s="113">
        <f t="array" ref="C43">IF(A43="","",IFERROR(INDEX('Master Stock'!$J$2:$J$99,MATCH(ROWS($A$9:A43),'Master Stock'!$N$2:$N$99,0)),""))</f>
        <v/>
      </c>
      <c r="D43" s="116">
        <f>IF(C43="","",MAX(0,TODAY()-C43))</f>
        <v/>
      </c>
      <c r="E43" s="112" t="n"/>
      <c r="F43" s="96" t="n"/>
      <c r="G43" s="113">
        <f t="array" ref="G43">IFERROR(INDEX('Master Stock'!$C$2:$C$99,MATCH(ROWS($G$9:G43),'Master Stock'!$P$2:$P$99,0)),"")</f>
        <v/>
      </c>
      <c r="H43" s="114">
        <f t="array" ref="H43">IFERROR(INDEX('Master Stock'!$D$2:$D$99,MATCH(ROWS($G$9:G43),'Master Stock'!$P$2:$P$99,0)),"")</f>
        <v/>
      </c>
      <c r="I43" s="113">
        <f t="array" ref="I43">IF(G43="","",IFERROR(INDEX('Master Stock'!$J$2:$J$99,MATCH(ROWS($G$9:G43),'Master Stock'!$P$2:$P$99,0)),""))</f>
        <v/>
      </c>
      <c r="J43" s="115">
        <f>IF(I43="","",MAX(0,TODAY()-I43))</f>
        <v/>
      </c>
      <c r="K43" s="95" t="n"/>
    </row>
    <row r="44" hidden="1" ht="15.75" customHeight="1" s="230">
      <c r="A44" s="114">
        <f t="array" ref="A44">IFERROR(INDEX('Master Stock'!$C$2:$C$99,MATCH(ROWS($A$9:A44),'Master Stock'!$N$2:$N$99,0)),"")</f>
        <v/>
      </c>
      <c r="B44" s="114">
        <f t="array" ref="B44">IFERROR(INDEX('Master Stock'!$D$2:$D$99,MATCH(ROWS($A$9:A44),'Master Stock'!$N$2:$N$99,0)),"")</f>
        <v/>
      </c>
      <c r="C44" s="113">
        <f t="array" ref="C44">IF(A44="","",IFERROR(INDEX('Master Stock'!$J$2:$J$99,MATCH(ROWS($A$9:A44),'Master Stock'!$N$2:$N$99,0)),""))</f>
        <v/>
      </c>
      <c r="D44" s="116">
        <f>IF(C44="","",MAX(0,TODAY()-C44))</f>
        <v/>
      </c>
      <c r="E44" s="112" t="n"/>
      <c r="F44" s="96" t="n"/>
      <c r="G44" s="113">
        <f t="array" ref="G44">IFERROR(INDEX('Master Stock'!$C$2:$C$99,MATCH(ROWS($G$9:G44),'Master Stock'!$P$2:$P$99,0)),"")</f>
        <v/>
      </c>
      <c r="H44" s="114">
        <f t="array" ref="H44">IFERROR(INDEX('Master Stock'!$D$2:$D$99,MATCH(ROWS($G$9:G44),'Master Stock'!$P$2:$P$99,0)),"")</f>
        <v/>
      </c>
      <c r="I44" s="113">
        <f t="array" ref="I44">IF(G44="","",IFERROR(INDEX('Master Stock'!$J$2:$J$99,MATCH(ROWS($G$9:G44),'Master Stock'!$P$2:$P$99,0)),""))</f>
        <v/>
      </c>
      <c r="J44" s="115">
        <f>IF(I44="","",MAX(0,TODAY()-I44))</f>
        <v/>
      </c>
      <c r="K44" s="95" t="n"/>
    </row>
    <row r="45" hidden="1" ht="15.75" customHeight="1" s="230">
      <c r="A45" s="114">
        <f t="array" ref="A45">IFERROR(INDEX('Master Stock'!$C$2:$C$99,MATCH(ROWS($A$9:A45),'Master Stock'!$N$2:$N$99,0)),"")</f>
        <v/>
      </c>
      <c r="B45" s="114">
        <f t="array" ref="B45">IFERROR(INDEX('Master Stock'!$D$2:$D$99,MATCH(ROWS($A$9:A45),'Master Stock'!$N$2:$N$99,0)),"")</f>
        <v/>
      </c>
      <c r="C45" s="113">
        <f t="array" ref="C45">IF(A45="","",IFERROR(INDEX('Master Stock'!$J$2:$J$99,MATCH(ROWS($A$9:A45),'Master Stock'!$N$2:$N$99,0)),""))</f>
        <v/>
      </c>
      <c r="D45" s="116">
        <f>IF(C45="","",MAX(0,TODAY()-C45))</f>
        <v/>
      </c>
      <c r="E45" s="112" t="n"/>
      <c r="F45" s="96" t="n"/>
      <c r="G45" s="113">
        <f t="array" ref="G45">IFERROR(INDEX('Master Stock'!$C$2:$C$99,MATCH(ROWS($G$9:G45),'Master Stock'!$P$2:$P$99,0)),"")</f>
        <v/>
      </c>
      <c r="H45" s="114">
        <f t="array" ref="H45">IFERROR(INDEX('Master Stock'!$D$2:$D$99,MATCH(ROWS($G$9:G45),'Master Stock'!$P$2:$P$99,0)),"")</f>
        <v/>
      </c>
      <c r="I45" s="113">
        <f t="array" ref="I45">IF(G45="","",IFERROR(INDEX('Master Stock'!$J$2:$J$99,MATCH(ROWS($G$9:G45),'Master Stock'!$P$2:$P$99,0)),""))</f>
        <v/>
      </c>
      <c r="J45" s="115">
        <f>IF(I45="","",MAX(0,TODAY()-I45))</f>
        <v/>
      </c>
      <c r="K45" s="95" t="n"/>
    </row>
    <row r="46" hidden="1" ht="15.75" customHeight="1" s="230">
      <c r="A46" s="114">
        <f t="array" ref="A46">IFERROR(INDEX('Master Stock'!$C$2:$C$99,MATCH(ROWS($A$9:A46),'Master Stock'!$N$2:$N$99,0)),"")</f>
        <v/>
      </c>
      <c r="B46" s="114">
        <f t="array" ref="B46">IFERROR(INDEX('Master Stock'!$D$2:$D$99,MATCH(ROWS($A$9:A46),'Master Stock'!$N$2:$N$99,0)),"")</f>
        <v/>
      </c>
      <c r="C46" s="113">
        <f t="array" ref="C46">IF(A46="","",IFERROR(INDEX('Master Stock'!$J$2:$J$99,MATCH(ROWS($A$9:A46),'Master Stock'!$N$2:$N$99,0)),""))</f>
        <v/>
      </c>
      <c r="D46" s="116">
        <f>IF(C46="","",MAX(0,TODAY()-C46))</f>
        <v/>
      </c>
      <c r="E46" s="112" t="n"/>
      <c r="F46" s="96" t="n"/>
      <c r="G46" s="113">
        <f t="array" ref="G46">IFERROR(INDEX('Master Stock'!$C$2:$C$99,MATCH(ROWS($G$9:G46),'Master Stock'!$P$2:$P$99,0)),"")</f>
        <v/>
      </c>
      <c r="H46" s="114">
        <f t="array" ref="H46">IFERROR(INDEX('Master Stock'!$D$2:$D$99,MATCH(ROWS($G$9:G46),'Master Stock'!$P$2:$P$99,0)),"")</f>
        <v/>
      </c>
      <c r="I46" s="113">
        <f t="array" ref="I46">IF(G46="","",IFERROR(INDEX('Master Stock'!$J$2:$J$99,MATCH(ROWS($G$9:G46),'Master Stock'!$P$2:$P$99,0)),""))</f>
        <v/>
      </c>
      <c r="J46" s="115">
        <f>IF(I46="","",MAX(0,TODAY()-I46))</f>
        <v/>
      </c>
      <c r="K46" s="95" t="n"/>
    </row>
    <row r="47" hidden="1" ht="15.75" customHeight="1" s="230">
      <c r="A47" s="114">
        <f t="array" ref="A47">IFERROR(INDEX('Master Stock'!$C$2:$C$99,MATCH(ROWS($A$9:A47),'Master Stock'!$N$2:$N$99,0)),"")</f>
        <v/>
      </c>
      <c r="B47" s="114">
        <f t="array" ref="B47">IFERROR(INDEX('Master Stock'!$D$2:$D$99,MATCH(ROWS($A$9:A47),'Master Stock'!$N$2:$N$99,0)),"")</f>
        <v/>
      </c>
      <c r="C47" s="113">
        <f t="array" ref="C47">IF(A47="","",IFERROR(INDEX('Master Stock'!$J$2:$J$99,MATCH(ROWS($A$9:A47),'Master Stock'!$N$2:$N$99,0)),""))</f>
        <v/>
      </c>
      <c r="D47" s="116">
        <f>IF(C47="","",MAX(0,TODAY()-C47))</f>
        <v/>
      </c>
      <c r="E47" s="112" t="n"/>
      <c r="F47" s="96" t="n"/>
      <c r="G47" s="113">
        <f t="array" ref="G47">IFERROR(INDEX('Master Stock'!$C$2:$C$99,MATCH(ROWS($G$9:G47),'Master Stock'!$P$2:$P$99,0)),"")</f>
        <v/>
      </c>
      <c r="H47" s="114">
        <f t="array" ref="H47">IFERROR(INDEX('Master Stock'!$D$2:$D$99,MATCH(ROWS($G$9:G47),'Master Stock'!$P$2:$P$99,0)),"")</f>
        <v/>
      </c>
      <c r="I47" s="113">
        <f t="array" ref="I47">IF(G47="","",IFERROR(INDEX('Master Stock'!$J$2:$J$99,MATCH(ROWS($G$9:G47),'Master Stock'!$P$2:$P$99,0)),""))</f>
        <v/>
      </c>
      <c r="J47" s="115">
        <f>IF(I47="","",MAX(0,TODAY()-I47))</f>
        <v/>
      </c>
      <c r="K47" s="95" t="n"/>
    </row>
    <row r="48" hidden="1" ht="15.75" customHeight="1" s="230">
      <c r="A48" s="114">
        <f t="array" ref="A48">IFERROR(INDEX('Master Stock'!$C$2:$C$99,MATCH(ROWS($A$9:A48),'Master Stock'!$N$2:$N$99,0)),"")</f>
        <v/>
      </c>
      <c r="B48" s="114">
        <f t="array" ref="B48">IFERROR(INDEX('Master Stock'!$D$2:$D$99,MATCH(ROWS($A$9:A48),'Master Stock'!$N$2:$N$99,0)),"")</f>
        <v/>
      </c>
      <c r="C48" s="113">
        <f t="array" ref="C48">IF(A48="","",IFERROR(INDEX('Master Stock'!$J$2:$J$99,MATCH(ROWS($A$9:A48),'Master Stock'!$N$2:$N$99,0)),""))</f>
        <v/>
      </c>
      <c r="D48" s="116">
        <f>IF(C48="","",MAX(0,TODAY()-C48))</f>
        <v/>
      </c>
      <c r="E48" s="112" t="n"/>
      <c r="F48" s="96" t="n"/>
      <c r="G48" s="113">
        <f t="array" ref="G48">IFERROR(INDEX('Master Stock'!$C$2:$C$99,MATCH(ROWS($G$9:G48),'Master Stock'!$P$2:$P$99,0)),"")</f>
        <v/>
      </c>
      <c r="H48" s="114">
        <f t="array" ref="H48">IFERROR(INDEX('Master Stock'!$D$2:$D$99,MATCH(ROWS($G$9:G48),'Master Stock'!$P$2:$P$99,0)),"")</f>
        <v/>
      </c>
      <c r="I48" s="113">
        <f t="array" ref="I48">IF(G48="","",IFERROR(INDEX('Master Stock'!$J$2:$J$99,MATCH(ROWS($G$9:G48),'Master Stock'!$P$2:$P$99,0)),""))</f>
        <v/>
      </c>
      <c r="J48" s="115">
        <f>IF(I48="","",MAX(0,TODAY()-I48))</f>
        <v/>
      </c>
      <c r="K48" s="95" t="n"/>
    </row>
    <row r="49" hidden="1" ht="15.75" customHeight="1" s="230">
      <c r="A49" s="114">
        <f t="array" ref="A49">IFERROR(INDEX('Master Stock'!$C$2:$C$99,MATCH(ROWS($A$9:A49),'Master Stock'!$N$2:$N$99,0)),"")</f>
        <v/>
      </c>
      <c r="B49" s="114">
        <f t="array" ref="B49">IFERROR(INDEX('Master Stock'!$D$2:$D$99,MATCH(ROWS($A$9:A49),'Master Stock'!$N$2:$N$99,0)),"")</f>
        <v/>
      </c>
      <c r="C49" s="113">
        <f t="array" ref="C49">IF(A49="","",IFERROR(INDEX('Master Stock'!$J$2:$J$99,MATCH(ROWS($A$9:A49),'Master Stock'!$N$2:$N$99,0)),""))</f>
        <v/>
      </c>
      <c r="D49" s="116">
        <f>IF(C49="","",MAX(0,TODAY()-C49))</f>
        <v/>
      </c>
      <c r="E49" s="112" t="n"/>
      <c r="F49" s="96" t="n"/>
      <c r="G49" s="113">
        <f t="array" ref="G49">IFERROR(INDEX('Master Stock'!$C$2:$C$99,MATCH(ROWS($G$9:G49),'Master Stock'!$P$2:$P$99,0)),"")</f>
        <v/>
      </c>
      <c r="H49" s="114">
        <f t="array" ref="H49">IFERROR(INDEX('Master Stock'!$D$2:$D$99,MATCH(ROWS($G$9:G49),'Master Stock'!$P$2:$P$99,0)),"")</f>
        <v/>
      </c>
      <c r="I49" s="113">
        <f t="array" ref="I49">IF(G49="","",IFERROR(INDEX('Master Stock'!$J$2:$J$99,MATCH(ROWS($G$9:G49),'Master Stock'!$P$2:$P$99,0)),""))</f>
        <v/>
      </c>
      <c r="J49" s="115">
        <f>IF(I49="","",MAX(0,TODAY()-I49))</f>
        <v/>
      </c>
      <c r="K49" s="95" t="n"/>
    </row>
    <row r="50" hidden="1" ht="15.75" customHeight="1" s="230">
      <c r="A50" s="114">
        <f t="array" ref="A50">IFERROR(INDEX('Master Stock'!$C$2:$C$99,MATCH(ROWS($A$9:A50),'Master Stock'!$N$2:$N$99,0)),"")</f>
        <v/>
      </c>
      <c r="B50" s="114">
        <f t="array" ref="B50">IFERROR(INDEX('Master Stock'!$D$2:$D$99,MATCH(ROWS($A$9:A50),'Master Stock'!$N$2:$N$99,0)),"")</f>
        <v/>
      </c>
      <c r="C50" s="113">
        <f t="array" ref="C50">IF(A50="","",IFERROR(INDEX('Master Stock'!$J$2:$J$99,MATCH(ROWS($A$9:A50),'Master Stock'!$N$2:$N$99,0)),""))</f>
        <v/>
      </c>
      <c r="D50" s="116">
        <f>IF(C50="","",MAX(0,TODAY()-C50))</f>
        <v/>
      </c>
      <c r="E50" s="112" t="n"/>
      <c r="F50" s="96" t="n"/>
      <c r="G50" s="113">
        <f t="array" ref="G50">IFERROR(INDEX('Master Stock'!$C$2:$C$99,MATCH(ROWS($G$9:G50),'Master Stock'!$P$2:$P$99,0)),"")</f>
        <v/>
      </c>
      <c r="H50" s="114">
        <f t="array" ref="H50">IFERROR(INDEX('Master Stock'!$D$2:$D$99,MATCH(ROWS($G$9:G50),'Master Stock'!$P$2:$P$99,0)),"")</f>
        <v/>
      </c>
      <c r="I50" s="113">
        <f t="array" ref="I50">IF(G50="","",IFERROR(INDEX('Master Stock'!$J$2:$J$99,MATCH(ROWS($G$9:G50),'Master Stock'!$P$2:$P$99,0)),""))</f>
        <v/>
      </c>
      <c r="J50" s="115">
        <f>IF(I50="","",MAX(0,TODAY()-I50))</f>
        <v/>
      </c>
      <c r="K50" s="95" t="n"/>
    </row>
    <row r="51" hidden="1" ht="15.75" customHeight="1" s="230">
      <c r="A51" s="114">
        <f t="array" ref="A51">IFERROR(INDEX('Master Stock'!$C$2:$C$99,MATCH(ROWS($A$9:A51),'Master Stock'!$N$2:$N$99,0)),"")</f>
        <v/>
      </c>
      <c r="B51" s="114">
        <f t="array" ref="B51">IFERROR(INDEX('Master Stock'!$D$2:$D$99,MATCH(ROWS($A$9:A51),'Master Stock'!$N$2:$N$99,0)),"")</f>
        <v/>
      </c>
      <c r="C51" s="113">
        <f t="array" ref="C51">IF(A51="","",IFERROR(INDEX('Master Stock'!$J$2:$J$99,MATCH(ROWS($A$9:A51),'Master Stock'!$N$2:$N$99,0)),""))</f>
        <v/>
      </c>
      <c r="D51" s="116">
        <f>IF(C51="","",MAX(0,TODAY()-C51))</f>
        <v/>
      </c>
      <c r="E51" s="112" t="n"/>
      <c r="F51" s="96" t="n"/>
      <c r="G51" s="113">
        <f t="array" ref="G51">IFERROR(INDEX('Master Stock'!$C$2:$C$99,MATCH(ROWS($G$9:G51),'Master Stock'!$P$2:$P$99,0)),"")</f>
        <v/>
      </c>
      <c r="H51" s="114">
        <f t="array" ref="H51">IFERROR(INDEX('Master Stock'!$D$2:$D$99,MATCH(ROWS($G$9:G51),'Master Stock'!$P$2:$P$99,0)),"")</f>
        <v/>
      </c>
      <c r="I51" s="113">
        <f t="array" ref="I51">IF(G51="","",IFERROR(INDEX('Master Stock'!$J$2:$J$99,MATCH(ROWS($G$9:G51),'Master Stock'!$P$2:$P$99,0)),""))</f>
        <v/>
      </c>
      <c r="J51" s="115">
        <f>IF(I51="","",MAX(0,TODAY()-I51))</f>
        <v/>
      </c>
      <c r="K51" s="95" t="n"/>
    </row>
    <row r="52" hidden="1" ht="15.75" customHeight="1" s="230">
      <c r="A52" s="114">
        <f t="array" ref="A52">IFERROR(INDEX('Master Stock'!$C$2:$C$99,MATCH(ROWS($A$9:A52),'Master Stock'!$N$2:$N$99,0)),"")</f>
        <v/>
      </c>
      <c r="B52" s="114">
        <f t="array" ref="B52">IFERROR(INDEX('Master Stock'!$D$2:$D$99,MATCH(ROWS($A$9:A52),'Master Stock'!$N$2:$N$99,0)),"")</f>
        <v/>
      </c>
      <c r="C52" s="113">
        <f t="array" ref="C52">IF(A52="","",IFERROR(INDEX('Master Stock'!$J$2:$J$99,MATCH(ROWS($A$9:A52),'Master Stock'!$N$2:$N$99,0)),""))</f>
        <v/>
      </c>
      <c r="D52" s="116">
        <f>IF(C52="","",MAX(0,TODAY()-C52))</f>
        <v/>
      </c>
      <c r="E52" s="112" t="n"/>
      <c r="F52" s="96" t="n"/>
      <c r="G52" s="113">
        <f t="array" ref="G52">IFERROR(INDEX('Master Stock'!$C$2:$C$99,MATCH(ROWS($G$9:G52),'Master Stock'!$P$2:$P$99,0)),"")</f>
        <v/>
      </c>
      <c r="H52" s="114">
        <f t="array" ref="H52">IFERROR(INDEX('Master Stock'!$D$2:$D$99,MATCH(ROWS($G$9:G52),'Master Stock'!$P$2:$P$99,0)),"")</f>
        <v/>
      </c>
      <c r="I52" s="113">
        <f t="array" ref="I52">IF(G52="","",IFERROR(INDEX('Master Stock'!$J$2:$J$99,MATCH(ROWS($G$9:G52),'Master Stock'!$P$2:$P$99,0)),""))</f>
        <v/>
      </c>
      <c r="J52" s="115">
        <f>IF(I52="","",MAX(0,TODAY()-I52))</f>
        <v/>
      </c>
      <c r="K52" s="95" t="n"/>
    </row>
    <row r="53" hidden="1" ht="15.75" customHeight="1" s="230">
      <c r="A53" s="114">
        <f t="array" ref="A53">IFERROR(INDEX('Master Stock'!$C$2:$C$99,MATCH(ROWS($A$9:A53),'Master Stock'!$N$2:$N$99,0)),"")</f>
        <v/>
      </c>
      <c r="B53" s="114">
        <f t="array" ref="B53">IFERROR(INDEX('Master Stock'!$D$2:$D$99,MATCH(ROWS($A$9:A53),'Master Stock'!$N$2:$N$99,0)),"")</f>
        <v/>
      </c>
      <c r="C53" s="113">
        <f t="array" ref="C53">IF(A53="","",IFERROR(INDEX('Master Stock'!$J$2:$J$99,MATCH(ROWS($A$9:A53),'Master Stock'!$N$2:$N$99,0)),""))</f>
        <v/>
      </c>
      <c r="D53" s="116">
        <f>IF(C53="","",MAX(0,TODAY()-C53))</f>
        <v/>
      </c>
      <c r="E53" s="112" t="n"/>
      <c r="F53" s="96" t="n"/>
      <c r="G53" s="113">
        <f t="array" ref="G53">IFERROR(INDEX('Master Stock'!$C$2:$C$99,MATCH(ROWS($G$9:G53),'Master Stock'!$P$2:$P$99,0)),"")</f>
        <v/>
      </c>
      <c r="H53" s="114">
        <f t="array" ref="H53">IFERROR(INDEX('Master Stock'!$D$2:$D$99,MATCH(ROWS($G$9:G53),'Master Stock'!$P$2:$P$99,0)),"")</f>
        <v/>
      </c>
      <c r="I53" s="113">
        <f t="array" ref="I53">IF(G53="","",IFERROR(INDEX('Master Stock'!$J$2:$J$99,MATCH(ROWS($G$9:G53),'Master Stock'!$P$2:$P$99,0)),""))</f>
        <v/>
      </c>
      <c r="J53" s="115">
        <f>IF(I53="","",MAX(0,TODAY()-I53))</f>
        <v/>
      </c>
      <c r="K53" s="95" t="n"/>
    </row>
    <row r="54" hidden="1" ht="15.75" customHeight="1" s="230">
      <c r="A54" s="114">
        <f t="array" ref="A54">IFERROR(INDEX('Master Stock'!$C$2:$C$99,MATCH(ROWS($A$9:A54),'Master Stock'!$N$2:$N$99,0)),"")</f>
        <v/>
      </c>
      <c r="B54" s="114">
        <f t="array" ref="B54">IFERROR(INDEX('Master Stock'!$D$2:$D$99,MATCH(ROWS($A$9:A54),'Master Stock'!$N$2:$N$99,0)),"")</f>
        <v/>
      </c>
      <c r="C54" s="113">
        <f t="array" ref="C54">IF(A54="","",IFERROR(INDEX('Master Stock'!$J$2:$J$99,MATCH(ROWS($A$9:A54),'Master Stock'!$N$2:$N$99,0)),""))</f>
        <v/>
      </c>
      <c r="D54" s="116">
        <f>IF(C54="","",MAX(0,TODAY()-C54))</f>
        <v/>
      </c>
      <c r="E54" s="112" t="n"/>
      <c r="F54" s="96" t="n"/>
      <c r="G54" s="113">
        <f t="array" ref="G54">IFERROR(INDEX('Master Stock'!$C$2:$C$99,MATCH(ROWS($G$9:G54),'Master Stock'!$P$2:$P$99,0)),"")</f>
        <v/>
      </c>
      <c r="H54" s="114">
        <f t="array" ref="H54">IFERROR(INDEX('Master Stock'!$D$2:$D$99,MATCH(ROWS($G$9:G54),'Master Stock'!$P$2:$P$99,0)),"")</f>
        <v/>
      </c>
      <c r="I54" s="113">
        <f t="array" ref="I54">IF(G54="","",IFERROR(INDEX('Master Stock'!$J$2:$J$99,MATCH(ROWS($G$9:G54),'Master Stock'!$P$2:$P$99,0)),""))</f>
        <v/>
      </c>
      <c r="J54" s="115">
        <f>IF(I54="","",MAX(0,TODAY()-I54))</f>
        <v/>
      </c>
      <c r="K54" s="95" t="n"/>
    </row>
    <row r="55" hidden="1" ht="15.75" customHeight="1" s="230">
      <c r="A55" s="114">
        <f t="array" ref="A55">IFERROR(INDEX('Master Stock'!$C$2:$C$99,MATCH(ROWS($A$9:A55),'Master Stock'!$N$2:$N$99,0)),"")</f>
        <v/>
      </c>
      <c r="B55" s="114">
        <f t="array" ref="B55">IFERROR(INDEX('Master Stock'!$D$2:$D$99,MATCH(ROWS($A$9:A55),'Master Stock'!$N$2:$N$99,0)),"")</f>
        <v/>
      </c>
      <c r="C55" s="113">
        <f t="array" ref="C55">IF(A55="","",IFERROR(INDEX('Master Stock'!$J$2:$J$99,MATCH(ROWS($A$9:A55),'Master Stock'!$N$2:$N$99,0)),""))</f>
        <v/>
      </c>
      <c r="D55" s="116">
        <f>IF(C55="","",MAX(0,TODAY()-C55))</f>
        <v/>
      </c>
      <c r="E55" s="112" t="n"/>
      <c r="F55" s="96" t="n"/>
      <c r="G55" s="113">
        <f t="array" ref="G55">IFERROR(INDEX('Master Stock'!$C$2:$C$99,MATCH(ROWS($G$9:G55),'Master Stock'!$P$2:$P$99,0)),"")</f>
        <v/>
      </c>
      <c r="H55" s="114">
        <f t="array" ref="H55">IFERROR(INDEX('Master Stock'!$D$2:$D$99,MATCH(ROWS($G$9:G55),'Master Stock'!$P$2:$P$99,0)),"")</f>
        <v/>
      </c>
      <c r="I55" s="113">
        <f t="array" ref="I55">IF(G55="","",IFERROR(INDEX('Master Stock'!$J$2:$J$99,MATCH(ROWS($G$9:G55),'Master Stock'!$P$2:$P$99,0)),""))</f>
        <v/>
      </c>
      <c r="J55" s="115">
        <f>IF(I55="","",MAX(0,TODAY()-I55))</f>
        <v/>
      </c>
      <c r="K55" s="95" t="n"/>
    </row>
    <row r="56" hidden="1" ht="15.75" customHeight="1" s="230">
      <c r="A56" s="114">
        <f t="array" ref="A56">IFERROR(INDEX('Master Stock'!$C$2:$C$99,MATCH(ROWS($A$9:A56),'Master Stock'!$N$2:$N$99,0)),"")</f>
        <v/>
      </c>
      <c r="B56" s="114">
        <f t="array" ref="B56">IFERROR(INDEX('Master Stock'!$D$2:$D$99,MATCH(ROWS($A$9:A56),'Master Stock'!$N$2:$N$99,0)),"")</f>
        <v/>
      </c>
      <c r="C56" s="113">
        <f t="array" ref="C56">IF(A56="","",IFERROR(INDEX('Master Stock'!$J$2:$J$99,MATCH(ROWS($A$9:A56),'Master Stock'!$N$2:$N$99,0)),""))</f>
        <v/>
      </c>
      <c r="D56" s="116">
        <f>IF(C56="","",MAX(0,TODAY()-C56))</f>
        <v/>
      </c>
      <c r="E56" s="112" t="n"/>
      <c r="F56" s="96" t="n"/>
      <c r="G56" s="113">
        <f t="array" ref="G56">IFERROR(INDEX('Master Stock'!$C$2:$C$99,MATCH(ROWS($G$9:G56),'Master Stock'!$P$2:$P$99,0)),"")</f>
        <v/>
      </c>
      <c r="H56" s="114">
        <f t="array" ref="H56">IFERROR(INDEX('Master Stock'!$D$2:$D$99,MATCH(ROWS($G$9:G56),'Master Stock'!$P$2:$P$99,0)),"")</f>
        <v/>
      </c>
      <c r="I56" s="113">
        <f t="array" ref="I56">IF(G56="","",IFERROR(INDEX('Master Stock'!$J$2:$J$99,MATCH(ROWS($G$9:G56),'Master Stock'!$P$2:$P$99,0)),""))</f>
        <v/>
      </c>
      <c r="J56" s="115">
        <f>IF(I56="","",MAX(0,TODAY()-I56))</f>
        <v/>
      </c>
      <c r="K56" s="95" t="n"/>
    </row>
    <row r="57" hidden="1" ht="15.75" customHeight="1" s="230">
      <c r="A57" s="114">
        <f t="array" ref="A57">IFERROR(INDEX('Master Stock'!$C$2:$C$99,MATCH(ROWS($A$9:A57),'Master Stock'!$N$2:$N$99,0)),"")</f>
        <v/>
      </c>
      <c r="B57" s="114">
        <f t="array" ref="B57">IFERROR(INDEX('Master Stock'!$D$2:$D$99,MATCH(ROWS($A$9:A57),'Master Stock'!$N$2:$N$99,0)),"")</f>
        <v/>
      </c>
      <c r="C57" s="113">
        <f t="array" ref="C57">IF(A57="","",IFERROR(INDEX('Master Stock'!$J$2:$J$99,MATCH(ROWS($A$9:A57),'Master Stock'!$N$2:$N$99,0)),""))</f>
        <v/>
      </c>
      <c r="D57" s="116">
        <f>IF(C57="","",MAX(0,TODAY()-C57))</f>
        <v/>
      </c>
      <c r="E57" s="112" t="n"/>
      <c r="F57" s="96" t="n"/>
      <c r="G57" s="113">
        <f t="array" ref="G57">IFERROR(INDEX('Master Stock'!$C$2:$C$99,MATCH(ROWS($G$9:G57),'Master Stock'!$P$2:$P$99,0)),"")</f>
        <v/>
      </c>
      <c r="H57" s="114">
        <f t="array" ref="H57">IFERROR(INDEX('Master Stock'!$D$2:$D$99,MATCH(ROWS($G$9:G57),'Master Stock'!$P$2:$P$99,0)),"")</f>
        <v/>
      </c>
      <c r="I57" s="113">
        <f t="array" ref="I57">IF(G57="","",IFERROR(INDEX('Master Stock'!$J$2:$J$99,MATCH(ROWS($G$9:G57),'Master Stock'!$P$2:$P$99,0)),""))</f>
        <v/>
      </c>
      <c r="J57" s="115">
        <f>IF(I57="","",MAX(0,TODAY()-I57))</f>
        <v/>
      </c>
      <c r="K57" s="95" t="n"/>
    </row>
    <row r="58" hidden="1" ht="15.75" customHeight="1" s="230">
      <c r="A58" s="114">
        <f t="array" ref="A58">IFERROR(INDEX('Master Stock'!$C$2:$C$99,MATCH(ROWS($A$9:A58),'Master Stock'!$N$2:$N$99,0)),"")</f>
        <v/>
      </c>
      <c r="B58" s="114">
        <f t="array" ref="B58">IFERROR(INDEX('Master Stock'!$D$2:$D$99,MATCH(ROWS($A$9:A58),'Master Stock'!$N$2:$N$99,0)),"")</f>
        <v/>
      </c>
      <c r="C58" s="113">
        <f t="array" ref="C58">IF(A58="","",IFERROR(INDEX('Master Stock'!$J$2:$J$99,MATCH(ROWS($A$9:A58),'Master Stock'!$N$2:$N$99,0)),""))</f>
        <v/>
      </c>
      <c r="D58" s="116">
        <f>IF(C58="","",MAX(0,TODAY()-C58))</f>
        <v/>
      </c>
      <c r="E58" s="112" t="n"/>
      <c r="F58" s="96" t="n"/>
      <c r="G58" s="113">
        <f t="array" ref="G58">IFERROR(INDEX('Master Stock'!$C$2:$C$99,MATCH(ROWS($G$9:G58),'Master Stock'!$P$2:$P$99,0)),"")</f>
        <v/>
      </c>
      <c r="H58" s="114">
        <f t="array" ref="H58">IFERROR(INDEX('Master Stock'!$D$2:$D$99,MATCH(ROWS($G$9:G58),'Master Stock'!$P$2:$P$99,0)),"")</f>
        <v/>
      </c>
      <c r="I58" s="113">
        <f t="array" ref="I58">IF(G58="","",IFERROR(INDEX('Master Stock'!$J$2:$J$99,MATCH(ROWS($G$9:G58),'Master Stock'!$P$2:$P$99,0)),""))</f>
        <v/>
      </c>
      <c r="J58" s="115">
        <f>IF(I58="","",MAX(0,TODAY()-I58))</f>
        <v/>
      </c>
      <c r="K58" s="95" t="n"/>
    </row>
    <row r="59" hidden="1" ht="15.75" customHeight="1" s="230">
      <c r="A59" s="96">
        <f t="array" ref="A59">IFERROR(INDEX('Master Stock'!$C$2:$C$99,MATCH(ROWS($A$9:A59),'Master Stock'!$N$2:$N$99,0)),"")</f>
        <v/>
      </c>
      <c r="B59" s="96">
        <f t="array" ref="B59">IFERROR(INDEX('Master Stock'!$D$2:$D$99,MATCH(ROWS($A$9:A59),'Master Stock'!$N$2:$N$99,0)),"")</f>
        <v/>
      </c>
      <c r="C59" s="117">
        <f t="array" ref="C59">IF(A59="","",IFERROR(INDEX('Master Stock'!$J$2:$J$99,MATCH(ROWS($A$9:A59),'Master Stock'!$N$2:$N$99,0)),""))</f>
        <v/>
      </c>
      <c r="D59" s="118">
        <f>IF(C59="","",MAX(0,TODAY()-C59))</f>
        <v/>
      </c>
      <c r="E59" s="96" t="n"/>
      <c r="F59" s="96" t="n"/>
      <c r="G59" s="117">
        <f t="array" ref="G59">IFERROR(INDEX('Master Stock'!$C$2:$C$99,MATCH(ROWS($G$9:G59),'Master Stock'!$P$2:$P$99,0)),"")</f>
        <v/>
      </c>
      <c r="H59" s="96">
        <f t="array" ref="H59">IFERROR(INDEX('Master Stock'!$D$2:$D$99,MATCH(ROWS($G$9:G59),'Master Stock'!$P$2:$P$99,0)),"")</f>
        <v/>
      </c>
      <c r="I59" s="117">
        <f t="array" ref="I59">IF(G59="","",IFERROR(INDEX('Master Stock'!$J$2:$J$99,MATCH(ROWS($G$9:G59),'Master Stock'!$P$2:$P$99,0)),""))</f>
        <v/>
      </c>
      <c r="J59" s="118">
        <f>IF(I59="","",MAX(0,TODAY()-I59))</f>
        <v/>
      </c>
      <c r="K59" s="95" t="n"/>
    </row>
    <row r="60" hidden="1" ht="15.75" customHeight="1" s="230">
      <c r="A60" s="96">
        <f t="array" ref="A60">IFERROR(INDEX('Master Stock'!$C$2:$C$99,MATCH(ROWS($A$9:A60),'Master Stock'!$N$2:$N$99,0)),"")</f>
        <v/>
      </c>
      <c r="B60" s="96">
        <f t="array" ref="B60">IFERROR(INDEX('Master Stock'!$D$2:$D$99,MATCH(ROWS($A$9:A60),'Master Stock'!$N$2:$N$99,0)),"")</f>
        <v/>
      </c>
      <c r="C60" s="117">
        <f t="array" ref="C60">IF(A60="","",IFERROR(INDEX('Master Stock'!$J$2:$J$99,MATCH(ROWS($A$9:A60),'Master Stock'!$N$2:$N$99,0)),""))</f>
        <v/>
      </c>
      <c r="D60" s="118">
        <f>IF(C60="","",MAX(0,TODAY()-C60))</f>
        <v/>
      </c>
      <c r="E60" s="96" t="n"/>
      <c r="F60" s="96" t="n"/>
      <c r="G60" s="117">
        <f t="array" ref="G60">IFERROR(INDEX('Master Stock'!$C$2:$C$99,MATCH(ROWS($G$9:G60),'Master Stock'!$P$2:$P$99,0)),"")</f>
        <v/>
      </c>
      <c r="H60" s="96">
        <f t="array" ref="H60">IFERROR(INDEX('Master Stock'!$D$2:$D$99,MATCH(ROWS($G$9:G60),'Master Stock'!$P$2:$P$99,0)),"")</f>
        <v/>
      </c>
      <c r="I60" s="117">
        <f t="array" ref="I60">IF(G60="","",IFERROR(INDEX('Master Stock'!$J$2:$J$99,MATCH(ROWS($G$9:G60),'Master Stock'!$P$2:$P$99,0)),""))</f>
        <v/>
      </c>
      <c r="J60" s="118">
        <f>IF(I60="","",MAX(0,TODAY()-I60))</f>
        <v/>
      </c>
      <c r="K60" s="95" t="n"/>
    </row>
    <row r="61" hidden="1" ht="15.75" customHeight="1" s="230">
      <c r="A61" s="96">
        <f t="array" ref="A61">IFERROR(INDEX('Master Stock'!$C$2:$C$99,MATCH(ROWS($A$9:A61),'Master Stock'!$N$2:$N$99,0)),"")</f>
        <v/>
      </c>
      <c r="B61" s="96">
        <f t="array" ref="B61">IFERROR(INDEX('Master Stock'!$D$2:$D$99,MATCH(ROWS($A$9:A61),'Master Stock'!$N$2:$N$99,0)),"")</f>
        <v/>
      </c>
      <c r="C61" s="117">
        <f t="array" ref="C61">IF(A61="","",IFERROR(INDEX('Master Stock'!$J$2:$J$99,MATCH(ROWS($A$9:A61),'Master Stock'!$N$2:$N$99,0)),""))</f>
        <v/>
      </c>
      <c r="D61" s="118">
        <f>IF(C61="","",MAX(0,TODAY()-C61))</f>
        <v/>
      </c>
      <c r="E61" s="96" t="n"/>
      <c r="F61" s="96" t="n"/>
      <c r="G61" s="117">
        <f t="array" ref="G61">IFERROR(INDEX('Master Stock'!$C$2:$C$99,MATCH(ROWS($G$9:G61),'Master Stock'!$P$2:$P$99,0)),"")</f>
        <v/>
      </c>
      <c r="H61" s="96">
        <f t="array" ref="H61">IFERROR(INDEX('Master Stock'!$D$2:$D$99,MATCH(ROWS($G$9:G61),'Master Stock'!$P$2:$P$99,0)),"")</f>
        <v/>
      </c>
      <c r="I61" s="117">
        <f t="array" ref="I61">IF(G61="","",IFERROR(INDEX('Master Stock'!$J$2:$J$99,MATCH(ROWS($G$9:G61),'Master Stock'!$P$2:$P$99,0)),""))</f>
        <v/>
      </c>
      <c r="J61" s="118">
        <f>IF(I61="","",MAX(0,TODAY()-I61))</f>
        <v/>
      </c>
      <c r="K61" s="95" t="n"/>
    </row>
    <row r="62" hidden="1" ht="15.75" customHeight="1" s="230">
      <c r="A62" s="96">
        <f t="array" ref="A62">IFERROR(INDEX('Master Stock'!$C$2:$C$99,MATCH(ROWS($A$9:A62),'Master Stock'!$N$2:$N$99,0)),"")</f>
        <v/>
      </c>
      <c r="B62" s="96">
        <f t="array" ref="B62">IFERROR(INDEX('Master Stock'!$D$2:$D$99,MATCH(ROWS($A$9:A62),'Master Stock'!$N$2:$N$99,0)),"")</f>
        <v/>
      </c>
      <c r="C62" s="117">
        <f t="array" ref="C62">IF(A62="","",IFERROR(INDEX('Master Stock'!$J$2:$J$99,MATCH(ROWS($A$9:A62),'Master Stock'!$N$2:$N$99,0)),""))</f>
        <v/>
      </c>
      <c r="D62" s="118">
        <f>IF(C62="","",MAX(0,TODAY()-C62))</f>
        <v/>
      </c>
      <c r="E62" s="96" t="n"/>
      <c r="F62" s="96" t="n"/>
      <c r="G62" s="117">
        <f t="array" ref="G62">IFERROR(INDEX('Master Stock'!$C$2:$C$99,MATCH(ROWS($G$9:G62),'Master Stock'!$P$2:$P$99,0)),"")</f>
        <v/>
      </c>
      <c r="H62" s="96">
        <f t="array" ref="H62">IFERROR(INDEX('Master Stock'!$D$2:$D$99,MATCH(ROWS($G$9:G62),'Master Stock'!$P$2:$P$99,0)),"")</f>
        <v/>
      </c>
      <c r="I62" s="117">
        <f t="array" ref="I62">IF(G62="","",IFERROR(INDEX('Master Stock'!$J$2:$J$99,MATCH(ROWS($G$9:G62),'Master Stock'!$P$2:$P$99,0)),""))</f>
        <v/>
      </c>
      <c r="J62" s="118">
        <f>IF(I62="","",MAX(0,TODAY()-I62))</f>
        <v/>
      </c>
      <c r="K62" s="95" t="n"/>
    </row>
    <row r="63" hidden="1" ht="15.75" customHeight="1" s="230">
      <c r="A63" s="96">
        <f t="array" ref="A63">IFERROR(INDEX('Master Stock'!$C$2:$C$99,MATCH(ROWS($A$9:A63),'Master Stock'!$N$2:$N$99,0)),"")</f>
        <v/>
      </c>
      <c r="B63" s="96">
        <f t="array" ref="B63">IFERROR(INDEX('Master Stock'!$D$2:$D$99,MATCH(ROWS($A$9:A63),'Master Stock'!$N$2:$N$99,0)),"")</f>
        <v/>
      </c>
      <c r="C63" s="117">
        <f t="array" ref="C63">IF(A63="","",IFERROR(INDEX('Master Stock'!$J$2:$J$99,MATCH(ROWS($A$9:A63),'Master Stock'!$N$2:$N$99,0)),""))</f>
        <v/>
      </c>
      <c r="D63" s="118">
        <f>IF(C63="","",MAX(0,TODAY()-C63))</f>
        <v/>
      </c>
      <c r="E63" s="96" t="n"/>
      <c r="F63" s="96" t="n"/>
      <c r="G63" s="117">
        <f t="array" ref="G63">IFERROR(INDEX('Master Stock'!$C$2:$C$99,MATCH(ROWS($G$9:G63),'Master Stock'!$P$2:$P$99,0)),"")</f>
        <v/>
      </c>
      <c r="H63" s="96">
        <f t="array" ref="H63">IFERROR(INDEX('Master Stock'!$D$2:$D$99,MATCH(ROWS($G$9:G63),'Master Stock'!$P$2:$P$99,0)),"")</f>
        <v/>
      </c>
      <c r="I63" s="117">
        <f t="array" ref="I63">IF(G63="","",IFERROR(INDEX('Master Stock'!$J$2:$J$99,MATCH(ROWS($G$9:G63),'Master Stock'!$P$2:$P$99,0)),""))</f>
        <v/>
      </c>
      <c r="J63" s="118">
        <f>IF(I63="","",MAX(0,TODAY()-I63))</f>
        <v/>
      </c>
      <c r="K63" s="95" t="n"/>
    </row>
    <row r="64" ht="15.75" customHeight="1" s="230">
      <c r="A64" s="96">
        <f t="array" ref="A64">IFERROR(INDEX('Master Stock'!$C$2:$C$99,MATCH(ROWS($A$9:A64),'Master Stock'!$N$2:$N$99,0)),"")</f>
        <v/>
      </c>
      <c r="B64" s="96">
        <f t="array" ref="B64">IFERROR(INDEX('Master Stock'!$D$2:$D$99,MATCH(ROWS($A$9:A64),'Master Stock'!$N$2:$N$99,0)),"")</f>
        <v/>
      </c>
      <c r="C64" s="117">
        <f t="array" ref="C64">IF(A64="","",IFERROR(INDEX('Master Stock'!$J$2:$J$99,MATCH(ROWS($A$9:A64),'Master Stock'!$N$2:$N$99,0)),""))</f>
        <v/>
      </c>
      <c r="D64" s="118">
        <f>IF(C64="","",MAX(0,TODAY()-C64))</f>
        <v/>
      </c>
      <c r="E64" s="96" t="n"/>
      <c r="F64" s="96" t="n"/>
      <c r="G64" s="117">
        <f t="array" ref="G64">IFERROR(INDEX('Master Stock'!$C$2:$C$99,MATCH(ROWS($G$9:G64),'Master Stock'!$P$2:$P$99,0)),"")</f>
        <v/>
      </c>
      <c r="H64" s="96">
        <f t="array" ref="H64">IFERROR(INDEX('Master Stock'!$D$2:$D$99,MATCH(ROWS($G$9:G64),'Master Stock'!$P$2:$P$99,0)),"")</f>
        <v/>
      </c>
      <c r="I64" s="117">
        <f t="array" ref="I64">IF(G64="","",IFERROR(INDEX('Master Stock'!$J$2:$J$99,MATCH(ROWS($G$9:G64),'Master Stock'!$P$2:$P$99,0)),""))</f>
        <v/>
      </c>
      <c r="J64" s="118">
        <f>IF(I64="","",MAX(0,TODAY()-I64))</f>
        <v/>
      </c>
      <c r="K64" s="95" t="n"/>
    </row>
    <row r="65" ht="15.75" customHeight="1" s="230">
      <c r="A65" s="96">
        <f t="array" ref="A65">IFERROR(INDEX('Master Stock'!$C$2:$C$99,MATCH(ROWS($A$9:A65),'Master Stock'!$N$2:$N$99,0)),"")</f>
        <v/>
      </c>
      <c r="B65" s="96">
        <f t="array" ref="B65">IFERROR(INDEX('Master Stock'!$D$2:$D$99,MATCH(ROWS($A$9:A65),'Master Stock'!$N$2:$N$99,0)),"")</f>
        <v/>
      </c>
      <c r="C65" s="117">
        <f t="array" ref="C65">IF(A65="","",IFERROR(INDEX('Master Stock'!$J$2:$J$99,MATCH(ROWS($A$9:A65),'Master Stock'!$N$2:$N$99,0)),""))</f>
        <v/>
      </c>
      <c r="D65" s="118">
        <f>IF(C65="","",MAX(0,TODAY()-C65))</f>
        <v/>
      </c>
      <c r="E65" s="96" t="n"/>
      <c r="F65" s="96" t="n"/>
      <c r="G65" s="117">
        <f t="array" ref="G65">IFERROR(INDEX('Master Stock'!$C$2:$C$99,MATCH(ROWS($G$9:G65),'Master Stock'!$P$2:$P$99,0)),"")</f>
        <v/>
      </c>
      <c r="H65" s="96">
        <f t="array" ref="H65">IFERROR(INDEX('Master Stock'!$D$2:$D$99,MATCH(ROWS($G$9:G65),'Master Stock'!$P$2:$P$99,0)),"")</f>
        <v/>
      </c>
      <c r="I65" s="117">
        <f t="array" ref="I65">IF(G65="","",IFERROR(INDEX('Master Stock'!$J$2:$J$99,MATCH(ROWS($G$9:G65),'Master Stock'!$P$2:$P$99,0)),""))</f>
        <v/>
      </c>
      <c r="J65" s="118">
        <f>IF(I65="","",MAX(0,TODAY()-I65))</f>
        <v/>
      </c>
      <c r="K65" s="95" t="n"/>
    </row>
    <row r="66" ht="15.75" customHeight="1" s="230">
      <c r="A66" s="96">
        <f t="array" ref="A66">IFERROR(INDEX('Master Stock'!$C$2:$C$99,MATCH(ROWS($A$9:A66),'Master Stock'!$N$2:$N$99,0)),"")</f>
        <v/>
      </c>
      <c r="B66" s="96">
        <f t="array" ref="B66">IFERROR(INDEX('Master Stock'!$D$2:$D$99,MATCH(ROWS($A$9:A66),'Master Stock'!$N$2:$N$99,0)),"")</f>
        <v/>
      </c>
      <c r="C66" s="117">
        <f t="array" ref="C66">IF(A66="","",IFERROR(INDEX('Master Stock'!$J$2:$J$99,MATCH(ROWS($A$9:A66),'Master Stock'!$N$2:$N$99,0)),""))</f>
        <v/>
      </c>
      <c r="D66" s="118">
        <f>IF(C66="","",MAX(0,TODAY()-C66))</f>
        <v/>
      </c>
      <c r="E66" s="96" t="n"/>
      <c r="F66" s="96" t="n"/>
      <c r="G66" s="117">
        <f t="array" ref="G66">IFERROR(INDEX('Master Stock'!$C$2:$C$99,MATCH(ROWS($G$9:G66),'Master Stock'!$P$2:$P$99,0)),"")</f>
        <v/>
      </c>
      <c r="H66" s="96">
        <f t="array" ref="H66">IFERROR(INDEX('Master Stock'!$D$2:$D$99,MATCH(ROWS($G$9:G66),'Master Stock'!$P$2:$P$99,0)),"")</f>
        <v/>
      </c>
      <c r="I66" s="117">
        <f t="array" ref="I66">IF(G66="","",IFERROR(INDEX('Master Stock'!$J$2:$J$99,MATCH(ROWS($G$9:G66),'Master Stock'!$P$2:$P$99,0)),""))</f>
        <v/>
      </c>
      <c r="J66" s="118">
        <f>IF(I66="","",MAX(0,TODAY()-I66))</f>
        <v/>
      </c>
      <c r="K66" s="95" t="n"/>
    </row>
    <row r="67" ht="15.75" customHeight="1" s="230">
      <c r="A67" s="96">
        <f t="array" ref="A67">IFERROR(INDEX('Master Stock'!$C$2:$C$99,MATCH(ROWS($A$9:A67),'Master Stock'!$N$2:$N$99,0)),"")</f>
        <v/>
      </c>
      <c r="B67" s="96">
        <f t="array" ref="B67">IFERROR(INDEX('Master Stock'!$D$2:$D$99,MATCH(ROWS($A$9:A67),'Master Stock'!$N$2:$N$99,0)),"")</f>
        <v/>
      </c>
      <c r="C67" s="117">
        <f t="array" ref="C67">IF(A67="","",IFERROR(INDEX('Master Stock'!$J$2:$J$99,MATCH(ROWS($A$9:A67),'Master Stock'!$N$2:$N$99,0)),""))</f>
        <v/>
      </c>
      <c r="D67" s="118">
        <f>IF(C67="","",MAX(0,TODAY()-C67))</f>
        <v/>
      </c>
      <c r="E67" s="96" t="n"/>
      <c r="F67" s="96" t="n"/>
      <c r="G67" s="117">
        <f t="array" ref="G67">IFERROR(INDEX('Master Stock'!$C$2:$C$99,MATCH(ROWS($G$9:G67),'Master Stock'!$P$2:$P$99,0)),"")</f>
        <v/>
      </c>
      <c r="H67" s="96">
        <f t="array" ref="H67">IFERROR(INDEX('Master Stock'!$D$2:$D$99,MATCH(ROWS($G$9:G67),'Master Stock'!$P$2:$P$99,0)),"")</f>
        <v/>
      </c>
      <c r="I67" s="117">
        <f t="array" ref="I67">IF(G67="","",IFERROR(INDEX('Master Stock'!$J$2:$J$99,MATCH(ROWS($G$9:G67),'Master Stock'!$P$2:$P$99,0)),""))</f>
        <v/>
      </c>
      <c r="J67" s="118">
        <f>IF(I67="","",MAX(0,TODAY()-I67))</f>
        <v/>
      </c>
      <c r="K67" s="95" t="n"/>
    </row>
    <row r="68" ht="15.75" customHeight="1" s="230">
      <c r="A68" s="96">
        <f t="array" ref="A68">IFERROR(INDEX('Master Stock'!$C$2:$C$99,MATCH(ROWS($A$9:A68),'Master Stock'!$N$2:$N$99,0)),"")</f>
        <v/>
      </c>
      <c r="B68" s="96">
        <f t="array" ref="B68">IFERROR(INDEX('Master Stock'!$D$2:$D$99,MATCH(ROWS($A$9:A68),'Master Stock'!$N$2:$N$99,0)),"")</f>
        <v/>
      </c>
      <c r="C68" s="117">
        <f t="array" ref="C68">IF(A68="","",IFERROR(INDEX('Master Stock'!$J$2:$J$99,MATCH(ROWS($A$9:A68),'Master Stock'!$N$2:$N$99,0)),""))</f>
        <v/>
      </c>
      <c r="D68" s="118">
        <f>IF(C68="","",MAX(0,TODAY()-C68))</f>
        <v/>
      </c>
      <c r="E68" s="96" t="n"/>
      <c r="F68" s="96" t="n"/>
      <c r="G68" s="117">
        <f t="array" ref="G68">IFERROR(INDEX('Master Stock'!$C$2:$C$99,MATCH(ROWS($G$9:G68),'Master Stock'!$P$2:$P$99,0)),"")</f>
        <v/>
      </c>
      <c r="H68" s="96">
        <f t="array" ref="H68">IFERROR(INDEX('Master Stock'!$D$2:$D$99,MATCH(ROWS($G$9:G68),'Master Stock'!$P$2:$P$99,0)),"")</f>
        <v/>
      </c>
      <c r="I68" s="117">
        <f t="array" ref="I68">IF(G68="","",IFERROR(INDEX('Master Stock'!$J$2:$J$99,MATCH(ROWS($G$9:G68),'Master Stock'!$P$2:$P$99,0)),""))</f>
        <v/>
      </c>
      <c r="J68" s="118">
        <f>IF(I68="","",MAX(0,TODAY()-I68))</f>
        <v/>
      </c>
      <c r="K68" s="95" t="n"/>
    </row>
    <row r="69" ht="15.75" customHeight="1" s="230">
      <c r="A69" s="96">
        <f t="array" ref="A69">IFERROR(INDEX('Master Stock'!$C$2:$C$99,MATCH(ROWS($A$9:A69),'Master Stock'!$N$2:$N$99,0)),"")</f>
        <v/>
      </c>
      <c r="B69" s="96">
        <f t="array" ref="B69">IFERROR(INDEX('Master Stock'!$D$2:$D$99,MATCH(ROWS($A$9:A69),'Master Stock'!$N$2:$N$99,0)),"")</f>
        <v/>
      </c>
      <c r="C69" s="117">
        <f t="array" ref="C69">IF(A69="","",IFERROR(INDEX('Master Stock'!$J$2:$J$99,MATCH(ROWS($A$9:A69),'Master Stock'!$N$2:$N$99,0)),""))</f>
        <v/>
      </c>
      <c r="D69" s="118">
        <f>IF(C69="","",MAX(0,TODAY()-C69))</f>
        <v/>
      </c>
      <c r="E69" s="96" t="n"/>
      <c r="F69" s="96" t="n"/>
      <c r="G69" s="117">
        <f t="array" ref="G69">IFERROR(INDEX('Master Stock'!$C$2:$C$99,MATCH(ROWS($G$9:G69),'Master Stock'!$P$2:$P$99,0)),"")</f>
        <v/>
      </c>
      <c r="H69" s="96">
        <f t="array" ref="H69">IFERROR(INDEX('Master Stock'!$D$2:$D$99,MATCH(ROWS($G$9:G69),'Master Stock'!$P$2:$P$99,0)),"")</f>
        <v/>
      </c>
      <c r="I69" s="117">
        <f t="array" ref="I69">IF(G69="","",IFERROR(INDEX('Master Stock'!$J$2:$J$99,MATCH(ROWS($G$9:G69),'Master Stock'!$P$2:$P$99,0)),""))</f>
        <v/>
      </c>
      <c r="J69" s="118">
        <f>IF(I69="","",MAX(0,TODAY()-I69))</f>
        <v/>
      </c>
      <c r="K69" s="95" t="n"/>
    </row>
    <row r="70" ht="15.75" customHeight="1" s="230">
      <c r="A70" s="96">
        <f t="array" ref="A70">IFERROR(INDEX('Master Stock'!$C$2:$C$99,MATCH(ROWS($A$9:A70),'Master Stock'!$N$2:$N$99,0)),"")</f>
        <v/>
      </c>
      <c r="B70" s="96">
        <f t="array" ref="B70">IFERROR(INDEX('Master Stock'!$D$2:$D$99,MATCH(ROWS($A$9:A70),'Master Stock'!$N$2:$N$99,0)),"")</f>
        <v/>
      </c>
      <c r="C70" s="117">
        <f t="array" ref="C70">IF(A70="","",IFERROR(INDEX('Master Stock'!$J$2:$J$99,MATCH(ROWS($A$9:A70),'Master Stock'!$N$2:$N$99,0)),""))</f>
        <v/>
      </c>
      <c r="D70" s="118">
        <f>IF(C70="","",MAX(0,TODAY()-C70))</f>
        <v/>
      </c>
      <c r="E70" s="96" t="n"/>
      <c r="F70" s="96" t="n"/>
      <c r="G70" s="117">
        <f t="array" ref="G70">IFERROR(INDEX('Master Stock'!$C$2:$C$99,MATCH(ROWS($G$9:G70),'Master Stock'!$P$2:$P$99,0)),"")</f>
        <v/>
      </c>
      <c r="H70" s="96">
        <f t="array" ref="H70">IFERROR(INDEX('Master Stock'!$D$2:$D$99,MATCH(ROWS($G$9:G70),'Master Stock'!$P$2:$P$99,0)),"")</f>
        <v/>
      </c>
      <c r="I70" s="117">
        <f t="array" ref="I70">IF(G70="","",IFERROR(INDEX('Master Stock'!$J$2:$J$99,MATCH(ROWS($G$9:G70),'Master Stock'!$P$2:$P$99,0)),""))</f>
        <v/>
      </c>
      <c r="J70" s="118">
        <f>IF(I70="","",MAX(0,TODAY()-I70))</f>
        <v/>
      </c>
      <c r="K70" s="95" t="n"/>
    </row>
    <row r="71" ht="15.75" customHeight="1" s="230">
      <c r="A71" s="96">
        <f t="array" ref="A71">IFERROR(INDEX('Master Stock'!$C$2:$C$99,MATCH(ROWS($A$9:A71),'Master Stock'!$N$2:$N$99,0)),"")</f>
        <v/>
      </c>
      <c r="B71" s="96">
        <f t="array" ref="B71">IFERROR(INDEX('Master Stock'!$D$2:$D$99,MATCH(ROWS($A$9:A71),'Master Stock'!$N$2:$N$99,0)),"")</f>
        <v/>
      </c>
      <c r="C71" s="117">
        <f t="array" ref="C71">IF(A71="","",IFERROR(INDEX('Master Stock'!$J$2:$J$99,MATCH(ROWS($A$9:A71),'Master Stock'!$N$2:$N$99,0)),""))</f>
        <v/>
      </c>
      <c r="D71" s="118">
        <f>IF(C71="","",MAX(0,TODAY()-C71))</f>
        <v/>
      </c>
      <c r="E71" s="96" t="n"/>
      <c r="F71" s="96" t="n"/>
      <c r="G71" s="117">
        <f t="array" ref="G71">IFERROR(INDEX('Master Stock'!$C$2:$C$99,MATCH(ROWS($G$9:G71),'Master Stock'!$P$2:$P$99,0)),"")</f>
        <v/>
      </c>
      <c r="H71" s="96">
        <f t="array" ref="H71">IFERROR(INDEX('Master Stock'!$D$2:$D$99,MATCH(ROWS($G$9:G71),'Master Stock'!$P$2:$P$99,0)),"")</f>
        <v/>
      </c>
      <c r="I71" s="117">
        <f t="array" ref="I71">IF(G71="","",IFERROR(INDEX('Master Stock'!$J$2:$J$99,MATCH(ROWS($G$9:G71),'Master Stock'!$P$2:$P$99,0)),""))</f>
        <v/>
      </c>
      <c r="J71" s="118">
        <f>IF(I71="","",MAX(0,TODAY()-I71))</f>
        <v/>
      </c>
      <c r="K71" s="95" t="n"/>
    </row>
    <row r="72" ht="15.75" customHeight="1" s="230">
      <c r="A72" s="96">
        <f t="array" ref="A72">IFERROR(INDEX('Master Stock'!$C$2:$C$99,MATCH(ROWS($A$9:A72),'Master Stock'!$N$2:$N$99,0)),"")</f>
        <v/>
      </c>
      <c r="B72" s="96">
        <f t="array" ref="B72">IFERROR(INDEX('Master Stock'!$D$2:$D$99,MATCH(ROWS($A$9:A72),'Master Stock'!$N$2:$N$99,0)),"")</f>
        <v/>
      </c>
      <c r="C72" s="117">
        <f t="array" ref="C72">IF(A72="","",IFERROR(INDEX('Master Stock'!$J$2:$J$99,MATCH(ROWS($A$9:A72),'Master Stock'!$N$2:$N$99,0)),""))</f>
        <v/>
      </c>
      <c r="D72" s="118">
        <f>IF(C72="","",MAX(0,TODAY()-C72))</f>
        <v/>
      </c>
      <c r="E72" s="96" t="n"/>
      <c r="F72" s="96" t="n"/>
      <c r="G72" s="117">
        <f t="array" ref="G72">IFERROR(INDEX('Master Stock'!$C$2:$C$99,MATCH(ROWS($G$9:G72),'Master Stock'!$P$2:$P$99,0)),"")</f>
        <v/>
      </c>
      <c r="H72" s="96">
        <f t="array" ref="H72">IFERROR(INDEX('Master Stock'!$D$2:$D$99,MATCH(ROWS($G$9:G72),'Master Stock'!$P$2:$P$99,0)),"")</f>
        <v/>
      </c>
      <c r="I72" s="117">
        <f t="array" ref="I72">IF(G72="","",IFERROR(INDEX('Master Stock'!$J$2:$J$99,MATCH(ROWS($G$9:G72),'Master Stock'!$P$2:$P$99,0)),""))</f>
        <v/>
      </c>
      <c r="J72" s="118">
        <f>IF(I72="","",MAX(0,TODAY()-I72))</f>
        <v/>
      </c>
      <c r="K72" s="95" t="n"/>
    </row>
    <row r="73" ht="15.75" customHeight="1" s="230">
      <c r="A73" s="96">
        <f t="array" ref="A73">IFERROR(INDEX('Master Stock'!$C$2:$C$99,MATCH(ROWS($A$9:A73),'Master Stock'!$N$2:$N$99,0)),"")</f>
        <v/>
      </c>
      <c r="B73" s="96">
        <f t="array" ref="B73">IFERROR(INDEX('Master Stock'!$D$2:$D$99,MATCH(ROWS($A$9:A73),'Master Stock'!$N$2:$N$99,0)),"")</f>
        <v/>
      </c>
      <c r="C73" s="117">
        <f t="array" ref="C73">IF(A73="","",IFERROR(INDEX('Master Stock'!$J$2:$J$99,MATCH(ROWS($A$9:A73),'Master Stock'!$N$2:$N$99,0)),""))</f>
        <v/>
      </c>
      <c r="D73" s="118">
        <f>IF(C73="","",MAX(0,TODAY()-C73))</f>
        <v/>
      </c>
      <c r="E73" s="96" t="n"/>
      <c r="F73" s="96" t="n"/>
      <c r="G73" s="117">
        <f t="array" ref="G73">IFERROR(INDEX('Master Stock'!$C$2:$C$99,MATCH(ROWS($G$9:G73),'Master Stock'!$P$2:$P$99,0)),"")</f>
        <v/>
      </c>
      <c r="H73" s="96">
        <f t="array" ref="H73">IFERROR(INDEX('Master Stock'!$D$2:$D$99,MATCH(ROWS($G$9:G73),'Master Stock'!$P$2:$P$99,0)),"")</f>
        <v/>
      </c>
      <c r="I73" s="117">
        <f t="array" ref="I73">IF(G73="","",IFERROR(INDEX('Master Stock'!$J$2:$J$99,MATCH(ROWS($G$9:G73),'Master Stock'!$P$2:$P$99,0)),""))</f>
        <v/>
      </c>
      <c r="J73" s="118">
        <f>IF(I73="","",MAX(0,TODAY()-I73))</f>
        <v/>
      </c>
      <c r="K73" s="95" t="n"/>
    </row>
    <row r="74" ht="15.75" customHeight="1" s="230">
      <c r="A74" s="96">
        <f t="array" ref="A74">IFERROR(INDEX('Master Stock'!$C$2:$C$99,MATCH(ROWS($A$9:A74),'Master Stock'!$N$2:$N$99,0)),"")</f>
        <v/>
      </c>
      <c r="B74" s="96">
        <f t="array" ref="B74">IFERROR(INDEX('Master Stock'!$D$2:$D$99,MATCH(ROWS($A$9:A74),'Master Stock'!$N$2:$N$99,0)),"")</f>
        <v/>
      </c>
      <c r="C74" s="117">
        <f t="array" ref="C74">IF(A74="","",IFERROR(INDEX('Master Stock'!$J$2:$J$99,MATCH(ROWS($A$9:A74),'Master Stock'!$N$2:$N$99,0)),""))</f>
        <v/>
      </c>
      <c r="D74" s="118">
        <f>IF(C74="","",MAX(0,TODAY()-C74))</f>
        <v/>
      </c>
      <c r="E74" s="96" t="n"/>
      <c r="F74" s="96" t="n"/>
      <c r="G74" s="117">
        <f t="array" ref="G74">IFERROR(INDEX('Master Stock'!$C$2:$C$99,MATCH(ROWS($G$9:G74),'Master Stock'!$P$2:$P$99,0)),"")</f>
        <v/>
      </c>
      <c r="H74" s="96">
        <f t="array" ref="H74">IFERROR(INDEX('Master Stock'!$D$2:$D$99,MATCH(ROWS($G$9:G74),'Master Stock'!$P$2:$P$99,0)),"")</f>
        <v/>
      </c>
      <c r="I74" s="117">
        <f t="array" ref="I74">IF(G74="","",IFERROR(INDEX('Master Stock'!$J$2:$J$99,MATCH(ROWS($G$9:G74),'Master Stock'!$P$2:$P$99,0)),""))</f>
        <v/>
      </c>
      <c r="J74" s="118">
        <f>IF(I74="","",MAX(0,TODAY()-I74))</f>
        <v/>
      </c>
      <c r="K74" s="95" t="n"/>
    </row>
    <row r="75" ht="15.75" customHeight="1" s="230">
      <c r="A75" s="96">
        <f t="array" ref="A75">IFERROR(INDEX('Master Stock'!$C$2:$C$99,MATCH(ROWS($A$9:A75),'Master Stock'!$N$2:$N$99,0)),"")</f>
        <v/>
      </c>
      <c r="B75" s="96">
        <f t="array" ref="B75">IFERROR(INDEX('Master Stock'!$D$2:$D$99,MATCH(ROWS($A$9:A75),'Master Stock'!$N$2:$N$99,0)),"")</f>
        <v/>
      </c>
      <c r="C75" s="117">
        <f t="array" ref="C75">IF(A75="","",IFERROR(INDEX('Master Stock'!$J$2:$J$99,MATCH(ROWS($A$9:A75),'Master Stock'!$N$2:$N$99,0)),""))</f>
        <v/>
      </c>
      <c r="D75" s="118">
        <f>IF(C75="","",MAX(0,TODAY()-C75))</f>
        <v/>
      </c>
      <c r="E75" s="96" t="n"/>
      <c r="F75" s="96" t="n"/>
      <c r="G75" s="117">
        <f t="array" ref="G75">IFERROR(INDEX('Master Stock'!$C$2:$C$99,MATCH(ROWS($G$9:G75),'Master Stock'!$P$2:$P$99,0)),"")</f>
        <v/>
      </c>
      <c r="H75" s="96">
        <f t="array" ref="H75">IFERROR(INDEX('Master Stock'!$D$2:$D$99,MATCH(ROWS($G$9:G75),'Master Stock'!$P$2:$P$99,0)),"")</f>
        <v/>
      </c>
      <c r="I75" s="117">
        <f t="array" ref="I75">IF(G75="","",IFERROR(INDEX('Master Stock'!$J$2:$J$99,MATCH(ROWS($G$9:G75),'Master Stock'!$P$2:$P$99,0)),""))</f>
        <v/>
      </c>
      <c r="J75" s="118">
        <f>IF(I75="","",MAX(0,TODAY()-I75))</f>
        <v/>
      </c>
      <c r="K75" s="95" t="n"/>
    </row>
    <row r="76" ht="15.75" customHeight="1" s="230">
      <c r="A76" s="96">
        <f t="array" ref="A76">IFERROR(INDEX('Master Stock'!$C$2:$C$99,MATCH(ROWS($A$9:A76),'Master Stock'!$N$2:$N$99,0)),"")</f>
        <v/>
      </c>
      <c r="B76" s="96">
        <f t="array" ref="B76">IFERROR(INDEX('Master Stock'!$D$2:$D$99,MATCH(ROWS($A$9:A76),'Master Stock'!$N$2:$N$99,0)),"")</f>
        <v/>
      </c>
      <c r="C76" s="117">
        <f t="array" ref="C76">IF(A76="","",IFERROR(INDEX('Master Stock'!$J$2:$J$99,MATCH(ROWS($A$9:A76),'Master Stock'!$N$2:$N$99,0)),""))</f>
        <v/>
      </c>
      <c r="D76" s="118">
        <f>IF(C76="","",MAX(0,TODAY()-C76))</f>
        <v/>
      </c>
      <c r="E76" s="96" t="n"/>
      <c r="F76" s="96" t="n"/>
      <c r="G76" s="117">
        <f t="array" ref="G76">IFERROR(INDEX('Master Stock'!$C$2:$C$99,MATCH(ROWS($G$9:G76),'Master Stock'!$P$2:$P$99,0)),"")</f>
        <v/>
      </c>
      <c r="H76" s="96">
        <f t="array" ref="H76">IFERROR(INDEX('Master Stock'!$D$2:$D$99,MATCH(ROWS($G$9:G76),'Master Stock'!$P$2:$P$99,0)),"")</f>
        <v/>
      </c>
      <c r="I76" s="117">
        <f t="array" ref="I76">IF(G76="","",IFERROR(INDEX('Master Stock'!$J$2:$J$99,MATCH(ROWS($G$9:G76),'Master Stock'!$P$2:$P$99,0)),""))</f>
        <v/>
      </c>
      <c r="J76" s="118">
        <f>IF(I76="","",MAX(0,TODAY()-I76))</f>
        <v/>
      </c>
      <c r="K76" s="95" t="n"/>
    </row>
    <row r="77" ht="15.75" customHeight="1" s="230">
      <c r="A77" s="96">
        <f t="array" ref="A77">IFERROR(INDEX('Master Stock'!$C$2:$C$99,MATCH(ROWS($A$9:A77),'Master Stock'!$N$2:$N$99,0)),"")</f>
        <v/>
      </c>
      <c r="B77" s="96">
        <f t="array" ref="B77">IFERROR(INDEX('Master Stock'!$D$2:$D$99,MATCH(ROWS($A$9:A77),'Master Stock'!$N$2:$N$99,0)),"")</f>
        <v/>
      </c>
      <c r="C77" s="117">
        <f t="array" ref="C77">IF(A77="","",IFERROR(INDEX('Master Stock'!$J$2:$J$99,MATCH(ROWS($A$9:A77),'Master Stock'!$N$2:$N$99,0)),""))</f>
        <v/>
      </c>
      <c r="D77" s="118">
        <f>IF(C77="","",MAX(0,TODAY()-C77))</f>
        <v/>
      </c>
      <c r="E77" s="96" t="n"/>
      <c r="F77" s="96" t="n"/>
      <c r="G77" s="117">
        <f t="array" ref="G77">IFERROR(INDEX('Master Stock'!$C$2:$C$99,MATCH(ROWS($G$9:G77),'Master Stock'!$P$2:$P$99,0)),"")</f>
        <v/>
      </c>
      <c r="H77" s="96">
        <f t="array" ref="H77">IFERROR(INDEX('Master Stock'!$D$2:$D$99,MATCH(ROWS($G$9:G77),'Master Stock'!$P$2:$P$99,0)),"")</f>
        <v/>
      </c>
      <c r="I77" s="117">
        <f t="array" ref="I77">IF(G77="","",IFERROR(INDEX('Master Stock'!$J$2:$J$99,MATCH(ROWS($G$9:G77),'Master Stock'!$P$2:$P$99,0)),""))</f>
        <v/>
      </c>
      <c r="J77" s="118">
        <f>IF(I77="","",MAX(0,TODAY()-I77))</f>
        <v/>
      </c>
      <c r="K77" s="95" t="n"/>
    </row>
    <row r="78" ht="15.75" customHeight="1" s="230">
      <c r="A78" s="96">
        <f t="array" ref="A78">IFERROR(INDEX('Master Stock'!$C$2:$C$99,MATCH(ROWS($A$9:A78),'Master Stock'!$N$2:$N$99,0)),"")</f>
        <v/>
      </c>
      <c r="B78" s="96">
        <f t="array" ref="B78">IFERROR(INDEX('Master Stock'!$D$2:$D$99,MATCH(ROWS($A$9:A78),'Master Stock'!$N$2:$N$99,0)),"")</f>
        <v/>
      </c>
      <c r="C78" s="117">
        <f t="array" ref="C78">IF(A78="","",IFERROR(INDEX('Master Stock'!$J$2:$J$99,MATCH(ROWS($A$9:A78),'Master Stock'!$N$2:$N$99,0)),""))</f>
        <v/>
      </c>
      <c r="D78" s="118">
        <f>IF(C78="","",MAX(0,TODAY()-C78))</f>
        <v/>
      </c>
      <c r="E78" s="96" t="n"/>
      <c r="F78" s="96" t="n"/>
      <c r="G78" s="117">
        <f t="array" ref="G78">IFERROR(INDEX('Master Stock'!$C$2:$C$99,MATCH(ROWS($G$9:G78),'Master Stock'!$P$2:$P$99,0)),"")</f>
        <v/>
      </c>
      <c r="H78" s="96">
        <f t="array" ref="H78">IFERROR(INDEX('Master Stock'!$D$2:$D$99,MATCH(ROWS($G$9:G78),'Master Stock'!$P$2:$P$99,0)),"")</f>
        <v/>
      </c>
      <c r="I78" s="117">
        <f t="array" ref="I78">IF(G78="","",IFERROR(INDEX('Master Stock'!$J$2:$J$99,MATCH(ROWS($G$9:G78),'Master Stock'!$P$2:$P$99,0)),""))</f>
        <v/>
      </c>
      <c r="J78" s="118">
        <f>IF(I78="","",MAX(0,TODAY()-I78))</f>
        <v/>
      </c>
      <c r="K78" s="95" t="n"/>
    </row>
    <row r="79" ht="15.75" customHeight="1" s="230">
      <c r="A79" s="96">
        <f t="array" ref="A79">IFERROR(INDEX('Master Stock'!$C$2:$C$99,MATCH(ROWS($A$9:A79),'Master Stock'!$N$2:$N$99,0)),"")</f>
        <v/>
      </c>
      <c r="B79" s="96">
        <f t="array" ref="B79">IFERROR(INDEX('Master Stock'!$D$2:$D$99,MATCH(ROWS($A$9:A79),'Master Stock'!$N$2:$N$99,0)),"")</f>
        <v/>
      </c>
      <c r="C79" s="117">
        <f t="array" ref="C79">IF(A79="","",IFERROR(INDEX('Master Stock'!$J$2:$J$99,MATCH(ROWS($A$9:A79),'Master Stock'!$N$2:$N$99,0)),""))</f>
        <v/>
      </c>
      <c r="D79" s="118">
        <f>IF(C79="","",MAX(0,TODAY()-C79))</f>
        <v/>
      </c>
      <c r="E79" s="96" t="n"/>
      <c r="F79" s="96" t="n"/>
      <c r="G79" s="117">
        <f t="array" ref="G79">IFERROR(INDEX('Master Stock'!$C$2:$C$99,MATCH(ROWS($G$9:G79),'Master Stock'!$P$2:$P$99,0)),"")</f>
        <v/>
      </c>
      <c r="H79" s="96">
        <f t="array" ref="H79">IFERROR(INDEX('Master Stock'!$D$2:$D$99,MATCH(ROWS($G$9:G79),'Master Stock'!$P$2:$P$99,0)),"")</f>
        <v/>
      </c>
      <c r="I79" s="117">
        <f t="array" ref="I79">IF(G79="","",IFERROR(INDEX('Master Stock'!$J$2:$J$99,MATCH(ROWS($G$9:G79),'Master Stock'!$P$2:$P$99,0)),""))</f>
        <v/>
      </c>
      <c r="J79" s="118">
        <f>IF(I79="","",MAX(0,TODAY()-I79))</f>
        <v/>
      </c>
      <c r="K79" s="95" t="n"/>
    </row>
    <row r="80" ht="15.75" customHeight="1" s="230">
      <c r="A80" s="96">
        <f t="array" ref="A80">IFERROR(INDEX('Master Stock'!$C$2:$C$99,MATCH(ROWS($A$9:A80),'Master Stock'!$N$2:$N$99,0)),"")</f>
        <v/>
      </c>
      <c r="B80" s="96">
        <f t="array" ref="B80">IFERROR(INDEX('Master Stock'!$D$2:$D$99,MATCH(ROWS($A$9:A80),'Master Stock'!$N$2:$N$99,0)),"")</f>
        <v/>
      </c>
      <c r="C80" s="117">
        <f t="array" ref="C80">IF(A80="","",IFERROR(INDEX('Master Stock'!$J$2:$J$99,MATCH(ROWS($A$9:A80),'Master Stock'!$N$2:$N$99,0)),""))</f>
        <v/>
      </c>
      <c r="D80" s="118">
        <f>IF(C80="","",MAX(0,TODAY()-C80))</f>
        <v/>
      </c>
      <c r="E80" s="96" t="n"/>
      <c r="F80" s="96" t="n"/>
      <c r="G80" s="117">
        <f t="array" ref="G80">IFERROR(INDEX('Master Stock'!$C$2:$C$99,MATCH(ROWS($G$9:G80),'Master Stock'!$P$2:$P$99,0)),"")</f>
        <v/>
      </c>
      <c r="H80" s="96">
        <f t="array" ref="H80">IFERROR(INDEX('Master Stock'!$D$2:$D$99,MATCH(ROWS($G$9:G80),'Master Stock'!$P$2:$P$99,0)),"")</f>
        <v/>
      </c>
      <c r="I80" s="117">
        <f t="array" ref="I80">IF(G80="","",IFERROR(INDEX('Master Stock'!$J$2:$J$99,MATCH(ROWS($G$9:G80),'Master Stock'!$P$2:$P$99,0)),""))</f>
        <v/>
      </c>
      <c r="J80" s="118">
        <f>IF(I80="","",MAX(0,TODAY()-I80))</f>
        <v/>
      </c>
      <c r="K80" s="95" t="n"/>
    </row>
    <row r="81" ht="15.75" customHeight="1" s="230">
      <c r="A81" s="96">
        <f t="array" ref="A81">IFERROR(INDEX('Master Stock'!$C$2:$C$99,MATCH(ROWS($A$9:A81),'Master Stock'!$N$2:$N$99,0)),"")</f>
        <v/>
      </c>
      <c r="B81" s="96">
        <f t="array" ref="B81">IFERROR(INDEX('Master Stock'!$D$2:$D$99,MATCH(ROWS($A$9:A81),'Master Stock'!$N$2:$N$99,0)),"")</f>
        <v/>
      </c>
      <c r="C81" s="117">
        <f t="array" ref="C81">IF(A81="","",IFERROR(INDEX('Master Stock'!$J$2:$J$99,MATCH(ROWS($A$9:A81),'Master Stock'!$N$2:$N$99,0)),""))</f>
        <v/>
      </c>
      <c r="D81" s="118">
        <f>IF(C81="","",MAX(0,TODAY()-C81))</f>
        <v/>
      </c>
      <c r="E81" s="96" t="n"/>
      <c r="F81" s="96" t="n"/>
      <c r="G81" s="117">
        <f t="array" ref="G81">IFERROR(INDEX('Master Stock'!$C$2:$C$99,MATCH(ROWS($G$9:G81),'Master Stock'!$P$2:$P$99,0)),"")</f>
        <v/>
      </c>
      <c r="H81" s="96">
        <f t="array" ref="H81">IFERROR(INDEX('Master Stock'!$D$2:$D$99,MATCH(ROWS($G$9:G81),'Master Stock'!$P$2:$P$99,0)),"")</f>
        <v/>
      </c>
      <c r="I81" s="117">
        <f t="array" ref="I81">IF(G81="","",IFERROR(INDEX('Master Stock'!$J$2:$J$99,MATCH(ROWS($G$9:G81),'Master Stock'!$P$2:$P$99,0)),""))</f>
        <v/>
      </c>
      <c r="J81" s="118">
        <f>IF(I81="","",MAX(0,TODAY()-I81))</f>
        <v/>
      </c>
      <c r="K81" s="95" t="n"/>
    </row>
    <row r="82" ht="15.75" customHeight="1" s="230">
      <c r="A82" s="96">
        <f t="array" ref="A82">IFERROR(INDEX('Master Stock'!$C$2:$C$99,MATCH(ROWS($A$9:A82),'Master Stock'!$N$2:$N$99,0)),"")</f>
        <v/>
      </c>
      <c r="B82" s="96">
        <f t="array" ref="B82">IFERROR(INDEX('Master Stock'!$D$2:$D$99,MATCH(ROWS($A$9:A82),'Master Stock'!$N$2:$N$99,0)),"")</f>
        <v/>
      </c>
      <c r="C82" s="117">
        <f t="array" ref="C82">IF(A82="","",IFERROR(INDEX('Master Stock'!$J$2:$J$99,MATCH(ROWS($A$9:A82),'Master Stock'!$N$2:$N$99,0)),""))</f>
        <v/>
      </c>
      <c r="D82" s="118">
        <f>IF(C82="","",MAX(0,TODAY()-C82))</f>
        <v/>
      </c>
      <c r="E82" s="96" t="n"/>
      <c r="F82" s="96" t="n"/>
      <c r="G82" s="117">
        <f t="array" ref="G82">IFERROR(INDEX('Master Stock'!$C$2:$C$99,MATCH(ROWS($G$9:G82),'Master Stock'!$P$2:$P$99,0)),"")</f>
        <v/>
      </c>
      <c r="H82" s="96">
        <f t="array" ref="H82">IFERROR(INDEX('Master Stock'!$D$2:$D$99,MATCH(ROWS($G$9:G82),'Master Stock'!$P$2:$P$99,0)),"")</f>
        <v/>
      </c>
      <c r="I82" s="117">
        <f t="array" ref="I82">IF(G82="","",IFERROR(INDEX('Master Stock'!$J$2:$J$99,MATCH(ROWS($G$9:G82),'Master Stock'!$P$2:$P$99,0)),""))</f>
        <v/>
      </c>
      <c r="J82" s="118">
        <f>IF(I82="","",MAX(0,TODAY()-I82))</f>
        <v/>
      </c>
      <c r="K82" s="95" t="n"/>
    </row>
    <row r="83" ht="15.75" customHeight="1" s="230">
      <c r="A83" s="96">
        <f t="array" ref="A83">IFERROR(INDEX('Master Stock'!$C$2:$C$99,MATCH(ROWS($A$9:A83),'Master Stock'!$N$2:$N$99,0)),"")</f>
        <v/>
      </c>
      <c r="B83" s="96">
        <f t="array" ref="B83">IFERROR(INDEX('Master Stock'!$D$2:$D$99,MATCH(ROWS($A$9:A83),'Master Stock'!$N$2:$N$99,0)),"")</f>
        <v/>
      </c>
      <c r="C83" s="117">
        <f t="array" ref="C83">IF(A83="","",IFERROR(INDEX('Master Stock'!$J$2:$J$99,MATCH(ROWS($A$9:A83),'Master Stock'!$N$2:$N$99,0)),""))</f>
        <v/>
      </c>
      <c r="D83" s="118">
        <f>IF(C83="","",MAX(0,TODAY()-C83))</f>
        <v/>
      </c>
      <c r="E83" s="96" t="n"/>
      <c r="F83" s="96" t="n"/>
      <c r="G83" s="117">
        <f t="array" ref="G83">IFERROR(INDEX('Master Stock'!$C$2:$C$99,MATCH(ROWS($G$9:G83),'Master Stock'!$P$2:$P$99,0)),"")</f>
        <v/>
      </c>
      <c r="H83" s="96">
        <f t="array" ref="H83">IFERROR(INDEX('Master Stock'!$D$2:$D$99,MATCH(ROWS($G$9:G83),'Master Stock'!$P$2:$P$99,0)),"")</f>
        <v/>
      </c>
      <c r="I83" s="117">
        <f t="array" ref="I83">IF(G83="","",IFERROR(INDEX('Master Stock'!$J$2:$J$99,MATCH(ROWS($G$9:G83),'Master Stock'!$P$2:$P$99,0)),""))</f>
        <v/>
      </c>
      <c r="J83" s="118">
        <f>IF(I83="","",MAX(0,TODAY()-I83))</f>
        <v/>
      </c>
      <c r="K83" s="95" t="n"/>
    </row>
    <row r="84" ht="15.75" customHeight="1" s="230">
      <c r="A84" s="96">
        <f t="array" ref="A84">IFERROR(INDEX('Master Stock'!$C$2:$C$99,MATCH(ROWS($A$9:A84),'Master Stock'!$N$2:$N$99,0)),"")</f>
        <v/>
      </c>
      <c r="B84" s="96">
        <f t="array" ref="B84">IFERROR(INDEX('Master Stock'!$D$2:$D$99,MATCH(ROWS($A$9:A84),'Master Stock'!$N$2:$N$99,0)),"")</f>
        <v/>
      </c>
      <c r="C84" s="117">
        <f t="array" ref="C84">IF(A84="","",IFERROR(INDEX('Master Stock'!$J$2:$J$99,MATCH(ROWS($A$9:A84),'Master Stock'!$N$2:$N$99,0)),""))</f>
        <v/>
      </c>
      <c r="D84" s="118">
        <f>IF(C84="","",MAX(0,TODAY()-C84))</f>
        <v/>
      </c>
      <c r="E84" s="96" t="n"/>
      <c r="F84" s="96" t="n"/>
      <c r="G84" s="117">
        <f t="array" ref="G84">IFERROR(INDEX('Master Stock'!$C$2:$C$99,MATCH(ROWS($G$9:G84),'Master Stock'!$P$2:$P$99,0)),"")</f>
        <v/>
      </c>
      <c r="H84" s="96">
        <f t="array" ref="H84">IFERROR(INDEX('Master Stock'!$D$2:$D$99,MATCH(ROWS($G$9:G84),'Master Stock'!$P$2:$P$99,0)),"")</f>
        <v/>
      </c>
      <c r="I84" s="117">
        <f t="array" ref="I84">IF(G84="","",IFERROR(INDEX('Master Stock'!$J$2:$J$99,MATCH(ROWS($G$9:G84),'Master Stock'!$P$2:$P$99,0)),""))</f>
        <v/>
      </c>
      <c r="J84" s="118">
        <f>IF(I84="","",MAX(0,TODAY()-I84))</f>
        <v/>
      </c>
      <c r="K84" s="95" t="n"/>
    </row>
    <row r="85" ht="15.75" customHeight="1" s="230">
      <c r="A85" s="96">
        <f t="array" ref="A85">IFERROR(INDEX('Master Stock'!$C$2:$C$99,MATCH(ROWS($A$9:A85),'Master Stock'!$N$2:$N$99,0)),"")</f>
        <v/>
      </c>
      <c r="B85" s="96">
        <f t="array" ref="B85">IFERROR(INDEX('Master Stock'!$D$2:$D$99,MATCH(ROWS($A$9:A85),'Master Stock'!$N$2:$N$99,0)),"")</f>
        <v/>
      </c>
      <c r="C85" s="117">
        <f t="array" ref="C85">IF(A85="","",IFERROR(INDEX('Master Stock'!$J$2:$J$99,MATCH(ROWS($A$9:A85),'Master Stock'!$N$2:$N$99,0)),""))</f>
        <v/>
      </c>
      <c r="D85" s="118">
        <f>IF(C85="","",MAX(0,TODAY()-C85))</f>
        <v/>
      </c>
      <c r="E85" s="96" t="n"/>
      <c r="F85" s="96" t="n"/>
      <c r="G85" s="117">
        <f t="array" ref="G85">IFERROR(INDEX('Master Stock'!$C$2:$C$99,MATCH(ROWS($G$9:G85),'Master Stock'!$P$2:$P$99,0)),"")</f>
        <v/>
      </c>
      <c r="H85" s="96">
        <f t="array" ref="H85">IFERROR(INDEX('Master Stock'!$D$2:$D$99,MATCH(ROWS($G$9:G85),'Master Stock'!$P$2:$P$99,0)),"")</f>
        <v/>
      </c>
      <c r="I85" s="117">
        <f t="array" ref="I85">IF(G85="","",IFERROR(INDEX('Master Stock'!$J$2:$J$99,MATCH(ROWS($G$9:G85),'Master Stock'!$P$2:$P$99,0)),""))</f>
        <v/>
      </c>
      <c r="J85" s="118">
        <f>IF(I85="","",MAX(0,TODAY()-I85))</f>
        <v/>
      </c>
      <c r="K85" s="95" t="n"/>
    </row>
    <row r="86" ht="15.75" customHeight="1" s="230">
      <c r="A86" s="96">
        <f t="array" ref="A86">IFERROR(INDEX('Master Stock'!$C$2:$C$99,MATCH(ROWS($A$9:A86),'Master Stock'!$N$2:$N$99,0)),"")</f>
        <v/>
      </c>
      <c r="B86" s="96">
        <f t="array" ref="B86">IFERROR(INDEX('Master Stock'!$D$2:$D$99,MATCH(ROWS($A$9:A86),'Master Stock'!$N$2:$N$99,0)),"")</f>
        <v/>
      </c>
      <c r="C86" s="117">
        <f t="array" ref="C86">IF(A86="","",IFERROR(INDEX('Master Stock'!$J$2:$J$99,MATCH(ROWS($A$9:A86),'Master Stock'!$N$2:$N$99,0)),""))</f>
        <v/>
      </c>
      <c r="D86" s="118">
        <f>IF(C86="","",MAX(0,TODAY()-C86))</f>
        <v/>
      </c>
      <c r="E86" s="96" t="n"/>
      <c r="F86" s="96" t="n"/>
      <c r="G86" s="117">
        <f t="array" ref="G86">IFERROR(INDEX('Master Stock'!$C$2:$C$99,MATCH(ROWS($G$9:G86),'Master Stock'!$P$2:$P$99,0)),"")</f>
        <v/>
      </c>
      <c r="H86" s="96">
        <f t="array" ref="H86">IFERROR(INDEX('Master Stock'!$D$2:$D$99,MATCH(ROWS($G$9:G86),'Master Stock'!$P$2:$P$99,0)),"")</f>
        <v/>
      </c>
      <c r="I86" s="117">
        <f t="array" ref="I86">IF(G86="","",IFERROR(INDEX('Master Stock'!$J$2:$J$99,MATCH(ROWS($G$9:G86),'Master Stock'!$P$2:$P$99,0)),""))</f>
        <v/>
      </c>
      <c r="J86" s="118">
        <f>IF(I86="","",MAX(0,TODAY()-I86))</f>
        <v/>
      </c>
      <c r="K86" s="95" t="n"/>
    </row>
    <row r="87" ht="15.75" customHeight="1" s="230">
      <c r="A87" s="96">
        <f t="array" ref="A87">IFERROR(INDEX('Master Stock'!$C$2:$C$99,MATCH(ROWS($A$9:A87),'Master Stock'!$N$2:$N$99,0)),"")</f>
        <v/>
      </c>
      <c r="B87" s="96">
        <f t="array" ref="B87">IFERROR(INDEX('Master Stock'!$D$2:$D$99,MATCH(ROWS($A$9:A87),'Master Stock'!$N$2:$N$99,0)),"")</f>
        <v/>
      </c>
      <c r="C87" s="117">
        <f t="array" ref="C87">IF(A87="","",IFERROR(INDEX('Master Stock'!$J$2:$J$99,MATCH(ROWS($A$9:A87),'Master Stock'!$N$2:$N$99,0)),""))</f>
        <v/>
      </c>
      <c r="D87" s="118">
        <f>IF(C87="","",MAX(0,TODAY()-C87))</f>
        <v/>
      </c>
      <c r="E87" s="96" t="n"/>
      <c r="F87" s="96" t="n"/>
      <c r="G87" s="117">
        <f t="array" ref="G87">IFERROR(INDEX('Master Stock'!$C$2:$C$99,MATCH(ROWS($G$9:G87),'Master Stock'!$P$2:$P$99,0)),"")</f>
        <v/>
      </c>
      <c r="H87" s="96">
        <f t="array" ref="H87">IFERROR(INDEX('Master Stock'!$D$2:$D$99,MATCH(ROWS($G$9:G87),'Master Stock'!$P$2:$P$99,0)),"")</f>
        <v/>
      </c>
      <c r="I87" s="117">
        <f t="array" ref="I87">IF(G87="","",IFERROR(INDEX('Master Stock'!$J$2:$J$99,MATCH(ROWS($G$9:G87),'Master Stock'!$P$2:$P$99,0)),""))</f>
        <v/>
      </c>
      <c r="J87" s="118">
        <f>IF(I87="","",MAX(0,TODAY()-I87))</f>
        <v/>
      </c>
      <c r="K87" s="95" t="n"/>
    </row>
    <row r="88" ht="15.75" customHeight="1" s="230">
      <c r="A88" s="96">
        <f t="array" ref="A88">IFERROR(INDEX('Master Stock'!$C$2:$C$99,MATCH(ROWS($A$9:A88),'Master Stock'!$N$2:$N$99,0)),"")</f>
        <v/>
      </c>
      <c r="B88" s="96">
        <f t="array" ref="B88">IFERROR(INDEX('Master Stock'!$D$2:$D$99,MATCH(ROWS($A$9:A88),'Master Stock'!$N$2:$N$99,0)),"")</f>
        <v/>
      </c>
      <c r="C88" s="117">
        <f t="array" ref="C88">IF(A88="","",IFERROR(INDEX('Master Stock'!$J$2:$J$99,MATCH(ROWS($A$9:A88),'Master Stock'!$N$2:$N$99,0)),""))</f>
        <v/>
      </c>
      <c r="D88" s="118">
        <f>IF(C88="","",MAX(0,TODAY()-C88))</f>
        <v/>
      </c>
      <c r="E88" s="96" t="n"/>
      <c r="F88" s="96" t="n"/>
      <c r="G88" s="117">
        <f t="array" ref="G88">IFERROR(INDEX('Master Stock'!$C$2:$C$99,MATCH(ROWS($G$9:G88),'Master Stock'!$P$2:$P$99,0)),"")</f>
        <v/>
      </c>
      <c r="H88" s="96">
        <f t="array" ref="H88">IFERROR(INDEX('Master Stock'!$D$2:$D$99,MATCH(ROWS($G$9:G88),'Master Stock'!$P$2:$P$99,0)),"")</f>
        <v/>
      </c>
      <c r="I88" s="117">
        <f t="array" ref="I88">IF(G88="","",IFERROR(INDEX('Master Stock'!$J$2:$J$99,MATCH(ROWS($G$9:G88),'Master Stock'!$P$2:$P$99,0)),""))</f>
        <v/>
      </c>
      <c r="J88" s="118">
        <f>IF(I88="","",MAX(0,TODAY()-I88))</f>
        <v/>
      </c>
      <c r="K88" s="95" t="n"/>
    </row>
    <row r="89" ht="15.75" customHeight="1" s="230">
      <c r="A89" s="96">
        <f t="array" ref="A89">IFERROR(INDEX('Master Stock'!$C$2:$C$99,MATCH(ROWS($A$9:A89),'Master Stock'!$N$2:$N$99,0)),"")</f>
        <v/>
      </c>
      <c r="B89" s="96">
        <f t="array" ref="B89">IFERROR(INDEX('Master Stock'!$D$2:$D$99,MATCH(ROWS($A$9:A89),'Master Stock'!$N$2:$N$99,0)),"")</f>
        <v/>
      </c>
      <c r="C89" s="117">
        <f t="array" ref="C89">IF(A89="","",IFERROR(INDEX('Master Stock'!$J$2:$J$99,MATCH(ROWS($A$9:A89),'Master Stock'!$N$2:$N$99,0)),""))</f>
        <v/>
      </c>
      <c r="D89" s="118">
        <f>IF(C89="","",MAX(0,TODAY()-C89))</f>
        <v/>
      </c>
      <c r="E89" s="96" t="n"/>
      <c r="F89" s="96" t="n"/>
      <c r="G89" s="117">
        <f t="array" ref="G89">IFERROR(INDEX('Master Stock'!$C$2:$C$99,MATCH(ROWS($G$9:G89),'Master Stock'!$P$2:$P$99,0)),"")</f>
        <v/>
      </c>
      <c r="H89" s="96">
        <f t="array" ref="H89">IFERROR(INDEX('Master Stock'!$D$2:$D$99,MATCH(ROWS($G$9:G89),'Master Stock'!$P$2:$P$99,0)),"")</f>
        <v/>
      </c>
      <c r="I89" s="117">
        <f t="array" ref="I89">IF(G89="","",IFERROR(INDEX('Master Stock'!$J$2:$J$99,MATCH(ROWS($G$9:G89),'Master Stock'!$P$2:$P$99,0)),""))</f>
        <v/>
      </c>
      <c r="J89" s="118">
        <f>IF(I89="","",MAX(0,TODAY()-I89))</f>
        <v/>
      </c>
      <c r="K89" s="95" t="n"/>
    </row>
    <row r="90" ht="15.75" customHeight="1" s="230">
      <c r="A90" s="96">
        <f t="array" ref="A90">IFERROR(INDEX('Master Stock'!$C$2:$C$99,MATCH(ROWS($A$9:A90),'Master Stock'!$N$2:$N$99,0)),"")</f>
        <v/>
      </c>
      <c r="B90" s="96">
        <f t="array" ref="B90">IFERROR(INDEX('Master Stock'!$D$2:$D$99,MATCH(ROWS($A$9:A90),'Master Stock'!$N$2:$N$99,0)),"")</f>
        <v/>
      </c>
      <c r="C90" s="117">
        <f t="array" ref="C90">IF(A90="","",IFERROR(INDEX('Master Stock'!$J$2:$J$99,MATCH(ROWS($A$9:A90),'Master Stock'!$N$2:$N$99,0)),""))</f>
        <v/>
      </c>
      <c r="D90" s="118">
        <f>IF(C90="","",MAX(0,TODAY()-C90))</f>
        <v/>
      </c>
      <c r="E90" s="96" t="n"/>
      <c r="F90" s="96" t="n"/>
      <c r="G90" s="117">
        <f t="array" ref="G90">IFERROR(INDEX('Master Stock'!$C$2:$C$99,MATCH(ROWS($G$9:G90),'Master Stock'!$P$2:$P$99,0)),"")</f>
        <v/>
      </c>
      <c r="H90" s="96">
        <f t="array" ref="H90">IFERROR(INDEX('Master Stock'!$D$2:$D$99,MATCH(ROWS($G$9:G90),'Master Stock'!$P$2:$P$99,0)),"")</f>
        <v/>
      </c>
      <c r="I90" s="117">
        <f t="array" ref="I90">IF(G90="","",IFERROR(INDEX('Master Stock'!$J$2:$J$99,MATCH(ROWS($G$9:G90),'Master Stock'!$P$2:$P$99,0)),""))</f>
        <v/>
      </c>
      <c r="J90" s="118">
        <f>IF(I90="","",MAX(0,TODAY()-I90))</f>
        <v/>
      </c>
      <c r="K90" s="95" t="n"/>
    </row>
    <row r="91" ht="15.75" customHeight="1" s="230">
      <c r="A91" s="96">
        <f t="array" ref="A91">IFERROR(INDEX('Master Stock'!$C$2:$C$99,MATCH(ROWS($A$9:A91),'Master Stock'!$N$2:$N$99,0)),"")</f>
        <v/>
      </c>
      <c r="B91" s="96">
        <f t="array" ref="B91">IFERROR(INDEX('Master Stock'!$D$2:$D$99,MATCH(ROWS($A$9:A91),'Master Stock'!$N$2:$N$99,0)),"")</f>
        <v/>
      </c>
      <c r="C91" s="117">
        <f t="array" ref="C91">IF(A91="","",IFERROR(INDEX('Master Stock'!$J$2:$J$99,MATCH(ROWS($A$9:A91),'Master Stock'!$N$2:$N$99,0)),""))</f>
        <v/>
      </c>
      <c r="D91" s="118">
        <f>IF(C91="","",MAX(0,TODAY()-C91))</f>
        <v/>
      </c>
      <c r="E91" s="96" t="n"/>
      <c r="F91" s="96" t="n"/>
      <c r="G91" s="117">
        <f t="array" ref="G91">IFERROR(INDEX('Master Stock'!$C$2:$C$99,MATCH(ROWS($G$9:G91),'Master Stock'!$P$2:$P$99,0)),"")</f>
        <v/>
      </c>
      <c r="H91" s="96">
        <f t="array" ref="H91">IFERROR(INDEX('Master Stock'!$D$2:$D$99,MATCH(ROWS($G$9:G91),'Master Stock'!$P$2:$P$99,0)),"")</f>
        <v/>
      </c>
      <c r="I91" s="117">
        <f t="array" ref="I91">IF(G91="","",IFERROR(INDEX('Master Stock'!$J$2:$J$99,MATCH(ROWS($G$9:G91),'Master Stock'!$P$2:$P$99,0)),""))</f>
        <v/>
      </c>
      <c r="J91" s="118">
        <f>IF(I91="","",MAX(0,TODAY()-I91))</f>
        <v/>
      </c>
      <c r="K91" s="95" t="n"/>
    </row>
    <row r="92" ht="15.75" customHeight="1" s="230">
      <c r="A92" s="96">
        <f t="array" ref="A92">IFERROR(INDEX('Master Stock'!$C$2:$C$99,MATCH(ROWS($A$9:A92),'Master Stock'!$N$2:$N$99,0)),"")</f>
        <v/>
      </c>
      <c r="B92" s="96">
        <f t="array" ref="B92">IFERROR(INDEX('Master Stock'!$D$2:$D$99,MATCH(ROWS($A$9:A92),'Master Stock'!$N$2:$N$99,0)),"")</f>
        <v/>
      </c>
      <c r="C92" s="117">
        <f t="array" ref="C92">IF(A92="","",IFERROR(INDEX('Master Stock'!$J$2:$J$99,MATCH(ROWS($A$9:A92),'Master Stock'!$N$2:$N$99,0)),""))</f>
        <v/>
      </c>
      <c r="D92" s="118">
        <f>IF(C92="","",MAX(0,TODAY()-C92))</f>
        <v/>
      </c>
      <c r="E92" s="96" t="n"/>
      <c r="F92" s="96" t="n"/>
      <c r="G92" s="117">
        <f t="array" ref="G92">IFERROR(INDEX('Master Stock'!$C$2:$C$99,MATCH(ROWS($G$9:G92),'Master Stock'!$P$2:$P$99,0)),"")</f>
        <v/>
      </c>
      <c r="H92" s="96">
        <f t="array" ref="H92">IFERROR(INDEX('Master Stock'!$D$2:$D$99,MATCH(ROWS($G$9:G92),'Master Stock'!$P$2:$P$99,0)),"")</f>
        <v/>
      </c>
      <c r="I92" s="117">
        <f t="array" ref="I92">IF(G92="","",IFERROR(INDEX('Master Stock'!$J$2:$J$99,MATCH(ROWS($G$9:G92),'Master Stock'!$P$2:$P$99,0)),""))</f>
        <v/>
      </c>
      <c r="J92" s="118">
        <f>IF(I92="","",MAX(0,TODAY()-I92))</f>
        <v/>
      </c>
      <c r="K92" s="95" t="n"/>
    </row>
    <row r="93" ht="15.75" customHeight="1" s="230">
      <c r="A93" s="96">
        <f t="array" ref="A93">IFERROR(INDEX('Master Stock'!$C$2:$C$99,MATCH(ROWS($A$9:A93),'Master Stock'!$N$2:$N$99,0)),"")</f>
        <v/>
      </c>
      <c r="B93" s="96">
        <f t="array" ref="B93">IFERROR(INDEX('Master Stock'!$D$2:$D$99,MATCH(ROWS($A$9:A93),'Master Stock'!$N$2:$N$99,0)),"")</f>
        <v/>
      </c>
      <c r="C93" s="117">
        <f t="array" ref="C93">IF(A93="","",IFERROR(INDEX('Master Stock'!$J$2:$J$99,MATCH(ROWS($A$9:A93),'Master Stock'!$N$2:$N$99,0)),""))</f>
        <v/>
      </c>
      <c r="D93" s="118">
        <f>IF(C93="","",MAX(0,TODAY()-C93))</f>
        <v/>
      </c>
      <c r="E93" s="96" t="n"/>
      <c r="F93" s="96" t="n"/>
      <c r="G93" s="117">
        <f t="array" ref="G93">IFERROR(INDEX('Master Stock'!$C$2:$C$99,MATCH(ROWS($G$9:G93),'Master Stock'!$P$2:$P$99,0)),"")</f>
        <v/>
      </c>
      <c r="H93" s="96">
        <f t="array" ref="H93">IFERROR(INDEX('Master Stock'!$D$2:$D$99,MATCH(ROWS($G$9:G93),'Master Stock'!$P$2:$P$99,0)),"")</f>
        <v/>
      </c>
      <c r="I93" s="117">
        <f t="array" ref="I93">IF(G93="","",IFERROR(INDEX('Master Stock'!$J$2:$J$99,MATCH(ROWS($G$9:G93),'Master Stock'!$P$2:$P$99,0)),""))</f>
        <v/>
      </c>
      <c r="J93" s="118">
        <f>IF(I93="","",MAX(0,TODAY()-I93))</f>
        <v/>
      </c>
      <c r="K93" s="95" t="n"/>
    </row>
    <row r="94" ht="15.75" customHeight="1" s="230">
      <c r="A94" s="96">
        <f t="array" ref="A94">IFERROR(INDEX('Master Stock'!$C$2:$C$99,MATCH(ROWS($A$9:A94),'Master Stock'!$N$2:$N$99,0)),"")</f>
        <v/>
      </c>
      <c r="B94" s="96">
        <f t="array" ref="B94">IFERROR(INDEX('Master Stock'!$D$2:$D$99,MATCH(ROWS($A$9:A94),'Master Stock'!$N$2:$N$99,0)),"")</f>
        <v/>
      </c>
      <c r="C94" s="117">
        <f t="array" ref="C94">IF(A94="","",IFERROR(INDEX('Master Stock'!$J$2:$J$99,MATCH(ROWS($A$9:A94),'Master Stock'!$N$2:$N$99,0)),""))</f>
        <v/>
      </c>
      <c r="D94" s="118">
        <f>IF(C94="","",MAX(0,TODAY()-C94))</f>
        <v/>
      </c>
      <c r="E94" s="96" t="n"/>
      <c r="F94" s="96" t="n"/>
      <c r="G94" s="117">
        <f t="array" ref="G94">IFERROR(INDEX('Master Stock'!$C$2:$C$99,MATCH(ROWS($G$9:G94),'Master Stock'!$P$2:$P$99,0)),"")</f>
        <v/>
      </c>
      <c r="H94" s="96">
        <f t="array" ref="H94">IFERROR(INDEX('Master Stock'!$D$2:$D$99,MATCH(ROWS($G$9:G94),'Master Stock'!$P$2:$P$99,0)),"")</f>
        <v/>
      </c>
      <c r="I94" s="117">
        <f t="array" ref="I94">IF(G94="","",IFERROR(INDEX('Master Stock'!$J$2:$J$99,MATCH(ROWS($G$9:G94),'Master Stock'!$P$2:$P$99,0)),""))</f>
        <v/>
      </c>
      <c r="J94" s="118">
        <f>IF(I94="","",MAX(0,TODAY()-I94))</f>
        <v/>
      </c>
      <c r="K94" s="95" t="n"/>
    </row>
    <row r="95" ht="15.75" customHeight="1" s="230">
      <c r="A95" s="96">
        <f t="array" ref="A95">IFERROR(INDEX('Master Stock'!$C$2:$C$99,MATCH(ROWS($A$9:A95),'Master Stock'!$N$2:$N$99,0)),"")</f>
        <v/>
      </c>
      <c r="B95" s="96">
        <f t="array" ref="B95">IFERROR(INDEX('Master Stock'!$D$2:$D$99,MATCH(ROWS($A$9:A95),'Master Stock'!$N$2:$N$99,0)),"")</f>
        <v/>
      </c>
      <c r="C95" s="117">
        <f t="array" ref="C95">IF(A95="","",IFERROR(INDEX('Master Stock'!$J$2:$J$99,MATCH(ROWS($A$9:A95),'Master Stock'!$N$2:$N$99,0)),""))</f>
        <v/>
      </c>
      <c r="D95" s="118">
        <f>IF(C95="","",MAX(0,TODAY()-C95))</f>
        <v/>
      </c>
      <c r="E95" s="96" t="n"/>
      <c r="F95" s="96" t="n"/>
      <c r="G95" s="117">
        <f t="array" ref="G95">IFERROR(INDEX('Master Stock'!$C$2:$C$99,MATCH(ROWS($G$9:G95),'Master Stock'!$P$2:$P$99,0)),"")</f>
        <v/>
      </c>
      <c r="H95" s="96">
        <f t="array" ref="H95">IFERROR(INDEX('Master Stock'!$D$2:$D$99,MATCH(ROWS($G$9:G95),'Master Stock'!$P$2:$P$99,0)),"")</f>
        <v/>
      </c>
      <c r="I95" s="117">
        <f t="array" ref="I95">IF(G95="","",IFERROR(INDEX('Master Stock'!$J$2:$J$99,MATCH(ROWS($G$9:G95),'Master Stock'!$P$2:$P$99,0)),""))</f>
        <v/>
      </c>
      <c r="J95" s="118">
        <f>IF(I95="","",MAX(0,TODAY()-I95))</f>
        <v/>
      </c>
      <c r="K95" s="95" t="n"/>
    </row>
    <row r="96" ht="15.75" customHeight="1" s="230">
      <c r="A96" s="96">
        <f t="array" ref="A96">IFERROR(INDEX('Master Stock'!$C$2:$C$99,MATCH(ROWS($A$9:A96),'Master Stock'!$N$2:$N$99,0)),"")</f>
        <v/>
      </c>
      <c r="B96" s="96">
        <f t="array" ref="B96">IFERROR(INDEX('Master Stock'!$D$2:$D$99,MATCH(ROWS($A$9:A96),'Master Stock'!$N$2:$N$99,0)),"")</f>
        <v/>
      </c>
      <c r="C96" s="117">
        <f t="array" ref="C96">IF(A96="","",IFERROR(INDEX('Master Stock'!$J$2:$J$99,MATCH(ROWS($A$9:A96),'Master Stock'!$N$2:$N$99,0)),""))</f>
        <v/>
      </c>
      <c r="D96" s="118">
        <f>IF(C96="","",MAX(0,TODAY()-C96))</f>
        <v/>
      </c>
      <c r="E96" s="96" t="n"/>
      <c r="F96" s="96" t="n"/>
      <c r="G96" s="117">
        <f t="array" ref="G96">IFERROR(INDEX('Master Stock'!$C$2:$C$99,MATCH(ROWS($G$9:G96),'Master Stock'!$P$2:$P$99,0)),"")</f>
        <v/>
      </c>
      <c r="H96" s="96">
        <f t="array" ref="H96">IFERROR(INDEX('Master Stock'!$D$2:$D$99,MATCH(ROWS($G$9:G96),'Master Stock'!$P$2:$P$99,0)),"")</f>
        <v/>
      </c>
      <c r="I96" s="117">
        <f t="array" ref="I96">IF(G96="","",IFERROR(INDEX('Master Stock'!$J$2:$J$99,MATCH(ROWS($G$9:G96),'Master Stock'!$P$2:$P$99,0)),""))</f>
        <v/>
      </c>
      <c r="J96" s="118">
        <f>IF(I96="","",MAX(0,TODAY()-I96))</f>
        <v/>
      </c>
      <c r="K96" s="95" t="n"/>
    </row>
    <row r="97" ht="15.75" customHeight="1" s="230">
      <c r="A97" s="96">
        <f t="array" ref="A97">IFERROR(INDEX('Master Stock'!$C$2:$C$99,MATCH(ROWS($A$9:A97),'Master Stock'!$N$2:$N$99,0)),"")</f>
        <v/>
      </c>
      <c r="B97" s="96">
        <f t="array" ref="B97">IFERROR(INDEX('Master Stock'!$D$2:$D$99,MATCH(ROWS($A$9:A97),'Master Stock'!$N$2:$N$99,0)),"")</f>
        <v/>
      </c>
      <c r="C97" s="117">
        <f t="array" ref="C97">IF(A97="","",IFERROR(INDEX('Master Stock'!$J$2:$J$99,MATCH(ROWS($A$9:A97),'Master Stock'!$N$2:$N$99,0)),""))</f>
        <v/>
      </c>
      <c r="D97" s="118">
        <f>IF(C97="","",MAX(0,TODAY()-C97))</f>
        <v/>
      </c>
      <c r="E97" s="96" t="n"/>
      <c r="F97" s="96" t="n"/>
      <c r="G97" s="117">
        <f t="array" ref="G97">IFERROR(INDEX('Master Stock'!$C$2:$C$99,MATCH(ROWS($G$9:G97),'Master Stock'!$P$2:$P$99,0)),"")</f>
        <v/>
      </c>
      <c r="H97" s="96">
        <f t="array" ref="H97">IFERROR(INDEX('Master Stock'!$D$2:$D$99,MATCH(ROWS($G$9:G97),'Master Stock'!$P$2:$P$99,0)),"")</f>
        <v/>
      </c>
      <c r="I97" s="117">
        <f t="array" ref="I97">IF(G97="","",IFERROR(INDEX('Master Stock'!$J$2:$J$99,MATCH(ROWS($G$9:G97),'Master Stock'!$P$2:$P$99,0)),""))</f>
        <v/>
      </c>
      <c r="J97" s="118">
        <f>IF(I97="","",MAX(0,TODAY()-I97))</f>
        <v/>
      </c>
      <c r="K97" s="95" t="n"/>
    </row>
    <row r="98" ht="15.75" customHeight="1" s="230">
      <c r="A98" s="96">
        <f t="array" ref="A98">IFERROR(INDEX('Master Stock'!$C$2:$C$99,MATCH(ROWS($A$9:A98),'Master Stock'!$N$2:$N$99,0)),"")</f>
        <v/>
      </c>
      <c r="B98" s="96">
        <f t="array" ref="B98">IFERROR(INDEX('Master Stock'!$D$2:$D$99,MATCH(ROWS($A$9:A98),'Master Stock'!$N$2:$N$99,0)),"")</f>
        <v/>
      </c>
      <c r="C98" s="117">
        <f t="array" ref="C98">IF(A98="","",IFERROR(INDEX('Master Stock'!$J$2:$J$99,MATCH(ROWS($A$9:A98),'Master Stock'!$N$2:$N$99,0)),""))</f>
        <v/>
      </c>
      <c r="D98" s="118">
        <f>IF(C98="","",MAX(0,TODAY()-C98))</f>
        <v/>
      </c>
      <c r="E98" s="96" t="n"/>
      <c r="F98" s="96" t="n"/>
      <c r="G98" s="117">
        <f t="array" ref="G98">IFERROR(INDEX('Master Stock'!$C$2:$C$99,MATCH(ROWS($G$9:G98),'Master Stock'!$P$2:$P$99,0)),"")</f>
        <v/>
      </c>
      <c r="H98" s="96">
        <f t="array" ref="H98">IFERROR(INDEX('Master Stock'!$D$2:$D$99,MATCH(ROWS($G$9:G98),'Master Stock'!$P$2:$P$99,0)),"")</f>
        <v/>
      </c>
      <c r="I98" s="117">
        <f t="array" ref="I98">IF(G98="","",IFERROR(INDEX('Master Stock'!$J$2:$J$99,MATCH(ROWS($G$9:G98),'Master Stock'!$P$2:$P$99,0)),""))</f>
        <v/>
      </c>
      <c r="J98" s="118">
        <f>IF(I98="","",MAX(0,TODAY()-I98))</f>
        <v/>
      </c>
      <c r="K98" s="95" t="n"/>
    </row>
    <row r="99" ht="15.75" customHeight="1" s="230">
      <c r="A99" s="96">
        <f t="array" ref="A99">IFERROR(INDEX('Master Stock'!$C$2:$C$99,MATCH(ROWS($A$9:A99),'Master Stock'!$N$2:$N$99,0)),"")</f>
        <v/>
      </c>
      <c r="B99" s="96">
        <f t="array" ref="B99">IFERROR(INDEX('Master Stock'!$D$2:$D$99,MATCH(ROWS($A$9:A99),'Master Stock'!$N$2:$N$99,0)),"")</f>
        <v/>
      </c>
      <c r="C99" s="117">
        <f t="array" ref="C99">IF(A99="","",IFERROR(INDEX('Master Stock'!$J$2:$J$99,MATCH(ROWS($A$9:A99),'Master Stock'!$N$2:$N$99,0)),""))</f>
        <v/>
      </c>
      <c r="D99" s="118">
        <f>IF(C99="","",MAX(0,TODAY()-C99))</f>
        <v/>
      </c>
      <c r="E99" s="96" t="n"/>
      <c r="F99" s="96" t="n"/>
      <c r="G99" s="117">
        <f t="array" ref="G99">IFERROR(INDEX('Master Stock'!$C$2:$C$99,MATCH(ROWS($G$9:G99),'Master Stock'!$P$2:$P$99,0)),"")</f>
        <v/>
      </c>
      <c r="H99" s="96">
        <f t="array" ref="H99">IFERROR(INDEX('Master Stock'!$D$2:$D$99,MATCH(ROWS($G$9:G99),'Master Stock'!$P$2:$P$99,0)),"")</f>
        <v/>
      </c>
      <c r="I99" s="117">
        <f t="array" ref="I99">IF(G99="","",IFERROR(INDEX('Master Stock'!$J$2:$J$99,MATCH(ROWS($G$9:G99),'Master Stock'!$P$2:$P$99,0)),""))</f>
        <v/>
      </c>
      <c r="J99" s="118">
        <f>IF(I99="","",MAX(0,TODAY()-I99))</f>
        <v/>
      </c>
      <c r="K99" s="95" t="n"/>
    </row>
    <row r="100" ht="15.75" customHeight="1" s="230">
      <c r="A100" s="96">
        <f t="array" ref="A100">IFERROR(INDEX('Master Stock'!$C$2:$C$99,MATCH(ROWS($A$9:A100),'Master Stock'!$N$2:$N$99,0)),"")</f>
        <v/>
      </c>
      <c r="B100" s="96">
        <f t="array" ref="B100">IFERROR(INDEX('Master Stock'!$D$2:$D$99,MATCH(ROWS($A$9:A100),'Master Stock'!$N$2:$N$99,0)),"")</f>
        <v/>
      </c>
      <c r="C100" s="117">
        <f t="array" ref="C100">IF(A100="","",IFERROR(INDEX('Master Stock'!$J$2:$J$99,MATCH(ROWS($A$9:A100),'Master Stock'!$N$2:$N$99,0)),""))</f>
        <v/>
      </c>
      <c r="D100" s="118">
        <f>IF(C100="","",MAX(0,TODAY()-C100))</f>
        <v/>
      </c>
      <c r="E100" s="96" t="n"/>
      <c r="F100" s="96" t="n"/>
      <c r="G100" s="117">
        <f t="array" ref="G100">IFERROR(INDEX('Master Stock'!$C$2:$C$99,MATCH(ROWS($G$9:G100),'Master Stock'!$P$2:$P$99,0)),"")</f>
        <v/>
      </c>
      <c r="H100" s="96">
        <f t="array" ref="H100">IFERROR(INDEX('Master Stock'!$D$2:$D$99,MATCH(ROWS($G$9:G100),'Master Stock'!$P$2:$P$99,0)),"")</f>
        <v/>
      </c>
      <c r="I100" s="117">
        <f t="array" ref="I100">IF(G100="","",IFERROR(INDEX('Master Stock'!$J$2:$J$99,MATCH(ROWS($G$9:G100),'Master Stock'!$P$2:$P$99,0)),""))</f>
        <v/>
      </c>
      <c r="J100" s="118">
        <f>IF(I100="","",MAX(0,TODAY()-I100))</f>
        <v/>
      </c>
      <c r="K100" s="95" t="n"/>
    </row>
    <row r="101" ht="15.75" customHeight="1" s="230">
      <c r="A101" s="95">
        <f t="array" ref="A101">IFERROR(INDEX('Master Stock'!$C$2:$C$99,MATCH(ROWS($A$9:A101),'Master Stock'!$N$2:$N$99,0)),"")</f>
        <v/>
      </c>
      <c r="B101" s="95">
        <f t="array" ref="B101">IFERROR(INDEX('Master Stock'!$D$2:$D$99,MATCH(ROWS($A$9:A101),'Master Stock'!$N$2:$N$99,0)),"")</f>
        <v/>
      </c>
      <c r="C101" s="119">
        <f t="array" ref="C101">IF(A101="","",IFERROR(INDEX('Master Stock'!$J$2:$J$99,MATCH(ROWS($A$9:A101),'Master Stock'!$N$2:$N$99,0)),""))</f>
        <v/>
      </c>
      <c r="D101" s="120">
        <f>IF(C101="","",MAX(0,TODAY()-C101))</f>
        <v/>
      </c>
      <c r="E101" s="95" t="n"/>
      <c r="F101" s="95" t="n"/>
      <c r="G101" s="119">
        <f t="array" ref="G101">IFERROR(INDEX('Master Stock'!$C$2:$C$99,MATCH(ROWS($G$9:G101),'Master Stock'!$P$2:$P$99,0)),"")</f>
        <v/>
      </c>
      <c r="H101" s="95">
        <f t="array" ref="H101">IFERROR(INDEX('Master Stock'!$D$2:$D$99,MATCH(ROWS($G$9:G101),'Master Stock'!$P$2:$P$99,0)),"")</f>
        <v/>
      </c>
      <c r="I101" s="119">
        <f t="array" ref="I101">IF(G101="","",IFERROR(INDEX('Master Stock'!$J$2:$J$99,MATCH(ROWS($G$9:G101),'Master Stock'!$P$2:$P$99,0)),""))</f>
        <v/>
      </c>
      <c r="J101" s="120">
        <f>IF(I101="","",MAX(0,TODAY()-I101))</f>
        <v/>
      </c>
      <c r="K101" s="95" t="n"/>
    </row>
    <row r="102" ht="15.75" customHeight="1" s="230">
      <c r="A102" s="95">
        <f t="array" ref="A102">IFERROR(INDEX('Master Stock'!$C$2:$C$99,MATCH(ROWS($A$9:A102),'Master Stock'!$N$2:$N$99,0)),"")</f>
        <v/>
      </c>
      <c r="B102" s="95">
        <f t="array" ref="B102">IFERROR(INDEX('Master Stock'!$D$2:$D$99,MATCH(ROWS($A$9:A102),'Master Stock'!$N$2:$N$99,0)),"")</f>
        <v/>
      </c>
      <c r="C102" s="119">
        <f t="array" ref="C102">IF(A102="","",IFERROR(INDEX('Master Stock'!$J$2:$J$99,MATCH(ROWS($A$9:A102),'Master Stock'!$N$2:$N$99,0)),""))</f>
        <v/>
      </c>
      <c r="D102" s="120">
        <f>IF(C102="","",MAX(0,TODAY()-C102))</f>
        <v/>
      </c>
      <c r="E102" s="95" t="n"/>
      <c r="F102" s="95" t="n"/>
      <c r="G102" s="119">
        <f t="array" ref="G102">IFERROR(INDEX('Master Stock'!$C$2:$C$99,MATCH(ROWS($G$9:G102),'Master Stock'!$P$2:$P$99,0)),"")</f>
        <v/>
      </c>
      <c r="H102" s="95">
        <f t="array" ref="H102">IFERROR(INDEX('Master Stock'!$D$2:$D$99,MATCH(ROWS($G$9:G102),'Master Stock'!$P$2:$P$99,0)),"")</f>
        <v/>
      </c>
      <c r="I102" s="119">
        <f t="array" ref="I102">IF(G102="","",IFERROR(INDEX('Master Stock'!$J$2:$J$99,MATCH(ROWS($G$9:G102),'Master Stock'!$P$2:$P$99,0)),""))</f>
        <v/>
      </c>
      <c r="J102" s="120">
        <f>IF(I102="","",MAX(0,TODAY()-I102))</f>
        <v/>
      </c>
      <c r="K102" s="95" t="n"/>
    </row>
    <row r="103" ht="15.75" customHeight="1" s="230">
      <c r="A103" s="95">
        <f t="array" ref="A103">IFERROR(INDEX('Master Stock'!$C$2:$C$99,MATCH(ROWS($A$9:A103),'Master Stock'!$N$2:$N$99,0)),"")</f>
        <v/>
      </c>
      <c r="B103" s="95">
        <f t="array" ref="B103">IFERROR(INDEX('Master Stock'!$D$2:$D$99,MATCH(ROWS($A$9:A103),'Master Stock'!$N$2:$N$99,0)),"")</f>
        <v/>
      </c>
      <c r="C103" s="119">
        <f t="array" ref="C103">IF(A103="","",IFERROR(INDEX('Master Stock'!$J$2:$J$99,MATCH(ROWS($A$9:A103),'Master Stock'!$N$2:$N$99,0)),""))</f>
        <v/>
      </c>
      <c r="D103" s="120">
        <f>IF(C103="","",MAX(0,TODAY()-C103))</f>
        <v/>
      </c>
      <c r="E103" s="95" t="n"/>
      <c r="F103" s="95" t="n"/>
      <c r="G103" s="119">
        <f t="array" ref="G103">IFERROR(INDEX('Master Stock'!$C$2:$C$99,MATCH(ROWS($G$9:G103),'Master Stock'!$P$2:$P$99,0)),"")</f>
        <v/>
      </c>
      <c r="H103" s="95">
        <f t="array" ref="H103">IFERROR(INDEX('Master Stock'!$D$2:$D$99,MATCH(ROWS($G$9:G103),'Master Stock'!$P$2:$P$99,0)),"")</f>
        <v/>
      </c>
      <c r="I103" s="119">
        <f t="array" ref="I103">IF(G103="","",IFERROR(INDEX('Master Stock'!$J$2:$J$99,MATCH(ROWS($G$9:G103),'Master Stock'!$P$2:$P$99,0)),""))</f>
        <v/>
      </c>
      <c r="J103" s="120">
        <f>IF(I103="","",MAX(0,TODAY()-I103))</f>
        <v/>
      </c>
      <c r="K103" s="95" t="n"/>
    </row>
    <row r="104" ht="15.75" customHeight="1" s="230">
      <c r="A104" s="95">
        <f t="array" ref="A104">IFERROR(INDEX('Master Stock'!$C$2:$C$99,MATCH(ROWS($A$9:A104),'Master Stock'!$N$2:$N$99,0)),"")</f>
        <v/>
      </c>
      <c r="B104" s="95">
        <f t="array" ref="B104">IFERROR(INDEX('Master Stock'!$D$2:$D$99,MATCH(ROWS($A$9:A104),'Master Stock'!$N$2:$N$99,0)),"")</f>
        <v/>
      </c>
      <c r="C104" s="119">
        <f t="array" ref="C104">IF(A104="","",IFERROR(INDEX('Master Stock'!$J$2:$J$99,MATCH(ROWS($A$9:A104),'Master Stock'!$N$2:$N$99,0)),""))</f>
        <v/>
      </c>
      <c r="D104" s="120">
        <f>IF(C104="","",MAX(0,TODAY()-C104))</f>
        <v/>
      </c>
      <c r="E104" s="95" t="n"/>
      <c r="F104" s="95" t="n"/>
      <c r="G104" s="119">
        <f t="array" ref="G104">IFERROR(INDEX('Master Stock'!$C$2:$C$99,MATCH(ROWS($G$9:G104),'Master Stock'!$P$2:$P$99,0)),"")</f>
        <v/>
      </c>
      <c r="H104" s="95">
        <f t="array" ref="H104">IFERROR(INDEX('Master Stock'!$D$2:$D$99,MATCH(ROWS($G$9:G104),'Master Stock'!$P$2:$P$99,0)),"")</f>
        <v/>
      </c>
      <c r="I104" s="119">
        <f t="array" ref="I104">IF(G104="","",IFERROR(INDEX('Master Stock'!$J$2:$J$99,MATCH(ROWS($G$9:G104),'Master Stock'!$P$2:$P$99,0)),""))</f>
        <v/>
      </c>
      <c r="J104" s="120">
        <f>IF(I104="","",MAX(0,TODAY()-I104))</f>
        <v/>
      </c>
      <c r="K104" s="95" t="n"/>
    </row>
    <row r="105" ht="15.75" customHeight="1" s="230">
      <c r="A105" s="95">
        <f t="array" ref="A105">IFERROR(INDEX('Master Stock'!$C$2:$C$99,MATCH(ROWS($A$9:A105),'Master Stock'!$N$2:$N$99,0)),"")</f>
        <v/>
      </c>
      <c r="B105" s="95">
        <f t="array" ref="B105">IFERROR(INDEX('Master Stock'!$D$2:$D$99,MATCH(ROWS($A$9:A105),'Master Stock'!$N$2:$N$99,0)),"")</f>
        <v/>
      </c>
      <c r="C105" s="119">
        <f t="array" ref="C105">IF(A105="","",IFERROR(INDEX('Master Stock'!$J$2:$J$99,MATCH(ROWS($A$9:A105),'Master Stock'!$N$2:$N$99,0)),""))</f>
        <v/>
      </c>
      <c r="D105" s="120">
        <f>IF(C105="","",MAX(0,TODAY()-C105))</f>
        <v/>
      </c>
      <c r="E105" s="95" t="n"/>
      <c r="F105" s="95" t="n"/>
      <c r="G105" s="119">
        <f t="array" ref="G105">IFERROR(INDEX('Master Stock'!$C$2:$C$99,MATCH(ROWS($G$9:G105),'Master Stock'!$P$2:$P$99,0)),"")</f>
        <v/>
      </c>
      <c r="H105" s="95">
        <f t="array" ref="H105">IFERROR(INDEX('Master Stock'!$D$2:$D$99,MATCH(ROWS($G$9:G105),'Master Stock'!$P$2:$P$99,0)),"")</f>
        <v/>
      </c>
      <c r="I105" s="119">
        <f t="array" ref="I105">IF(G105="","",IFERROR(INDEX('Master Stock'!$J$2:$J$99,MATCH(ROWS($G$9:G105),'Master Stock'!$P$2:$P$99,0)),""))</f>
        <v/>
      </c>
      <c r="J105" s="120">
        <f>IF(I105="","",MAX(0,TODAY()-I105))</f>
        <v/>
      </c>
      <c r="K105" s="95" t="n"/>
    </row>
    <row r="106" ht="15.75" customHeight="1" s="230">
      <c r="A106" s="95">
        <f t="array" ref="A106">IFERROR(INDEX('Master Stock'!$C$2:$C$99,MATCH(ROWS($A$9:A106),'Master Stock'!$N$2:$N$99,0)),"")</f>
        <v/>
      </c>
      <c r="B106" s="95">
        <f t="array" ref="B106">IFERROR(INDEX('Master Stock'!$D$2:$D$99,MATCH(ROWS($A$9:A106),'Master Stock'!$N$2:$N$99,0)),"")</f>
        <v/>
      </c>
      <c r="C106" s="119">
        <f t="array" ref="C106">IF(A106="","",IFERROR(INDEX('Master Stock'!$J$2:$J$99,MATCH(ROWS($A$9:A106),'Master Stock'!$N$2:$N$99,0)),""))</f>
        <v/>
      </c>
      <c r="D106" s="120">
        <f>IF(C106="","",MAX(0,TODAY()-C106))</f>
        <v/>
      </c>
      <c r="E106" s="95" t="n"/>
      <c r="F106" s="95" t="n"/>
      <c r="G106" s="119">
        <f t="array" ref="G106">IFERROR(INDEX('Master Stock'!$C$2:$C$99,MATCH(ROWS($G$9:G106),'Master Stock'!$P$2:$P$99,0)),"")</f>
        <v/>
      </c>
      <c r="H106" s="95">
        <f t="array" ref="H106">IFERROR(INDEX('Master Stock'!$D$2:$D$99,MATCH(ROWS($G$9:G106),'Master Stock'!$P$2:$P$99,0)),"")</f>
        <v/>
      </c>
      <c r="I106" s="119">
        <f t="array" ref="I106">IF(G106="","",IFERROR(INDEX('Master Stock'!$J$2:$J$99,MATCH(ROWS($G$9:G106),'Master Stock'!$P$2:$P$99,0)),""))</f>
        <v/>
      </c>
      <c r="J106" s="120">
        <f>IF(I106="","",MAX(0,TODAY()-I106))</f>
        <v/>
      </c>
      <c r="K106" s="95" t="n"/>
    </row>
    <row r="107" ht="15.75" customHeight="1" s="230">
      <c r="A107" s="95">
        <f t="array" ref="A107">IFERROR(INDEX('Master Stock'!$C$2:$C$99,MATCH(ROWS($A$9:A107),'Master Stock'!$N$2:$N$99,0)),"")</f>
        <v/>
      </c>
      <c r="B107" s="95">
        <f t="array" ref="B107">IFERROR(INDEX('Master Stock'!$D$2:$D$99,MATCH(ROWS($A$9:A107),'Master Stock'!$N$2:$N$99,0)),"")</f>
        <v/>
      </c>
      <c r="C107" s="119">
        <f t="array" ref="C107">IF(A107="","",IFERROR(INDEX('Master Stock'!$J$2:$J$99,MATCH(ROWS($A$9:A107),'Master Stock'!$N$2:$N$99,0)),""))</f>
        <v/>
      </c>
      <c r="D107" s="120">
        <f>IF(C107="","",MAX(0,TODAY()-C107))</f>
        <v/>
      </c>
      <c r="E107" s="95" t="n"/>
      <c r="F107" s="95" t="n"/>
      <c r="G107" s="119">
        <f t="array" ref="G107">IFERROR(INDEX('Master Stock'!$C$2:$C$99,MATCH(ROWS($G$9:G107),'Master Stock'!$P$2:$P$99,0)),"")</f>
        <v/>
      </c>
      <c r="H107" s="95">
        <f t="array" ref="H107">IFERROR(INDEX('Master Stock'!$D$2:$D$99,MATCH(ROWS($G$9:G107),'Master Stock'!$P$2:$P$99,0)),"")</f>
        <v/>
      </c>
      <c r="I107" s="119">
        <f t="array" ref="I107">IF(G107="","",IFERROR(INDEX('Master Stock'!$J$2:$J$99,MATCH(ROWS($G$9:G107),'Master Stock'!$P$2:$P$99,0)),""))</f>
        <v/>
      </c>
      <c r="J107" s="120">
        <f>IF(I107="","",MAX(0,TODAY()-I107))</f>
        <v/>
      </c>
      <c r="K107" s="95" t="n"/>
    </row>
    <row r="108" ht="15.75" customHeight="1" s="230">
      <c r="A108" s="95">
        <f t="array" ref="A108">IFERROR(INDEX('Master Stock'!$C$2:$C$99,MATCH(ROWS($A$9:A108),'Master Stock'!$N$2:$N$99,0)),"")</f>
        <v/>
      </c>
      <c r="B108" s="95">
        <f t="array" ref="B108">IFERROR(INDEX('Master Stock'!$D$2:$D$99,MATCH(ROWS($A$9:A108),'Master Stock'!$N$2:$N$99,0)),"")</f>
        <v/>
      </c>
      <c r="C108" s="119">
        <f t="array" ref="C108">IF(A108="","",IFERROR(INDEX('Master Stock'!$J$2:$J$99,MATCH(ROWS($A$9:A108),'Master Stock'!$N$2:$N$99,0)),""))</f>
        <v/>
      </c>
      <c r="D108" s="120">
        <f>IF(C108="","",MAX(0,TODAY()-C108))</f>
        <v/>
      </c>
      <c r="E108" s="95" t="n"/>
      <c r="F108" s="95" t="n"/>
      <c r="G108" s="119">
        <f t="array" ref="G108">IFERROR(INDEX('Master Stock'!$C$2:$C$99,MATCH(ROWS($G$9:G108),'Master Stock'!$P$2:$P$99,0)),"")</f>
        <v/>
      </c>
      <c r="H108" s="95">
        <f t="array" ref="H108">IFERROR(INDEX('Master Stock'!$D$2:$D$99,MATCH(ROWS($G$9:G108),'Master Stock'!$P$2:$P$99,0)),"")</f>
        <v/>
      </c>
      <c r="I108" s="119">
        <f t="array" ref="I108">IF(G108="","",IFERROR(INDEX('Master Stock'!$J$2:$J$99,MATCH(ROWS($G$9:G108),'Master Stock'!$P$2:$P$99,0)),""))</f>
        <v/>
      </c>
      <c r="J108" s="120">
        <f>IF(I108="","",MAX(0,TODAY()-I108))</f>
        <v/>
      </c>
      <c r="K108" s="95" t="n"/>
    </row>
    <row r="109" ht="15.75" customHeight="1" s="230">
      <c r="A109" s="95" t="n"/>
      <c r="B109" s="95" t="n"/>
      <c r="C109" s="95" t="n"/>
      <c r="D109" s="95" t="n"/>
      <c r="E109" s="95" t="n"/>
      <c r="F109" s="95" t="n"/>
      <c r="G109" s="95" t="n"/>
      <c r="H109" s="95" t="n"/>
      <c r="I109" s="95" t="n"/>
      <c r="J109" s="95" t="n"/>
      <c r="K109" s="95" t="n"/>
    </row>
    <row r="110" ht="15.75" customHeight="1" s="230">
      <c r="A110" s="95" t="n"/>
      <c r="B110" s="95" t="n"/>
      <c r="C110" s="95" t="n"/>
      <c r="D110" s="95" t="n"/>
      <c r="E110" s="95" t="n"/>
      <c r="F110" s="95" t="n"/>
      <c r="G110" s="95" t="n"/>
      <c r="H110" s="95" t="n"/>
      <c r="I110" s="95" t="n"/>
      <c r="J110" s="95" t="n"/>
      <c r="K110" s="95" t="n"/>
    </row>
    <row r="111" ht="15.75" customHeight="1" s="230">
      <c r="A111" s="95" t="n"/>
      <c r="B111" s="95" t="n"/>
      <c r="C111" s="95" t="n"/>
      <c r="D111" s="95" t="n"/>
      <c r="E111" s="95" t="n"/>
      <c r="F111" s="95" t="n"/>
      <c r="G111" s="95" t="n"/>
      <c r="H111" s="95" t="n"/>
      <c r="I111" s="95" t="n"/>
      <c r="J111" s="95" t="n"/>
      <c r="K111" s="95" t="n"/>
    </row>
    <row r="112" ht="15.75" customHeight="1" s="230">
      <c r="A112" s="95" t="n"/>
      <c r="B112" s="95" t="n"/>
      <c r="C112" s="95" t="n"/>
      <c r="D112" s="95" t="n"/>
      <c r="E112" s="95" t="n"/>
      <c r="F112" s="95" t="n"/>
      <c r="G112" s="95" t="n"/>
      <c r="H112" s="95" t="n"/>
      <c r="I112" s="95" t="n"/>
      <c r="J112" s="95" t="n"/>
      <c r="K112" s="95" t="n"/>
    </row>
    <row r="113" ht="15.75" customHeight="1" s="230">
      <c r="A113" s="95" t="n"/>
      <c r="B113" s="95" t="n"/>
      <c r="C113" s="95" t="n"/>
      <c r="D113" s="95" t="n"/>
      <c r="E113" s="95" t="n"/>
      <c r="F113" s="95" t="n"/>
      <c r="G113" s="95" t="n"/>
      <c r="H113" s="95" t="n"/>
      <c r="I113" s="95" t="n"/>
      <c r="J113" s="95" t="n"/>
      <c r="K113" s="95" t="n"/>
    </row>
    <row r="114" ht="15.75" customHeight="1" s="230">
      <c r="A114" s="95" t="n"/>
      <c r="B114" s="95" t="n"/>
      <c r="C114" s="95" t="n"/>
      <c r="D114" s="95" t="n"/>
      <c r="E114" s="95" t="n"/>
      <c r="F114" s="95" t="n"/>
      <c r="G114" s="95" t="n"/>
      <c r="H114" s="95" t="n"/>
      <c r="I114" s="95" t="n"/>
      <c r="J114" s="95" t="n"/>
      <c r="K114" s="95" t="n"/>
    </row>
    <row r="115" ht="15.75" customHeight="1" s="230">
      <c r="A115" s="95" t="n"/>
      <c r="B115" s="95" t="n"/>
      <c r="C115" s="95" t="n"/>
      <c r="D115" s="95" t="n"/>
      <c r="E115" s="95" t="n"/>
      <c r="F115" s="95" t="n"/>
      <c r="G115" s="95" t="n"/>
      <c r="H115" s="95" t="n"/>
      <c r="I115" s="95" t="n"/>
      <c r="J115" s="95" t="n"/>
      <c r="K115" s="95" t="n"/>
    </row>
    <row r="116" ht="15.75" customHeight="1" s="230">
      <c r="A116" s="95" t="n"/>
      <c r="B116" s="95" t="n"/>
      <c r="C116" s="95" t="n"/>
      <c r="D116" s="95" t="n"/>
      <c r="E116" s="95" t="n"/>
      <c r="F116" s="95" t="n"/>
      <c r="G116" s="95" t="n"/>
      <c r="H116" s="95" t="n"/>
      <c r="I116" s="95" t="n"/>
      <c r="J116" s="95" t="n"/>
      <c r="K116" s="95" t="n"/>
    </row>
    <row r="117" ht="15.75" customHeight="1" s="230">
      <c r="A117" s="95" t="n"/>
      <c r="B117" s="95" t="n"/>
      <c r="C117" s="95" t="n"/>
      <c r="D117" s="95" t="n"/>
      <c r="E117" s="95" t="n"/>
      <c r="F117" s="95" t="n"/>
      <c r="G117" s="95" t="n"/>
      <c r="H117" s="95" t="n"/>
      <c r="I117" s="95" t="n"/>
      <c r="J117" s="95" t="n"/>
      <c r="K117" s="95" t="n"/>
    </row>
    <row r="118" ht="15.75" customHeight="1" s="230">
      <c r="A118" s="95" t="n"/>
      <c r="B118" s="95" t="n"/>
      <c r="C118" s="95" t="n"/>
      <c r="D118" s="95" t="n"/>
      <c r="E118" s="95" t="n"/>
      <c r="F118" s="95" t="n"/>
      <c r="G118" s="95" t="n"/>
      <c r="H118" s="95" t="n"/>
      <c r="I118" s="95" t="n"/>
      <c r="J118" s="95" t="n"/>
      <c r="K118" s="95" t="n"/>
    </row>
    <row r="119" ht="15.75" customHeight="1" s="230">
      <c r="A119" s="95" t="n"/>
      <c r="B119" s="95" t="n"/>
      <c r="C119" s="95" t="n"/>
      <c r="D119" s="95" t="n"/>
      <c r="E119" s="95" t="n"/>
      <c r="F119" s="95" t="n"/>
      <c r="G119" s="95" t="n"/>
      <c r="H119" s="95" t="n"/>
      <c r="I119" s="95" t="n"/>
      <c r="J119" s="95" t="n"/>
      <c r="K119" s="95" t="n"/>
    </row>
    <row r="120" ht="15.75" customHeight="1" s="230">
      <c r="A120" s="95" t="n"/>
      <c r="B120" s="95" t="n"/>
      <c r="C120" s="95" t="n"/>
      <c r="D120" s="95" t="n"/>
      <c r="E120" s="95" t="n"/>
      <c r="F120" s="95" t="n"/>
      <c r="G120" s="95" t="n"/>
      <c r="H120" s="95" t="n"/>
      <c r="I120" s="95" t="n"/>
      <c r="J120" s="95" t="n"/>
      <c r="K120" s="95" t="n"/>
    </row>
    <row r="121" ht="15.75" customHeight="1" s="230">
      <c r="A121" s="95" t="n"/>
      <c r="B121" s="95" t="n"/>
      <c r="C121" s="95" t="n"/>
      <c r="D121" s="95" t="n"/>
      <c r="E121" s="95" t="n"/>
      <c r="F121" s="95" t="n"/>
      <c r="G121" s="95" t="n"/>
      <c r="H121" s="95" t="n"/>
      <c r="I121" s="95" t="n"/>
      <c r="J121" s="95" t="n"/>
      <c r="K121" s="95" t="n"/>
    </row>
    <row r="122" ht="15.75" customHeight="1" s="230">
      <c r="A122" s="95" t="n"/>
      <c r="B122" s="95" t="n"/>
      <c r="C122" s="95" t="n"/>
      <c r="D122" s="95" t="n"/>
      <c r="E122" s="95" t="n"/>
      <c r="F122" s="95" t="n"/>
      <c r="G122" s="95" t="n"/>
      <c r="H122" s="95" t="n"/>
      <c r="I122" s="95" t="n"/>
      <c r="J122" s="95" t="n"/>
      <c r="K122" s="95" t="n"/>
    </row>
    <row r="123" ht="15.75" customHeight="1" s="230">
      <c r="A123" s="95" t="n"/>
      <c r="B123" s="95" t="n"/>
      <c r="C123" s="95" t="n"/>
      <c r="D123" s="95" t="n"/>
      <c r="E123" s="95" t="n"/>
      <c r="F123" s="95" t="n"/>
      <c r="G123" s="95" t="n"/>
      <c r="H123" s="95" t="n"/>
      <c r="I123" s="95" t="n"/>
      <c r="J123" s="95" t="n"/>
      <c r="K123" s="95" t="n"/>
    </row>
    <row r="124" ht="15.75" customHeight="1" s="230">
      <c r="A124" s="95" t="n"/>
      <c r="B124" s="95" t="n"/>
      <c r="C124" s="95" t="n"/>
      <c r="D124" s="95" t="n"/>
      <c r="E124" s="95" t="n"/>
      <c r="F124" s="95" t="n"/>
      <c r="G124" s="95" t="n"/>
      <c r="H124" s="95" t="n"/>
      <c r="I124" s="95" t="n"/>
      <c r="J124" s="95" t="n"/>
      <c r="K124" s="95" t="n"/>
    </row>
    <row r="125" ht="15.75" customHeight="1" s="230">
      <c r="A125" s="95" t="n"/>
      <c r="B125" s="95" t="n"/>
      <c r="C125" s="95" t="n"/>
      <c r="D125" s="95" t="n"/>
      <c r="E125" s="95" t="n"/>
      <c r="F125" s="95" t="n"/>
      <c r="G125" s="95" t="n"/>
      <c r="H125" s="95" t="n"/>
      <c r="I125" s="95" t="n"/>
      <c r="J125" s="95" t="n"/>
      <c r="K125" s="95" t="n"/>
    </row>
    <row r="126" ht="15.75" customHeight="1" s="230">
      <c r="A126" s="95" t="n"/>
      <c r="B126" s="95" t="n"/>
      <c r="C126" s="95" t="n"/>
      <c r="D126" s="95" t="n"/>
      <c r="E126" s="95" t="n"/>
      <c r="F126" s="95" t="n"/>
      <c r="G126" s="95" t="n"/>
      <c r="H126" s="95" t="n"/>
      <c r="I126" s="95" t="n"/>
      <c r="J126" s="95" t="n"/>
      <c r="K126" s="95" t="n"/>
    </row>
    <row r="127" ht="15.75" customHeight="1" s="230">
      <c r="A127" s="95" t="n"/>
      <c r="B127" s="95" t="n"/>
      <c r="C127" s="95" t="n"/>
      <c r="D127" s="95" t="n"/>
      <c r="E127" s="95" t="n"/>
      <c r="F127" s="95" t="n"/>
      <c r="G127" s="95" t="n"/>
      <c r="H127" s="95" t="n"/>
      <c r="I127" s="95" t="n"/>
      <c r="J127" s="95" t="n"/>
      <c r="K127" s="95" t="n"/>
    </row>
    <row r="128" ht="15.75" customHeight="1" s="230">
      <c r="A128" s="95" t="n"/>
      <c r="B128" s="95" t="n"/>
      <c r="C128" s="95" t="n"/>
      <c r="D128" s="95" t="n"/>
      <c r="E128" s="95" t="n"/>
      <c r="F128" s="95" t="n"/>
      <c r="G128" s="95" t="n"/>
      <c r="H128" s="95" t="n"/>
      <c r="I128" s="95" t="n"/>
      <c r="J128" s="95" t="n"/>
      <c r="K128" s="95" t="n"/>
    </row>
    <row r="129" ht="15.75" customHeight="1" s="230">
      <c r="A129" s="95" t="n"/>
      <c r="B129" s="95" t="n"/>
      <c r="C129" s="95" t="n"/>
      <c r="D129" s="95" t="n"/>
      <c r="E129" s="95" t="n"/>
      <c r="F129" s="95" t="n"/>
      <c r="G129" s="95" t="n"/>
      <c r="H129" s="95" t="n"/>
      <c r="I129" s="95" t="n"/>
      <c r="J129" s="95" t="n"/>
      <c r="K129" s="95" t="n"/>
    </row>
    <row r="130" ht="15.75" customHeight="1" s="230">
      <c r="A130" s="95" t="n"/>
      <c r="B130" s="95" t="n"/>
      <c r="C130" s="95" t="n"/>
      <c r="D130" s="95" t="n"/>
      <c r="E130" s="95" t="n"/>
      <c r="F130" s="95" t="n"/>
      <c r="G130" s="95" t="n"/>
      <c r="H130" s="95" t="n"/>
      <c r="I130" s="95" t="n"/>
      <c r="J130" s="95" t="n"/>
      <c r="K130" s="95" t="n"/>
    </row>
    <row r="131" ht="15.75" customHeight="1" s="230">
      <c r="A131" s="95" t="n"/>
      <c r="B131" s="95" t="n"/>
      <c r="C131" s="95" t="n"/>
      <c r="D131" s="95" t="n"/>
      <c r="E131" s="95" t="n"/>
      <c r="F131" s="95" t="n"/>
      <c r="G131" s="95" t="n"/>
      <c r="H131" s="95" t="n"/>
      <c r="I131" s="95" t="n"/>
      <c r="J131" s="95" t="n"/>
      <c r="K131" s="95" t="n"/>
    </row>
    <row r="132" ht="15.75" customHeight="1" s="230">
      <c r="A132" s="95" t="n"/>
      <c r="B132" s="95" t="n"/>
      <c r="C132" s="95" t="n"/>
      <c r="D132" s="95" t="n"/>
      <c r="E132" s="95" t="n"/>
      <c r="F132" s="95" t="n"/>
      <c r="G132" s="95" t="n"/>
      <c r="H132" s="95" t="n"/>
      <c r="I132" s="95" t="n"/>
      <c r="J132" s="95" t="n"/>
      <c r="K132" s="95" t="n"/>
    </row>
    <row r="133" ht="15.75" customHeight="1" s="230">
      <c r="A133" s="95" t="n"/>
      <c r="B133" s="95" t="n"/>
      <c r="C133" s="95" t="n"/>
      <c r="D133" s="95" t="n"/>
      <c r="E133" s="95" t="n"/>
      <c r="F133" s="95" t="n"/>
      <c r="G133" s="95" t="n"/>
      <c r="H133" s="95" t="n"/>
      <c r="I133" s="95" t="n"/>
      <c r="J133" s="95" t="n"/>
      <c r="K133" s="95" t="n"/>
    </row>
    <row r="134" ht="15.75" customHeight="1" s="230">
      <c r="A134" s="95" t="n"/>
      <c r="B134" s="95" t="n"/>
      <c r="C134" s="95" t="n"/>
      <c r="D134" s="95" t="n"/>
      <c r="E134" s="95" t="n"/>
      <c r="F134" s="95" t="n"/>
      <c r="G134" s="95" t="n"/>
      <c r="H134" s="95" t="n"/>
      <c r="I134" s="95" t="n"/>
      <c r="J134" s="95" t="n"/>
      <c r="K134" s="95" t="n"/>
    </row>
    <row r="135" ht="15.75" customHeight="1" s="230">
      <c r="A135" s="95" t="n"/>
      <c r="B135" s="95" t="n"/>
      <c r="C135" s="95" t="n"/>
      <c r="D135" s="95" t="n"/>
      <c r="E135" s="95" t="n"/>
      <c r="F135" s="95" t="n"/>
      <c r="G135" s="95" t="n"/>
      <c r="H135" s="95" t="n"/>
      <c r="I135" s="95" t="n"/>
      <c r="J135" s="95" t="n"/>
      <c r="K135" s="95" t="n"/>
    </row>
    <row r="136" ht="15.75" customHeight="1" s="230">
      <c r="A136" s="95" t="n"/>
      <c r="B136" s="95" t="n"/>
      <c r="C136" s="95" t="n"/>
      <c r="D136" s="95" t="n"/>
      <c r="E136" s="95" t="n"/>
      <c r="F136" s="95" t="n"/>
      <c r="G136" s="95" t="n"/>
      <c r="H136" s="95" t="n"/>
      <c r="I136" s="95" t="n"/>
      <c r="J136" s="95" t="n"/>
      <c r="K136" s="95" t="n"/>
    </row>
    <row r="137" ht="15.75" customHeight="1" s="230">
      <c r="A137" s="95" t="n"/>
      <c r="B137" s="95" t="n"/>
      <c r="C137" s="95" t="n"/>
      <c r="D137" s="95" t="n"/>
      <c r="E137" s="95" t="n"/>
      <c r="F137" s="95" t="n"/>
      <c r="G137" s="95" t="n"/>
      <c r="H137" s="95" t="n"/>
      <c r="I137" s="95" t="n"/>
      <c r="J137" s="95" t="n"/>
      <c r="K137" s="95" t="n"/>
    </row>
    <row r="138" ht="15.75" customHeight="1" s="230">
      <c r="A138" s="95" t="n"/>
      <c r="B138" s="95" t="n"/>
      <c r="C138" s="95" t="n"/>
      <c r="D138" s="95" t="n"/>
      <c r="E138" s="95" t="n"/>
      <c r="F138" s="95" t="n"/>
      <c r="G138" s="95" t="n"/>
      <c r="H138" s="95" t="n"/>
      <c r="I138" s="95" t="n"/>
      <c r="J138" s="95" t="n"/>
      <c r="K138" s="95" t="n"/>
    </row>
    <row r="139" ht="15.75" customHeight="1" s="230">
      <c r="A139" s="95" t="n"/>
      <c r="B139" s="95" t="n"/>
      <c r="C139" s="95" t="n"/>
      <c r="D139" s="95" t="n"/>
      <c r="E139" s="95" t="n"/>
      <c r="F139" s="95" t="n"/>
      <c r="G139" s="95" t="n"/>
      <c r="H139" s="95" t="n"/>
      <c r="I139" s="95" t="n"/>
      <c r="J139" s="95" t="n"/>
      <c r="K139" s="95" t="n"/>
    </row>
    <row r="140" ht="15.75" customHeight="1" s="230">
      <c r="A140" s="95" t="n"/>
      <c r="B140" s="95" t="n"/>
      <c r="C140" s="95" t="n"/>
      <c r="D140" s="95" t="n"/>
      <c r="E140" s="95" t="n"/>
      <c r="F140" s="95" t="n"/>
      <c r="G140" s="95" t="n"/>
      <c r="H140" s="95" t="n"/>
      <c r="I140" s="95" t="n"/>
      <c r="J140" s="95" t="n"/>
      <c r="K140" s="95" t="n"/>
    </row>
    <row r="141" ht="15.75" customHeight="1" s="230">
      <c r="A141" s="95" t="n"/>
      <c r="B141" s="95" t="n"/>
      <c r="C141" s="95" t="n"/>
      <c r="D141" s="95" t="n"/>
      <c r="E141" s="95" t="n"/>
      <c r="F141" s="95" t="n"/>
      <c r="G141" s="95" t="n"/>
      <c r="H141" s="95" t="n"/>
      <c r="I141" s="95" t="n"/>
      <c r="J141" s="95" t="n"/>
      <c r="K141" s="95" t="n"/>
    </row>
    <row r="142" ht="15.75" customHeight="1" s="230">
      <c r="A142" s="95" t="n"/>
      <c r="B142" s="95" t="n"/>
      <c r="C142" s="95" t="n"/>
      <c r="D142" s="95" t="n"/>
      <c r="E142" s="95" t="n"/>
      <c r="F142" s="95" t="n"/>
      <c r="G142" s="95" t="n"/>
      <c r="H142" s="95" t="n"/>
      <c r="I142" s="95" t="n"/>
      <c r="J142" s="95" t="n"/>
      <c r="K142" s="95" t="n"/>
    </row>
    <row r="143" ht="15.75" customHeight="1" s="230">
      <c r="A143" s="95" t="n"/>
      <c r="B143" s="95" t="n"/>
      <c r="C143" s="95" t="n"/>
      <c r="D143" s="95" t="n"/>
      <c r="E143" s="95" t="n"/>
      <c r="F143" s="95" t="n"/>
      <c r="G143" s="95" t="n"/>
      <c r="H143" s="95" t="n"/>
      <c r="I143" s="95" t="n"/>
      <c r="J143" s="95" t="n"/>
      <c r="K143" s="95" t="n"/>
    </row>
    <row r="144" ht="15.75" customHeight="1" s="230">
      <c r="A144" s="95" t="n"/>
      <c r="B144" s="95" t="n"/>
      <c r="C144" s="95" t="n"/>
      <c r="D144" s="95" t="n"/>
      <c r="E144" s="95" t="n"/>
      <c r="F144" s="95" t="n"/>
      <c r="G144" s="95" t="n"/>
      <c r="H144" s="95" t="n"/>
      <c r="I144" s="95" t="n"/>
      <c r="J144" s="95" t="n"/>
      <c r="K144" s="95" t="n"/>
    </row>
    <row r="145" ht="15.75" customHeight="1" s="230">
      <c r="A145" s="95" t="n"/>
      <c r="B145" s="95" t="n"/>
      <c r="C145" s="95" t="n"/>
      <c r="D145" s="95" t="n"/>
      <c r="E145" s="95" t="n"/>
      <c r="F145" s="95" t="n"/>
      <c r="G145" s="95" t="n"/>
      <c r="H145" s="95" t="n"/>
      <c r="I145" s="95" t="n"/>
      <c r="J145" s="95" t="n"/>
      <c r="K145" s="95" t="n"/>
    </row>
    <row r="146" ht="15.75" customHeight="1" s="230">
      <c r="A146" s="95" t="n"/>
      <c r="B146" s="95" t="n"/>
      <c r="C146" s="95" t="n"/>
      <c r="D146" s="95" t="n"/>
      <c r="E146" s="95" t="n"/>
      <c r="F146" s="95" t="n"/>
      <c r="G146" s="95" t="n"/>
      <c r="H146" s="95" t="n"/>
      <c r="I146" s="95" t="n"/>
      <c r="J146" s="95" t="n"/>
      <c r="K146" s="95" t="n"/>
    </row>
    <row r="147" ht="15.75" customHeight="1" s="230">
      <c r="A147" s="95" t="n"/>
      <c r="B147" s="95" t="n"/>
      <c r="C147" s="95" t="n"/>
      <c r="D147" s="95" t="n"/>
      <c r="E147" s="95" t="n"/>
      <c r="F147" s="95" t="n"/>
      <c r="G147" s="95" t="n"/>
      <c r="H147" s="95" t="n"/>
      <c r="I147" s="95" t="n"/>
      <c r="J147" s="95" t="n"/>
      <c r="K147" s="95" t="n"/>
    </row>
    <row r="148" ht="15.75" customHeight="1" s="230">
      <c r="A148" s="95" t="n"/>
      <c r="B148" s="95" t="n"/>
      <c r="C148" s="95" t="n"/>
      <c r="D148" s="95" t="n"/>
      <c r="E148" s="95" t="n"/>
      <c r="F148" s="95" t="n"/>
      <c r="G148" s="95" t="n"/>
      <c r="H148" s="95" t="n"/>
      <c r="I148" s="95" t="n"/>
      <c r="J148" s="95" t="n"/>
      <c r="K148" s="95" t="n"/>
    </row>
    <row r="149" ht="15.75" customHeight="1" s="230">
      <c r="A149" s="95" t="n"/>
      <c r="B149" s="95" t="n"/>
      <c r="C149" s="95" t="n"/>
      <c r="D149" s="95" t="n"/>
      <c r="E149" s="95" t="n"/>
      <c r="F149" s="95" t="n"/>
      <c r="G149" s="95" t="n"/>
      <c r="H149" s="95" t="n"/>
      <c r="I149" s="95" t="n"/>
      <c r="J149" s="95" t="n"/>
      <c r="K149" s="95" t="n"/>
    </row>
    <row r="150" ht="15.75" customHeight="1" s="230">
      <c r="A150" s="95" t="n"/>
      <c r="B150" s="95" t="n"/>
      <c r="C150" s="95" t="n"/>
      <c r="D150" s="95" t="n"/>
      <c r="E150" s="95" t="n"/>
      <c r="F150" s="95" t="n"/>
      <c r="G150" s="95" t="n"/>
      <c r="H150" s="95" t="n"/>
      <c r="I150" s="95" t="n"/>
      <c r="J150" s="95" t="n"/>
      <c r="K150" s="95" t="n"/>
    </row>
    <row r="151" ht="15.75" customHeight="1" s="230">
      <c r="A151" s="95" t="n"/>
      <c r="B151" s="95" t="n"/>
      <c r="C151" s="95" t="n"/>
      <c r="D151" s="95" t="n"/>
      <c r="E151" s="95" t="n"/>
      <c r="F151" s="95" t="n"/>
      <c r="G151" s="95" t="n"/>
      <c r="H151" s="95" t="n"/>
      <c r="I151" s="95" t="n"/>
      <c r="J151" s="95" t="n"/>
      <c r="K151" s="95" t="n"/>
    </row>
    <row r="152" ht="15.75" customHeight="1" s="230">
      <c r="A152" s="95" t="n"/>
      <c r="B152" s="95" t="n"/>
      <c r="C152" s="95" t="n"/>
      <c r="D152" s="95" t="n"/>
      <c r="E152" s="95" t="n"/>
      <c r="F152" s="95" t="n"/>
      <c r="G152" s="95" t="n"/>
      <c r="H152" s="95" t="n"/>
      <c r="I152" s="95" t="n"/>
      <c r="J152" s="95" t="n"/>
      <c r="K152" s="95" t="n"/>
    </row>
    <row r="153" ht="15.75" customHeight="1" s="230">
      <c r="A153" s="95" t="n"/>
      <c r="B153" s="95" t="n"/>
      <c r="C153" s="95" t="n"/>
      <c r="D153" s="95" t="n"/>
      <c r="E153" s="95" t="n"/>
      <c r="F153" s="95" t="n"/>
      <c r="G153" s="95" t="n"/>
      <c r="H153" s="95" t="n"/>
      <c r="I153" s="95" t="n"/>
      <c r="J153" s="95" t="n"/>
      <c r="K153" s="95" t="n"/>
    </row>
    <row r="154" ht="15.75" customHeight="1" s="230">
      <c r="A154" s="95" t="n"/>
      <c r="B154" s="95" t="n"/>
      <c r="C154" s="95" t="n"/>
      <c r="D154" s="95" t="n"/>
      <c r="E154" s="95" t="n"/>
      <c r="F154" s="95" t="n"/>
      <c r="G154" s="95" t="n"/>
      <c r="H154" s="95" t="n"/>
      <c r="I154" s="95" t="n"/>
      <c r="J154" s="95" t="n"/>
      <c r="K154" s="95" t="n"/>
    </row>
    <row r="155" ht="15.75" customHeight="1" s="230">
      <c r="A155" s="95" t="n"/>
      <c r="B155" s="95" t="n"/>
      <c r="C155" s="95" t="n"/>
      <c r="D155" s="95" t="n"/>
      <c r="E155" s="95" t="n"/>
      <c r="F155" s="95" t="n"/>
      <c r="G155" s="95" t="n"/>
      <c r="H155" s="95" t="n"/>
      <c r="I155" s="95" t="n"/>
      <c r="J155" s="95" t="n"/>
      <c r="K155" s="95" t="n"/>
    </row>
    <row r="156" ht="15.75" customHeight="1" s="230">
      <c r="A156" s="95" t="n"/>
      <c r="B156" s="95" t="n"/>
      <c r="C156" s="95" t="n"/>
      <c r="D156" s="95" t="n"/>
      <c r="E156" s="95" t="n"/>
      <c r="F156" s="95" t="n"/>
      <c r="G156" s="95" t="n"/>
      <c r="H156" s="95" t="n"/>
      <c r="I156" s="95" t="n"/>
      <c r="J156" s="95" t="n"/>
      <c r="K156" s="95" t="n"/>
    </row>
    <row r="157" ht="15.75" customHeight="1" s="230">
      <c r="A157" s="95" t="n"/>
      <c r="B157" s="95" t="n"/>
      <c r="C157" s="95" t="n"/>
      <c r="D157" s="95" t="n"/>
      <c r="E157" s="95" t="n"/>
      <c r="F157" s="95" t="n"/>
      <c r="G157" s="95" t="n"/>
      <c r="H157" s="95" t="n"/>
      <c r="I157" s="95" t="n"/>
      <c r="J157" s="95" t="n"/>
      <c r="K157" s="95" t="n"/>
    </row>
    <row r="158" ht="15.75" customHeight="1" s="230">
      <c r="A158" s="95" t="n"/>
      <c r="B158" s="95" t="n"/>
      <c r="C158" s="95" t="n"/>
      <c r="D158" s="95" t="n"/>
      <c r="E158" s="95" t="n"/>
      <c r="F158" s="95" t="n"/>
      <c r="G158" s="95" t="n"/>
      <c r="H158" s="95" t="n"/>
      <c r="I158" s="95" t="n"/>
      <c r="J158" s="95" t="n"/>
      <c r="K158" s="95" t="n"/>
    </row>
    <row r="159" ht="15.75" customHeight="1" s="230">
      <c r="A159" s="95" t="n"/>
      <c r="B159" s="95" t="n"/>
      <c r="C159" s="95" t="n"/>
      <c r="D159" s="95" t="n"/>
      <c r="E159" s="95" t="n"/>
      <c r="F159" s="95" t="n"/>
      <c r="G159" s="95" t="n"/>
      <c r="H159" s="95" t="n"/>
      <c r="I159" s="95" t="n"/>
      <c r="J159" s="95" t="n"/>
      <c r="K159" s="95" t="n"/>
    </row>
    <row r="160" ht="15.75" customHeight="1" s="230">
      <c r="A160" s="95" t="n"/>
      <c r="B160" s="95" t="n"/>
      <c r="C160" s="95" t="n"/>
      <c r="D160" s="95" t="n"/>
      <c r="E160" s="95" t="n"/>
      <c r="F160" s="95" t="n"/>
      <c r="G160" s="95" t="n"/>
      <c r="H160" s="95" t="n"/>
      <c r="I160" s="95" t="n"/>
      <c r="J160" s="95" t="n"/>
      <c r="K160" s="95" t="n"/>
    </row>
    <row r="161" ht="15.75" customHeight="1" s="230">
      <c r="A161" s="95" t="n"/>
      <c r="B161" s="95" t="n"/>
      <c r="C161" s="95" t="n"/>
      <c r="D161" s="95" t="n"/>
      <c r="E161" s="95" t="n"/>
      <c r="F161" s="95" t="n"/>
      <c r="G161" s="95" t="n"/>
      <c r="H161" s="95" t="n"/>
      <c r="I161" s="95" t="n"/>
      <c r="J161" s="95" t="n"/>
      <c r="K161" s="95" t="n"/>
    </row>
    <row r="162" ht="15.75" customHeight="1" s="230">
      <c r="A162" s="95" t="n"/>
      <c r="B162" s="95" t="n"/>
      <c r="C162" s="95" t="n"/>
      <c r="D162" s="95" t="n"/>
      <c r="E162" s="95" t="n"/>
      <c r="F162" s="95" t="n"/>
      <c r="G162" s="95" t="n"/>
      <c r="H162" s="95" t="n"/>
      <c r="I162" s="95" t="n"/>
      <c r="J162" s="95" t="n"/>
      <c r="K162" s="95" t="n"/>
    </row>
    <row r="163" ht="15.75" customHeight="1" s="230">
      <c r="A163" s="95" t="n"/>
      <c r="B163" s="95" t="n"/>
      <c r="C163" s="95" t="n"/>
      <c r="D163" s="95" t="n"/>
      <c r="E163" s="95" t="n"/>
      <c r="F163" s="95" t="n"/>
      <c r="G163" s="95" t="n"/>
      <c r="H163" s="95" t="n"/>
      <c r="I163" s="95" t="n"/>
      <c r="J163" s="95" t="n"/>
      <c r="K163" s="95" t="n"/>
    </row>
    <row r="164" ht="15.75" customHeight="1" s="230">
      <c r="A164" s="95" t="n"/>
      <c r="B164" s="95" t="n"/>
      <c r="C164" s="95" t="n"/>
      <c r="D164" s="95" t="n"/>
      <c r="E164" s="95" t="n"/>
      <c r="F164" s="95" t="n"/>
      <c r="G164" s="95" t="n"/>
      <c r="H164" s="95" t="n"/>
      <c r="I164" s="95" t="n"/>
      <c r="J164" s="95" t="n"/>
      <c r="K164" s="95" t="n"/>
    </row>
    <row r="165" ht="15.75" customHeight="1" s="230">
      <c r="A165" s="95" t="n"/>
      <c r="B165" s="95" t="n"/>
      <c r="C165" s="95" t="n"/>
      <c r="D165" s="95" t="n"/>
      <c r="E165" s="95" t="n"/>
      <c r="F165" s="95" t="n"/>
      <c r="G165" s="95" t="n"/>
      <c r="H165" s="95" t="n"/>
      <c r="I165" s="95" t="n"/>
      <c r="J165" s="95" t="n"/>
      <c r="K165" s="95" t="n"/>
    </row>
    <row r="166" ht="15.75" customHeight="1" s="230">
      <c r="A166" s="95" t="n"/>
      <c r="B166" s="95" t="n"/>
      <c r="C166" s="95" t="n"/>
      <c r="D166" s="95" t="n"/>
      <c r="E166" s="95" t="n"/>
      <c r="F166" s="95" t="n"/>
      <c r="G166" s="95" t="n"/>
      <c r="H166" s="95" t="n"/>
      <c r="I166" s="95" t="n"/>
      <c r="J166" s="95" t="n"/>
      <c r="K166" s="95" t="n"/>
    </row>
    <row r="167" ht="15.75" customHeight="1" s="230">
      <c r="A167" s="95" t="n"/>
      <c r="B167" s="95" t="n"/>
      <c r="C167" s="95" t="n"/>
      <c r="D167" s="95" t="n"/>
      <c r="E167" s="95" t="n"/>
      <c r="F167" s="95" t="n"/>
      <c r="G167" s="95" t="n"/>
      <c r="H167" s="95" t="n"/>
      <c r="I167" s="95" t="n"/>
      <c r="J167" s="95" t="n"/>
      <c r="K167" s="95" t="n"/>
    </row>
    <row r="168" ht="15.75" customHeight="1" s="230">
      <c r="A168" s="95" t="n"/>
      <c r="B168" s="95" t="n"/>
      <c r="C168" s="95" t="n"/>
      <c r="D168" s="95" t="n"/>
      <c r="E168" s="95" t="n"/>
      <c r="F168" s="95" t="n"/>
      <c r="G168" s="95" t="n"/>
      <c r="H168" s="95" t="n"/>
      <c r="I168" s="95" t="n"/>
      <c r="J168" s="95" t="n"/>
      <c r="K168" s="95" t="n"/>
    </row>
    <row r="169" ht="15.75" customHeight="1" s="230">
      <c r="A169" s="95" t="n"/>
      <c r="B169" s="95" t="n"/>
      <c r="C169" s="95" t="n"/>
      <c r="D169" s="95" t="n"/>
      <c r="E169" s="95" t="n"/>
      <c r="F169" s="95" t="n"/>
      <c r="G169" s="95" t="n"/>
      <c r="H169" s="95" t="n"/>
      <c r="I169" s="95" t="n"/>
      <c r="J169" s="95" t="n"/>
      <c r="K169" s="95" t="n"/>
    </row>
    <row r="170" ht="15.75" customHeight="1" s="230">
      <c r="A170" s="95" t="n"/>
      <c r="B170" s="95" t="n"/>
      <c r="C170" s="95" t="n"/>
      <c r="D170" s="95" t="n"/>
      <c r="E170" s="95" t="n"/>
      <c r="F170" s="95" t="n"/>
      <c r="G170" s="95" t="n"/>
      <c r="H170" s="95" t="n"/>
      <c r="I170" s="95" t="n"/>
      <c r="J170" s="95" t="n"/>
      <c r="K170" s="95" t="n"/>
    </row>
    <row r="171" ht="15.75" customHeight="1" s="230">
      <c r="A171" s="95" t="n"/>
      <c r="B171" s="95" t="n"/>
      <c r="C171" s="95" t="n"/>
      <c r="D171" s="95" t="n"/>
      <c r="E171" s="95" t="n"/>
      <c r="F171" s="95" t="n"/>
      <c r="G171" s="95" t="n"/>
      <c r="H171" s="95" t="n"/>
      <c r="I171" s="95" t="n"/>
      <c r="J171" s="95" t="n"/>
      <c r="K171" s="95" t="n"/>
    </row>
    <row r="172" ht="15.75" customHeight="1" s="230">
      <c r="A172" s="95" t="n"/>
      <c r="B172" s="95" t="n"/>
      <c r="C172" s="95" t="n"/>
      <c r="D172" s="95" t="n"/>
      <c r="E172" s="95" t="n"/>
      <c r="F172" s="95" t="n"/>
      <c r="G172" s="95" t="n"/>
      <c r="H172" s="95" t="n"/>
      <c r="I172" s="95" t="n"/>
      <c r="J172" s="95" t="n"/>
      <c r="K172" s="95" t="n"/>
    </row>
    <row r="173" ht="15.75" customHeight="1" s="230">
      <c r="A173" s="95" t="n"/>
      <c r="B173" s="95" t="n"/>
      <c r="C173" s="95" t="n"/>
      <c r="D173" s="95" t="n"/>
      <c r="E173" s="95" t="n"/>
      <c r="F173" s="95" t="n"/>
      <c r="G173" s="95" t="n"/>
      <c r="H173" s="95" t="n"/>
      <c r="I173" s="95" t="n"/>
      <c r="J173" s="95" t="n"/>
      <c r="K173" s="95" t="n"/>
    </row>
    <row r="174" ht="15.75" customHeight="1" s="230">
      <c r="A174" s="95" t="n"/>
      <c r="B174" s="95" t="n"/>
      <c r="C174" s="95" t="n"/>
      <c r="D174" s="95" t="n"/>
      <c r="E174" s="95" t="n"/>
      <c r="F174" s="95" t="n"/>
      <c r="G174" s="95" t="n"/>
      <c r="H174" s="95" t="n"/>
      <c r="I174" s="95" t="n"/>
      <c r="J174" s="95" t="n"/>
      <c r="K174" s="95" t="n"/>
    </row>
    <row r="175" ht="15.75" customHeight="1" s="230">
      <c r="A175" s="95" t="n"/>
      <c r="B175" s="95" t="n"/>
      <c r="C175" s="95" t="n"/>
      <c r="D175" s="95" t="n"/>
      <c r="E175" s="95" t="n"/>
      <c r="F175" s="95" t="n"/>
      <c r="G175" s="95" t="n"/>
      <c r="H175" s="95" t="n"/>
      <c r="I175" s="95" t="n"/>
      <c r="J175" s="95" t="n"/>
      <c r="K175" s="95" t="n"/>
    </row>
    <row r="176" ht="15.75" customHeight="1" s="230">
      <c r="A176" s="95" t="n"/>
      <c r="B176" s="95" t="n"/>
      <c r="C176" s="95" t="n"/>
      <c r="D176" s="95" t="n"/>
      <c r="E176" s="95" t="n"/>
      <c r="F176" s="95" t="n"/>
      <c r="G176" s="95" t="n"/>
      <c r="H176" s="95" t="n"/>
      <c r="I176" s="95" t="n"/>
      <c r="J176" s="95" t="n"/>
      <c r="K176" s="95" t="n"/>
    </row>
    <row r="177" ht="15.75" customHeight="1" s="230">
      <c r="A177" s="95" t="n"/>
      <c r="B177" s="95" t="n"/>
      <c r="C177" s="95" t="n"/>
      <c r="D177" s="95" t="n"/>
      <c r="E177" s="95" t="n"/>
      <c r="F177" s="95" t="n"/>
      <c r="G177" s="95" t="n"/>
      <c r="H177" s="95" t="n"/>
      <c r="I177" s="95" t="n"/>
      <c r="J177" s="95" t="n"/>
      <c r="K177" s="95" t="n"/>
    </row>
    <row r="178" ht="15.75" customHeight="1" s="230">
      <c r="A178" s="95" t="n"/>
      <c r="B178" s="95" t="n"/>
      <c r="C178" s="95" t="n"/>
      <c r="D178" s="95" t="n"/>
      <c r="E178" s="95" t="n"/>
      <c r="F178" s="95" t="n"/>
      <c r="G178" s="95" t="n"/>
      <c r="H178" s="95" t="n"/>
      <c r="I178" s="95" t="n"/>
      <c r="J178" s="95" t="n"/>
      <c r="K178" s="95" t="n"/>
    </row>
    <row r="179" ht="15.75" customHeight="1" s="230">
      <c r="A179" s="95" t="n"/>
      <c r="B179" s="95" t="n"/>
      <c r="C179" s="95" t="n"/>
      <c r="D179" s="95" t="n"/>
      <c r="E179" s="95" t="n"/>
      <c r="F179" s="95" t="n"/>
      <c r="G179" s="95" t="n"/>
      <c r="H179" s="95" t="n"/>
      <c r="I179" s="95" t="n"/>
      <c r="J179" s="95" t="n"/>
      <c r="K179" s="95" t="n"/>
    </row>
    <row r="180" ht="15.75" customHeight="1" s="230">
      <c r="A180" s="95" t="n"/>
      <c r="B180" s="95" t="n"/>
      <c r="C180" s="95" t="n"/>
      <c r="D180" s="95" t="n"/>
      <c r="E180" s="95" t="n"/>
      <c r="F180" s="95" t="n"/>
      <c r="G180" s="95" t="n"/>
      <c r="H180" s="95" t="n"/>
      <c r="I180" s="95" t="n"/>
      <c r="J180" s="95" t="n"/>
      <c r="K180" s="95" t="n"/>
    </row>
    <row r="181" ht="15.75" customHeight="1" s="230">
      <c r="A181" s="95" t="n"/>
      <c r="B181" s="95" t="n"/>
      <c r="C181" s="95" t="n"/>
      <c r="D181" s="95" t="n"/>
      <c r="E181" s="95" t="n"/>
      <c r="F181" s="95" t="n"/>
      <c r="G181" s="95" t="n"/>
      <c r="H181" s="95" t="n"/>
      <c r="I181" s="95" t="n"/>
      <c r="J181" s="95" t="n"/>
      <c r="K181" s="95" t="n"/>
    </row>
    <row r="182" ht="15.75" customHeight="1" s="230">
      <c r="A182" s="95" t="n"/>
      <c r="B182" s="95" t="n"/>
      <c r="C182" s="95" t="n"/>
      <c r="D182" s="95" t="n"/>
      <c r="E182" s="95" t="n"/>
      <c r="F182" s="95" t="n"/>
      <c r="G182" s="95" t="n"/>
      <c r="H182" s="95" t="n"/>
      <c r="I182" s="95" t="n"/>
      <c r="J182" s="95" t="n"/>
      <c r="K182" s="95" t="n"/>
    </row>
    <row r="183" ht="15.75" customHeight="1" s="230">
      <c r="A183" s="95" t="n"/>
      <c r="B183" s="95" t="n"/>
      <c r="C183" s="95" t="n"/>
      <c r="D183" s="95" t="n"/>
      <c r="E183" s="95" t="n"/>
      <c r="F183" s="95" t="n"/>
      <c r="G183" s="95" t="n"/>
      <c r="H183" s="95" t="n"/>
      <c r="I183" s="95" t="n"/>
      <c r="J183" s="95" t="n"/>
      <c r="K183" s="95" t="n"/>
    </row>
    <row r="184" ht="15.75" customHeight="1" s="230">
      <c r="A184" s="95" t="n"/>
      <c r="B184" s="95" t="n"/>
      <c r="C184" s="95" t="n"/>
      <c r="D184" s="95" t="n"/>
      <c r="E184" s="95" t="n"/>
      <c r="F184" s="95" t="n"/>
      <c r="G184" s="95" t="n"/>
      <c r="H184" s="95" t="n"/>
      <c r="I184" s="95" t="n"/>
      <c r="J184" s="95" t="n"/>
      <c r="K184" s="95" t="n"/>
    </row>
    <row r="185" ht="15.75" customHeight="1" s="230">
      <c r="A185" s="95" t="n"/>
      <c r="B185" s="95" t="n"/>
      <c r="C185" s="95" t="n"/>
      <c r="D185" s="95" t="n"/>
      <c r="E185" s="95" t="n"/>
      <c r="F185" s="95" t="n"/>
      <c r="G185" s="95" t="n"/>
      <c r="H185" s="95" t="n"/>
      <c r="I185" s="95" t="n"/>
      <c r="J185" s="95" t="n"/>
      <c r="K185" s="95" t="n"/>
    </row>
    <row r="186" ht="15.75" customHeight="1" s="230">
      <c r="A186" s="95" t="n"/>
      <c r="B186" s="95" t="n"/>
      <c r="C186" s="95" t="n"/>
      <c r="D186" s="95" t="n"/>
      <c r="E186" s="95" t="n"/>
      <c r="F186" s="95" t="n"/>
      <c r="G186" s="95" t="n"/>
      <c r="H186" s="95" t="n"/>
      <c r="I186" s="95" t="n"/>
      <c r="J186" s="95" t="n"/>
      <c r="K186" s="95" t="n"/>
    </row>
    <row r="187" ht="15.75" customHeight="1" s="230">
      <c r="A187" s="95" t="n"/>
      <c r="B187" s="95" t="n"/>
      <c r="C187" s="95" t="n"/>
      <c r="D187" s="95" t="n"/>
      <c r="E187" s="95" t="n"/>
      <c r="F187" s="95" t="n"/>
      <c r="G187" s="95" t="n"/>
      <c r="H187" s="95" t="n"/>
      <c r="I187" s="95" t="n"/>
      <c r="J187" s="95" t="n"/>
      <c r="K187" s="95" t="n"/>
    </row>
    <row r="188" ht="15.75" customHeight="1" s="230">
      <c r="A188" s="95" t="n"/>
      <c r="B188" s="95" t="n"/>
      <c r="C188" s="95" t="n"/>
      <c r="D188" s="95" t="n"/>
      <c r="E188" s="95" t="n"/>
      <c r="F188" s="95" t="n"/>
      <c r="G188" s="95" t="n"/>
      <c r="H188" s="95" t="n"/>
      <c r="I188" s="95" t="n"/>
      <c r="J188" s="95" t="n"/>
      <c r="K188" s="95" t="n"/>
    </row>
    <row r="189" ht="15.75" customHeight="1" s="230">
      <c r="A189" s="95" t="n"/>
      <c r="B189" s="95" t="n"/>
      <c r="C189" s="95" t="n"/>
      <c r="D189" s="95" t="n"/>
      <c r="E189" s="95" t="n"/>
      <c r="F189" s="95" t="n"/>
      <c r="G189" s="95" t="n"/>
      <c r="H189" s="95" t="n"/>
      <c r="I189" s="95" t="n"/>
      <c r="J189" s="95" t="n"/>
      <c r="K189" s="95" t="n"/>
    </row>
    <row r="190" ht="15.75" customHeight="1" s="230">
      <c r="A190" s="95" t="n"/>
      <c r="B190" s="95" t="n"/>
      <c r="C190" s="95" t="n"/>
      <c r="D190" s="95" t="n"/>
      <c r="E190" s="95" t="n"/>
      <c r="F190" s="95" t="n"/>
      <c r="G190" s="95" t="n"/>
      <c r="H190" s="95" t="n"/>
      <c r="I190" s="95" t="n"/>
      <c r="J190" s="95" t="n"/>
      <c r="K190" s="95" t="n"/>
    </row>
    <row r="191" ht="15.75" customHeight="1" s="230">
      <c r="A191" s="95" t="n"/>
      <c r="B191" s="95" t="n"/>
      <c r="C191" s="95" t="n"/>
      <c r="D191" s="95" t="n"/>
      <c r="E191" s="95" t="n"/>
      <c r="F191" s="95" t="n"/>
      <c r="G191" s="95" t="n"/>
      <c r="H191" s="95" t="n"/>
      <c r="I191" s="95" t="n"/>
      <c r="J191" s="95" t="n"/>
      <c r="K191" s="95" t="n"/>
    </row>
    <row r="192" ht="15.75" customHeight="1" s="230">
      <c r="A192" s="95" t="n"/>
      <c r="B192" s="95" t="n"/>
      <c r="C192" s="95" t="n"/>
      <c r="D192" s="95" t="n"/>
      <c r="E192" s="95" t="n"/>
      <c r="F192" s="95" t="n"/>
      <c r="G192" s="95" t="n"/>
      <c r="H192" s="95" t="n"/>
      <c r="I192" s="95" t="n"/>
      <c r="J192" s="95" t="n"/>
      <c r="K192" s="95" t="n"/>
    </row>
    <row r="193" ht="15.75" customHeight="1" s="230">
      <c r="A193" s="95" t="n"/>
      <c r="B193" s="95" t="n"/>
      <c r="C193" s="95" t="n"/>
      <c r="D193" s="95" t="n"/>
      <c r="E193" s="95" t="n"/>
      <c r="F193" s="95" t="n"/>
      <c r="G193" s="95" t="n"/>
      <c r="H193" s="95" t="n"/>
      <c r="I193" s="95" t="n"/>
      <c r="J193" s="95" t="n"/>
      <c r="K193" s="95" t="n"/>
    </row>
    <row r="194" ht="15.75" customHeight="1" s="230">
      <c r="A194" s="95" t="n"/>
      <c r="B194" s="95" t="n"/>
      <c r="C194" s="95" t="n"/>
      <c r="D194" s="95" t="n"/>
      <c r="E194" s="95" t="n"/>
      <c r="F194" s="95" t="n"/>
      <c r="G194" s="95" t="n"/>
      <c r="H194" s="95" t="n"/>
      <c r="I194" s="95" t="n"/>
      <c r="J194" s="95" t="n"/>
      <c r="K194" s="95" t="n"/>
    </row>
    <row r="195" ht="15.75" customHeight="1" s="230">
      <c r="A195" s="95" t="n"/>
      <c r="B195" s="95" t="n"/>
      <c r="C195" s="95" t="n"/>
      <c r="D195" s="95" t="n"/>
      <c r="E195" s="95" t="n"/>
      <c r="F195" s="95" t="n"/>
      <c r="G195" s="95" t="n"/>
      <c r="H195" s="95" t="n"/>
      <c r="I195" s="95" t="n"/>
      <c r="J195" s="95" t="n"/>
      <c r="K195" s="95" t="n"/>
    </row>
    <row r="196" ht="15.75" customHeight="1" s="230">
      <c r="A196" s="95" t="n"/>
      <c r="B196" s="95" t="n"/>
      <c r="C196" s="95" t="n"/>
      <c r="D196" s="95" t="n"/>
      <c r="E196" s="95" t="n"/>
      <c r="F196" s="95" t="n"/>
      <c r="G196" s="95" t="n"/>
      <c r="H196" s="95" t="n"/>
      <c r="I196" s="95" t="n"/>
      <c r="J196" s="95" t="n"/>
      <c r="K196" s="95" t="n"/>
    </row>
    <row r="197" ht="15.75" customHeight="1" s="230">
      <c r="A197" s="95" t="n"/>
      <c r="B197" s="95" t="n"/>
      <c r="C197" s="95" t="n"/>
      <c r="D197" s="95" t="n"/>
      <c r="E197" s="95" t="n"/>
      <c r="F197" s="95" t="n"/>
      <c r="G197" s="95" t="n"/>
      <c r="H197" s="95" t="n"/>
      <c r="I197" s="95" t="n"/>
      <c r="J197" s="95" t="n"/>
      <c r="K197" s="95" t="n"/>
    </row>
    <row r="198" ht="15.75" customHeight="1" s="230">
      <c r="A198" s="95" t="n"/>
      <c r="B198" s="95" t="n"/>
      <c r="C198" s="95" t="n"/>
      <c r="D198" s="95" t="n"/>
      <c r="E198" s="95" t="n"/>
      <c r="F198" s="95" t="n"/>
      <c r="G198" s="95" t="n"/>
      <c r="H198" s="95" t="n"/>
      <c r="I198" s="95" t="n"/>
      <c r="J198" s="95" t="n"/>
      <c r="K198" s="95" t="n"/>
    </row>
    <row r="199" ht="15.75" customHeight="1" s="230">
      <c r="A199" s="95" t="n"/>
      <c r="B199" s="95" t="n"/>
      <c r="C199" s="95" t="n"/>
      <c r="D199" s="95" t="n"/>
      <c r="E199" s="95" t="n"/>
      <c r="F199" s="95" t="n"/>
      <c r="G199" s="95" t="n"/>
      <c r="H199" s="95" t="n"/>
      <c r="I199" s="95" t="n"/>
      <c r="J199" s="95" t="n"/>
      <c r="K199" s="95" t="n"/>
    </row>
    <row r="200" ht="15.75" customHeight="1" s="230">
      <c r="A200" s="95" t="n"/>
      <c r="B200" s="95" t="n"/>
      <c r="C200" s="95" t="n"/>
      <c r="D200" s="95" t="n"/>
      <c r="E200" s="95" t="n"/>
      <c r="F200" s="95" t="n"/>
      <c r="G200" s="95" t="n"/>
      <c r="H200" s="95" t="n"/>
      <c r="I200" s="95" t="n"/>
      <c r="J200" s="95" t="n"/>
      <c r="K200" s="95" t="n"/>
    </row>
    <row r="201" ht="15.75" customHeight="1" s="230">
      <c r="A201" s="95" t="n"/>
      <c r="B201" s="95" t="n"/>
      <c r="C201" s="95" t="n"/>
      <c r="D201" s="95" t="n"/>
      <c r="E201" s="95" t="n"/>
      <c r="F201" s="95" t="n"/>
      <c r="G201" s="95" t="n"/>
      <c r="H201" s="95" t="n"/>
      <c r="I201" s="95" t="n"/>
      <c r="J201" s="95" t="n"/>
      <c r="K201" s="95" t="n"/>
    </row>
    <row r="202" ht="15.75" customHeight="1" s="230">
      <c r="A202" s="95" t="n"/>
      <c r="B202" s="95" t="n"/>
      <c r="C202" s="95" t="n"/>
      <c r="D202" s="95" t="n"/>
      <c r="E202" s="95" t="n"/>
      <c r="F202" s="95" t="n"/>
      <c r="G202" s="95" t="n"/>
      <c r="H202" s="95" t="n"/>
      <c r="I202" s="95" t="n"/>
      <c r="J202" s="95" t="n"/>
      <c r="K202" s="95" t="n"/>
    </row>
    <row r="203" ht="15.75" customHeight="1" s="230">
      <c r="A203" s="95" t="n"/>
      <c r="B203" s="95" t="n"/>
      <c r="C203" s="95" t="n"/>
      <c r="D203" s="95" t="n"/>
      <c r="E203" s="95" t="n"/>
      <c r="F203" s="95" t="n"/>
      <c r="G203" s="95" t="n"/>
      <c r="H203" s="95" t="n"/>
      <c r="I203" s="95" t="n"/>
      <c r="J203" s="95" t="n"/>
      <c r="K203" s="95" t="n"/>
    </row>
    <row r="204" ht="15.75" customHeight="1" s="230">
      <c r="A204" s="95" t="n"/>
      <c r="B204" s="95" t="n"/>
      <c r="C204" s="95" t="n"/>
      <c r="D204" s="95" t="n"/>
      <c r="E204" s="95" t="n"/>
      <c r="F204" s="95" t="n"/>
      <c r="G204" s="95" t="n"/>
      <c r="H204" s="95" t="n"/>
      <c r="I204" s="95" t="n"/>
      <c r="J204" s="95" t="n"/>
      <c r="K204" s="95" t="n"/>
    </row>
    <row r="205" ht="15.75" customHeight="1" s="230">
      <c r="A205" s="95" t="n"/>
      <c r="B205" s="95" t="n"/>
      <c r="C205" s="95" t="n"/>
      <c r="D205" s="95" t="n"/>
      <c r="E205" s="95" t="n"/>
      <c r="F205" s="95" t="n"/>
      <c r="G205" s="95" t="n"/>
      <c r="H205" s="95" t="n"/>
      <c r="I205" s="95" t="n"/>
      <c r="J205" s="95" t="n"/>
      <c r="K205" s="95" t="n"/>
    </row>
    <row r="206" ht="15.75" customHeight="1" s="230">
      <c r="A206" s="95" t="n"/>
      <c r="B206" s="95" t="n"/>
      <c r="C206" s="95" t="n"/>
      <c r="D206" s="95" t="n"/>
      <c r="E206" s="95" t="n"/>
      <c r="F206" s="95" t="n"/>
      <c r="G206" s="95" t="n"/>
      <c r="H206" s="95" t="n"/>
      <c r="I206" s="95" t="n"/>
      <c r="J206" s="95" t="n"/>
      <c r="K206" s="95" t="n"/>
    </row>
    <row r="207" ht="15.75" customHeight="1" s="230">
      <c r="A207" s="95" t="n"/>
      <c r="B207" s="95" t="n"/>
      <c r="C207" s="95" t="n"/>
      <c r="D207" s="95" t="n"/>
      <c r="E207" s="95" t="n"/>
      <c r="F207" s="95" t="n"/>
      <c r="G207" s="95" t="n"/>
      <c r="H207" s="95" t="n"/>
      <c r="I207" s="95" t="n"/>
      <c r="J207" s="95" t="n"/>
      <c r="K207" s="95" t="n"/>
    </row>
    <row r="208" ht="15.75" customHeight="1" s="230">
      <c r="A208" s="95" t="n"/>
      <c r="B208" s="95" t="n"/>
      <c r="C208" s="95" t="n"/>
      <c r="D208" s="95" t="n"/>
      <c r="E208" s="95" t="n"/>
      <c r="F208" s="95" t="n"/>
      <c r="G208" s="95" t="n"/>
      <c r="H208" s="95" t="n"/>
      <c r="I208" s="95" t="n"/>
      <c r="J208" s="95" t="n"/>
      <c r="K208" s="95" t="n"/>
    </row>
    <row r="209" ht="15.75" customHeight="1" s="230">
      <c r="A209" s="95" t="n"/>
      <c r="B209" s="95" t="n"/>
      <c r="C209" s="95" t="n"/>
      <c r="D209" s="95" t="n"/>
      <c r="E209" s="95" t="n"/>
      <c r="F209" s="95" t="n"/>
      <c r="G209" s="95" t="n"/>
      <c r="H209" s="95" t="n"/>
      <c r="I209" s="95" t="n"/>
      <c r="J209" s="95" t="n"/>
      <c r="K209" s="95" t="n"/>
    </row>
    <row r="210" ht="15.75" customHeight="1" s="230">
      <c r="A210" s="95" t="n"/>
      <c r="B210" s="95" t="n"/>
      <c r="C210" s="95" t="n"/>
      <c r="D210" s="95" t="n"/>
      <c r="E210" s="95" t="n"/>
      <c r="F210" s="95" t="n"/>
      <c r="G210" s="95" t="n"/>
      <c r="H210" s="95" t="n"/>
      <c r="I210" s="95" t="n"/>
      <c r="J210" s="95" t="n"/>
      <c r="K210" s="95" t="n"/>
    </row>
    <row r="211" ht="15.75" customHeight="1" s="230">
      <c r="A211" s="95" t="n"/>
      <c r="B211" s="95" t="n"/>
      <c r="C211" s="95" t="n"/>
      <c r="D211" s="95" t="n"/>
      <c r="E211" s="95" t="n"/>
      <c r="F211" s="95" t="n"/>
      <c r="G211" s="95" t="n"/>
      <c r="H211" s="95" t="n"/>
      <c r="I211" s="95" t="n"/>
      <c r="J211" s="95" t="n"/>
      <c r="K211" s="95" t="n"/>
    </row>
    <row r="212" ht="15.75" customHeight="1" s="230">
      <c r="A212" s="95" t="n"/>
      <c r="B212" s="95" t="n"/>
      <c r="C212" s="95" t="n"/>
      <c r="D212" s="95" t="n"/>
      <c r="E212" s="95" t="n"/>
      <c r="F212" s="95" t="n"/>
      <c r="G212" s="95" t="n"/>
      <c r="H212" s="95" t="n"/>
      <c r="I212" s="95" t="n"/>
      <c r="J212" s="95" t="n"/>
      <c r="K212" s="95" t="n"/>
    </row>
    <row r="213" ht="15.75" customHeight="1" s="230">
      <c r="A213" s="95" t="n"/>
      <c r="B213" s="95" t="n"/>
      <c r="C213" s="95" t="n"/>
      <c r="D213" s="95" t="n"/>
      <c r="E213" s="95" t="n"/>
      <c r="F213" s="95" t="n"/>
      <c r="G213" s="95" t="n"/>
      <c r="H213" s="95" t="n"/>
      <c r="I213" s="95" t="n"/>
      <c r="J213" s="95" t="n"/>
      <c r="K213" s="95" t="n"/>
    </row>
    <row r="214" ht="15.75" customHeight="1" s="230">
      <c r="A214" s="95" t="n"/>
      <c r="B214" s="95" t="n"/>
      <c r="C214" s="95" t="n"/>
      <c r="D214" s="95" t="n"/>
      <c r="E214" s="95" t="n"/>
      <c r="F214" s="95" t="n"/>
      <c r="G214" s="95" t="n"/>
      <c r="H214" s="95" t="n"/>
      <c r="I214" s="95" t="n"/>
      <c r="J214" s="95" t="n"/>
      <c r="K214" s="95" t="n"/>
    </row>
    <row r="215" ht="15.75" customHeight="1" s="230">
      <c r="A215" s="95" t="n"/>
      <c r="B215" s="95" t="n"/>
      <c r="C215" s="95" t="n"/>
      <c r="D215" s="95" t="n"/>
      <c r="E215" s="95" t="n"/>
      <c r="F215" s="95" t="n"/>
      <c r="G215" s="95" t="n"/>
      <c r="H215" s="95" t="n"/>
      <c r="I215" s="95" t="n"/>
      <c r="J215" s="95" t="n"/>
      <c r="K215" s="95" t="n"/>
    </row>
    <row r="216" ht="15.75" customHeight="1" s="230">
      <c r="A216" s="95" t="n"/>
      <c r="B216" s="95" t="n"/>
      <c r="C216" s="95" t="n"/>
      <c r="D216" s="95" t="n"/>
      <c r="E216" s="95" t="n"/>
      <c r="F216" s="95" t="n"/>
      <c r="G216" s="95" t="n"/>
      <c r="H216" s="95" t="n"/>
      <c r="I216" s="95" t="n"/>
      <c r="J216" s="95" t="n"/>
      <c r="K216" s="95" t="n"/>
    </row>
    <row r="217" ht="15.75" customHeight="1" s="230">
      <c r="A217" s="95" t="n"/>
      <c r="B217" s="95" t="n"/>
      <c r="C217" s="95" t="n"/>
      <c r="D217" s="95" t="n"/>
      <c r="E217" s="95" t="n"/>
      <c r="F217" s="95" t="n"/>
      <c r="G217" s="95" t="n"/>
      <c r="H217" s="95" t="n"/>
      <c r="I217" s="95" t="n"/>
      <c r="J217" s="95" t="n"/>
      <c r="K217" s="95" t="n"/>
    </row>
    <row r="218" ht="15.75" customHeight="1" s="230">
      <c r="A218" s="95" t="n"/>
      <c r="B218" s="95" t="n"/>
      <c r="C218" s="95" t="n"/>
      <c r="D218" s="95" t="n"/>
      <c r="E218" s="95" t="n"/>
      <c r="F218" s="95" t="n"/>
      <c r="G218" s="95" t="n"/>
      <c r="H218" s="95" t="n"/>
      <c r="I218" s="95" t="n"/>
      <c r="J218" s="95" t="n"/>
      <c r="K218" s="95" t="n"/>
    </row>
    <row r="219" ht="15.75" customHeight="1" s="230">
      <c r="A219" s="95" t="n"/>
      <c r="B219" s="95" t="n"/>
      <c r="C219" s="95" t="n"/>
      <c r="D219" s="95" t="n"/>
      <c r="E219" s="95" t="n"/>
      <c r="F219" s="95" t="n"/>
      <c r="G219" s="95" t="n"/>
      <c r="H219" s="95" t="n"/>
      <c r="I219" s="95" t="n"/>
      <c r="J219" s="95" t="n"/>
      <c r="K219" s="95" t="n"/>
    </row>
    <row r="220" ht="15.75" customHeight="1" s="230">
      <c r="A220" s="95" t="n"/>
      <c r="B220" s="95" t="n"/>
      <c r="C220" s="95" t="n"/>
      <c r="D220" s="95" t="n"/>
      <c r="E220" s="95" t="n"/>
      <c r="F220" s="95" t="n"/>
      <c r="G220" s="95" t="n"/>
      <c r="H220" s="95" t="n"/>
      <c r="I220" s="95" t="n"/>
      <c r="J220" s="95" t="n"/>
      <c r="K220" s="95" t="n"/>
    </row>
    <row r="221" ht="15.75" customHeight="1" s="230">
      <c r="A221" s="95" t="n"/>
      <c r="B221" s="95" t="n"/>
      <c r="C221" s="95" t="n"/>
      <c r="D221" s="95" t="n"/>
      <c r="E221" s="95" t="n"/>
      <c r="F221" s="95" t="n"/>
      <c r="G221" s="95" t="n"/>
      <c r="H221" s="95" t="n"/>
      <c r="I221" s="95" t="n"/>
      <c r="J221" s="95" t="n"/>
      <c r="K221" s="95" t="n"/>
    </row>
    <row r="222" ht="15.75" customHeight="1" s="230">
      <c r="A222" s="95" t="n"/>
      <c r="B222" s="95" t="n"/>
      <c r="C222" s="95" t="n"/>
      <c r="D222" s="95" t="n"/>
      <c r="E222" s="95" t="n"/>
      <c r="F222" s="95" t="n"/>
      <c r="G222" s="95" t="n"/>
      <c r="H222" s="95" t="n"/>
      <c r="I222" s="95" t="n"/>
      <c r="J222" s="95" t="n"/>
      <c r="K222" s="95" t="n"/>
    </row>
    <row r="223" ht="15.75" customHeight="1" s="230">
      <c r="A223" s="95" t="n"/>
      <c r="B223" s="95" t="n"/>
      <c r="C223" s="95" t="n"/>
      <c r="D223" s="95" t="n"/>
      <c r="E223" s="95" t="n"/>
      <c r="F223" s="95" t="n"/>
      <c r="G223" s="95" t="n"/>
      <c r="H223" s="95" t="n"/>
      <c r="I223" s="95" t="n"/>
      <c r="J223" s="95" t="n"/>
      <c r="K223" s="95" t="n"/>
    </row>
    <row r="224" ht="15.75" customHeight="1" s="230">
      <c r="A224" s="95" t="n"/>
      <c r="B224" s="95" t="n"/>
      <c r="C224" s="95" t="n"/>
      <c r="D224" s="95" t="n"/>
      <c r="E224" s="95" t="n"/>
      <c r="F224" s="95" t="n"/>
      <c r="G224" s="95" t="n"/>
      <c r="H224" s="95" t="n"/>
      <c r="I224" s="95" t="n"/>
      <c r="J224" s="95" t="n"/>
      <c r="K224" s="95" t="n"/>
    </row>
    <row r="225" ht="15.75" customHeight="1" s="230">
      <c r="A225" s="95" t="n"/>
      <c r="B225" s="95" t="n"/>
      <c r="C225" s="95" t="n"/>
      <c r="D225" s="95" t="n"/>
      <c r="E225" s="95" t="n"/>
      <c r="F225" s="95" t="n"/>
      <c r="G225" s="95" t="n"/>
      <c r="H225" s="95" t="n"/>
      <c r="I225" s="95" t="n"/>
      <c r="J225" s="95" t="n"/>
      <c r="K225" s="95" t="n"/>
    </row>
    <row r="226" ht="15.75" customHeight="1" s="230">
      <c r="A226" s="95" t="n"/>
      <c r="B226" s="95" t="n"/>
      <c r="C226" s="95" t="n"/>
      <c r="D226" s="95" t="n"/>
      <c r="E226" s="95" t="n"/>
      <c r="F226" s="95" t="n"/>
      <c r="G226" s="95" t="n"/>
      <c r="H226" s="95" t="n"/>
      <c r="I226" s="95" t="n"/>
      <c r="J226" s="95" t="n"/>
      <c r="K226" s="95" t="n"/>
    </row>
    <row r="227" ht="15.75" customHeight="1" s="230">
      <c r="A227" s="95" t="n"/>
      <c r="B227" s="95" t="n"/>
      <c r="C227" s="95" t="n"/>
      <c r="D227" s="95" t="n"/>
      <c r="E227" s="95" t="n"/>
      <c r="F227" s="95" t="n"/>
      <c r="G227" s="95" t="n"/>
      <c r="H227" s="95" t="n"/>
      <c r="I227" s="95" t="n"/>
      <c r="J227" s="95" t="n"/>
      <c r="K227" s="95" t="n"/>
    </row>
    <row r="228" ht="15.75" customHeight="1" s="230">
      <c r="A228" s="95" t="n"/>
      <c r="B228" s="95" t="n"/>
      <c r="C228" s="95" t="n"/>
      <c r="D228" s="95" t="n"/>
      <c r="E228" s="95" t="n"/>
      <c r="F228" s="95" t="n"/>
      <c r="G228" s="95" t="n"/>
      <c r="H228" s="95" t="n"/>
      <c r="I228" s="95" t="n"/>
      <c r="J228" s="95" t="n"/>
      <c r="K228" s="95" t="n"/>
    </row>
    <row r="229" ht="15.75" customHeight="1" s="230">
      <c r="A229" s="95" t="n"/>
      <c r="B229" s="95" t="n"/>
      <c r="C229" s="95" t="n"/>
      <c r="D229" s="95" t="n"/>
      <c r="E229" s="95" t="n"/>
      <c r="F229" s="95" t="n"/>
      <c r="G229" s="95" t="n"/>
      <c r="H229" s="95" t="n"/>
      <c r="I229" s="95" t="n"/>
      <c r="J229" s="95" t="n"/>
      <c r="K229" s="95" t="n"/>
    </row>
    <row r="230" ht="15.75" customHeight="1" s="230">
      <c r="A230" s="95" t="n"/>
      <c r="B230" s="95" t="n"/>
      <c r="C230" s="95" t="n"/>
      <c r="D230" s="95" t="n"/>
      <c r="E230" s="95" t="n"/>
      <c r="F230" s="95" t="n"/>
      <c r="G230" s="95" t="n"/>
      <c r="H230" s="95" t="n"/>
      <c r="I230" s="95" t="n"/>
      <c r="J230" s="95" t="n"/>
      <c r="K230" s="95" t="n"/>
    </row>
    <row r="231" ht="15.75" customHeight="1" s="230">
      <c r="A231" s="95" t="n"/>
      <c r="B231" s="95" t="n"/>
      <c r="C231" s="95" t="n"/>
      <c r="D231" s="95" t="n"/>
      <c r="E231" s="95" t="n"/>
      <c r="F231" s="95" t="n"/>
      <c r="G231" s="95" t="n"/>
      <c r="H231" s="95" t="n"/>
      <c r="I231" s="95" t="n"/>
      <c r="J231" s="95" t="n"/>
      <c r="K231" s="95" t="n"/>
    </row>
    <row r="232" ht="15.75" customHeight="1" s="230">
      <c r="A232" s="95" t="n"/>
      <c r="B232" s="95" t="n"/>
      <c r="C232" s="95" t="n"/>
      <c r="D232" s="95" t="n"/>
      <c r="E232" s="95" t="n"/>
      <c r="F232" s="95" t="n"/>
      <c r="G232" s="95" t="n"/>
      <c r="H232" s="95" t="n"/>
      <c r="I232" s="95" t="n"/>
      <c r="J232" s="95" t="n"/>
      <c r="K232" s="95" t="n"/>
    </row>
    <row r="233" ht="15.75" customHeight="1" s="230">
      <c r="A233" s="95" t="n"/>
      <c r="B233" s="95" t="n"/>
      <c r="C233" s="95" t="n"/>
      <c r="D233" s="95" t="n"/>
      <c r="E233" s="95" t="n"/>
      <c r="F233" s="95" t="n"/>
      <c r="G233" s="95" t="n"/>
      <c r="H233" s="95" t="n"/>
      <c r="I233" s="95" t="n"/>
      <c r="J233" s="95" t="n"/>
      <c r="K233" s="95" t="n"/>
    </row>
    <row r="234" ht="15.75" customHeight="1" s="230">
      <c r="A234" s="95" t="n"/>
      <c r="B234" s="95" t="n"/>
      <c r="C234" s="95" t="n"/>
      <c r="D234" s="95" t="n"/>
      <c r="E234" s="95" t="n"/>
      <c r="F234" s="95" t="n"/>
      <c r="G234" s="95" t="n"/>
      <c r="H234" s="95" t="n"/>
      <c r="I234" s="95" t="n"/>
      <c r="J234" s="95" t="n"/>
      <c r="K234" s="95" t="n"/>
    </row>
    <row r="235" ht="15.75" customHeight="1" s="230">
      <c r="A235" s="95" t="n"/>
      <c r="B235" s="95" t="n"/>
      <c r="C235" s="95" t="n"/>
      <c r="D235" s="95" t="n"/>
      <c r="E235" s="95" t="n"/>
      <c r="F235" s="95" t="n"/>
      <c r="G235" s="95" t="n"/>
      <c r="H235" s="95" t="n"/>
      <c r="I235" s="95" t="n"/>
      <c r="J235" s="95" t="n"/>
      <c r="K235" s="95" t="n"/>
    </row>
    <row r="236" ht="15.75" customHeight="1" s="230">
      <c r="A236" s="95" t="n"/>
      <c r="B236" s="95" t="n"/>
      <c r="C236" s="95" t="n"/>
      <c r="D236" s="95" t="n"/>
      <c r="E236" s="95" t="n"/>
      <c r="F236" s="95" t="n"/>
      <c r="G236" s="95" t="n"/>
      <c r="H236" s="95" t="n"/>
      <c r="I236" s="95" t="n"/>
      <c r="J236" s="95" t="n"/>
      <c r="K236" s="95" t="n"/>
    </row>
    <row r="237" ht="15.75" customHeight="1" s="230">
      <c r="A237" s="95" t="n"/>
      <c r="B237" s="95" t="n"/>
      <c r="C237" s="95" t="n"/>
      <c r="D237" s="95" t="n"/>
      <c r="E237" s="95" t="n"/>
      <c r="F237" s="95" t="n"/>
      <c r="G237" s="95" t="n"/>
      <c r="H237" s="95" t="n"/>
      <c r="I237" s="95" t="n"/>
      <c r="J237" s="95" t="n"/>
      <c r="K237" s="95" t="n"/>
    </row>
    <row r="238" ht="15.75" customHeight="1" s="230">
      <c r="A238" s="95" t="n"/>
      <c r="B238" s="95" t="n"/>
      <c r="C238" s="95" t="n"/>
      <c r="D238" s="95" t="n"/>
      <c r="E238" s="95" t="n"/>
      <c r="F238" s="95" t="n"/>
      <c r="G238" s="95" t="n"/>
      <c r="H238" s="95" t="n"/>
      <c r="I238" s="95" t="n"/>
      <c r="J238" s="95" t="n"/>
      <c r="K238" s="95" t="n"/>
    </row>
    <row r="239" ht="15.75" customHeight="1" s="230">
      <c r="A239" s="95" t="n"/>
      <c r="B239" s="95" t="n"/>
      <c r="C239" s="95" t="n"/>
      <c r="D239" s="95" t="n"/>
      <c r="E239" s="95" t="n"/>
      <c r="F239" s="95" t="n"/>
      <c r="G239" s="95" t="n"/>
      <c r="H239" s="95" t="n"/>
      <c r="I239" s="95" t="n"/>
      <c r="J239" s="95" t="n"/>
      <c r="K239" s="95" t="n"/>
    </row>
    <row r="240" ht="15.75" customHeight="1" s="230">
      <c r="A240" s="95" t="n"/>
      <c r="B240" s="95" t="n"/>
      <c r="C240" s="95" t="n"/>
      <c r="D240" s="95" t="n"/>
      <c r="E240" s="95" t="n"/>
      <c r="F240" s="95" t="n"/>
      <c r="G240" s="95" t="n"/>
      <c r="H240" s="95" t="n"/>
      <c r="I240" s="95" t="n"/>
      <c r="J240" s="95" t="n"/>
      <c r="K240" s="95" t="n"/>
    </row>
    <row r="241" ht="15.75" customHeight="1" s="230">
      <c r="A241" s="95" t="n"/>
      <c r="B241" s="95" t="n"/>
      <c r="C241" s="95" t="n"/>
      <c r="D241" s="95" t="n"/>
      <c r="E241" s="95" t="n"/>
      <c r="F241" s="95" t="n"/>
      <c r="G241" s="95" t="n"/>
      <c r="H241" s="95" t="n"/>
      <c r="I241" s="95" t="n"/>
      <c r="J241" s="95" t="n"/>
      <c r="K241" s="95" t="n"/>
    </row>
    <row r="242" ht="15.75" customHeight="1" s="230">
      <c r="A242" s="95" t="n"/>
      <c r="B242" s="95" t="n"/>
      <c r="C242" s="95" t="n"/>
      <c r="D242" s="95" t="n"/>
      <c r="E242" s="95" t="n"/>
      <c r="F242" s="95" t="n"/>
      <c r="G242" s="95" t="n"/>
      <c r="H242" s="95" t="n"/>
      <c r="I242" s="95" t="n"/>
      <c r="J242" s="95" t="n"/>
      <c r="K242" s="95" t="n"/>
    </row>
    <row r="243" ht="15.75" customHeight="1" s="230">
      <c r="A243" s="95" t="n"/>
      <c r="B243" s="95" t="n"/>
      <c r="C243" s="95" t="n"/>
      <c r="D243" s="95" t="n"/>
      <c r="E243" s="95" t="n"/>
      <c r="F243" s="95" t="n"/>
      <c r="G243" s="95" t="n"/>
      <c r="H243" s="95" t="n"/>
      <c r="I243" s="95" t="n"/>
      <c r="J243" s="95" t="n"/>
      <c r="K243" s="95" t="n"/>
    </row>
    <row r="244" ht="15.75" customHeight="1" s="230">
      <c r="A244" s="95" t="n"/>
      <c r="B244" s="95" t="n"/>
      <c r="C244" s="95" t="n"/>
      <c r="D244" s="95" t="n"/>
      <c r="E244" s="95" t="n"/>
      <c r="F244" s="95" t="n"/>
      <c r="G244" s="95" t="n"/>
      <c r="H244" s="95" t="n"/>
      <c r="I244" s="95" t="n"/>
      <c r="J244" s="95" t="n"/>
      <c r="K244" s="95" t="n"/>
    </row>
    <row r="245" ht="15.75" customHeight="1" s="230">
      <c r="A245" s="95" t="n"/>
      <c r="B245" s="95" t="n"/>
      <c r="C245" s="95" t="n"/>
      <c r="D245" s="95" t="n"/>
      <c r="E245" s="95" t="n"/>
      <c r="F245" s="95" t="n"/>
      <c r="G245" s="95" t="n"/>
      <c r="H245" s="95" t="n"/>
      <c r="I245" s="95" t="n"/>
      <c r="J245" s="95" t="n"/>
      <c r="K245" s="95" t="n"/>
    </row>
    <row r="246" ht="15.75" customHeight="1" s="230">
      <c r="A246" s="95" t="n"/>
      <c r="B246" s="95" t="n"/>
      <c r="C246" s="95" t="n"/>
      <c r="D246" s="95" t="n"/>
      <c r="E246" s="95" t="n"/>
      <c r="F246" s="95" t="n"/>
      <c r="G246" s="95" t="n"/>
      <c r="H246" s="95" t="n"/>
      <c r="I246" s="95" t="n"/>
      <c r="J246" s="95" t="n"/>
      <c r="K246" s="95" t="n"/>
    </row>
    <row r="247" ht="15.75" customHeight="1" s="230">
      <c r="A247" s="95" t="n"/>
      <c r="B247" s="95" t="n"/>
      <c r="C247" s="95" t="n"/>
      <c r="D247" s="95" t="n"/>
      <c r="E247" s="95" t="n"/>
      <c r="F247" s="95" t="n"/>
      <c r="G247" s="95" t="n"/>
      <c r="H247" s="95" t="n"/>
      <c r="I247" s="95" t="n"/>
      <c r="J247" s="95" t="n"/>
      <c r="K247" s="95" t="n"/>
    </row>
    <row r="248" ht="15.75" customHeight="1" s="230">
      <c r="A248" s="95" t="n"/>
      <c r="B248" s="95" t="n"/>
      <c r="C248" s="95" t="n"/>
      <c r="D248" s="95" t="n"/>
      <c r="E248" s="95" t="n"/>
      <c r="F248" s="95" t="n"/>
      <c r="G248" s="95" t="n"/>
      <c r="H248" s="95" t="n"/>
      <c r="I248" s="95" t="n"/>
      <c r="J248" s="95" t="n"/>
      <c r="K248" s="95" t="n"/>
    </row>
    <row r="249" ht="15.75" customHeight="1" s="230">
      <c r="A249" s="95" t="n"/>
      <c r="B249" s="95" t="n"/>
      <c r="C249" s="95" t="n"/>
      <c r="D249" s="95" t="n"/>
      <c r="E249" s="95" t="n"/>
      <c r="F249" s="95" t="n"/>
      <c r="G249" s="95" t="n"/>
      <c r="H249" s="95" t="n"/>
      <c r="I249" s="95" t="n"/>
      <c r="J249" s="95" t="n"/>
      <c r="K249" s="95" t="n"/>
    </row>
    <row r="250" ht="15.75" customHeight="1" s="230">
      <c r="A250" s="95" t="n"/>
      <c r="B250" s="95" t="n"/>
      <c r="C250" s="95" t="n"/>
      <c r="D250" s="95" t="n"/>
      <c r="E250" s="95" t="n"/>
      <c r="F250" s="95" t="n"/>
      <c r="G250" s="95" t="n"/>
      <c r="H250" s="95" t="n"/>
      <c r="I250" s="95" t="n"/>
      <c r="J250" s="95" t="n"/>
      <c r="K250" s="95" t="n"/>
    </row>
    <row r="251" ht="15.75" customHeight="1" s="230">
      <c r="A251" s="95" t="n"/>
      <c r="B251" s="95" t="n"/>
      <c r="C251" s="95" t="n"/>
      <c r="D251" s="95" t="n"/>
      <c r="E251" s="95" t="n"/>
      <c r="F251" s="95" t="n"/>
      <c r="G251" s="95" t="n"/>
      <c r="H251" s="95" t="n"/>
      <c r="I251" s="95" t="n"/>
      <c r="J251" s="95" t="n"/>
      <c r="K251" s="95" t="n"/>
    </row>
    <row r="252" ht="15.75" customHeight="1" s="230">
      <c r="A252" s="95" t="n"/>
      <c r="B252" s="95" t="n"/>
      <c r="C252" s="95" t="n"/>
      <c r="D252" s="95" t="n"/>
      <c r="E252" s="95" t="n"/>
      <c r="F252" s="95" t="n"/>
      <c r="G252" s="95" t="n"/>
      <c r="H252" s="95" t="n"/>
      <c r="I252" s="95" t="n"/>
      <c r="J252" s="95" t="n"/>
      <c r="K252" s="95" t="n"/>
    </row>
    <row r="253" ht="15.75" customHeight="1" s="230">
      <c r="A253" s="95" t="n"/>
      <c r="B253" s="95" t="n"/>
      <c r="C253" s="95" t="n"/>
      <c r="D253" s="95" t="n"/>
      <c r="E253" s="95" t="n"/>
      <c r="F253" s="95" t="n"/>
      <c r="G253" s="95" t="n"/>
      <c r="H253" s="95" t="n"/>
      <c r="I253" s="95" t="n"/>
      <c r="J253" s="95" t="n"/>
      <c r="K253" s="95" t="n"/>
    </row>
    <row r="254" ht="15.75" customHeight="1" s="230">
      <c r="A254" s="95" t="n"/>
      <c r="B254" s="95" t="n"/>
      <c r="C254" s="95" t="n"/>
      <c r="D254" s="95" t="n"/>
      <c r="E254" s="95" t="n"/>
      <c r="F254" s="95" t="n"/>
      <c r="G254" s="95" t="n"/>
      <c r="H254" s="95" t="n"/>
      <c r="I254" s="95" t="n"/>
      <c r="J254" s="95" t="n"/>
      <c r="K254" s="95" t="n"/>
    </row>
    <row r="255" ht="15.75" customHeight="1" s="230">
      <c r="A255" s="95" t="n"/>
      <c r="B255" s="95" t="n"/>
      <c r="C255" s="95" t="n"/>
      <c r="D255" s="95" t="n"/>
      <c r="E255" s="95" t="n"/>
      <c r="F255" s="95" t="n"/>
      <c r="G255" s="95" t="n"/>
      <c r="H255" s="95" t="n"/>
      <c r="I255" s="95" t="n"/>
      <c r="J255" s="95" t="n"/>
      <c r="K255" s="95" t="n"/>
    </row>
    <row r="256" ht="15.75" customHeight="1" s="230">
      <c r="A256" s="95" t="n"/>
      <c r="B256" s="95" t="n"/>
      <c r="C256" s="95" t="n"/>
      <c r="D256" s="95" t="n"/>
      <c r="E256" s="95" t="n"/>
      <c r="F256" s="95" t="n"/>
      <c r="G256" s="95" t="n"/>
      <c r="H256" s="95" t="n"/>
      <c r="I256" s="95" t="n"/>
      <c r="J256" s="95" t="n"/>
      <c r="K256" s="95" t="n"/>
    </row>
    <row r="257" ht="15.75" customHeight="1" s="230">
      <c r="A257" s="95" t="n"/>
      <c r="B257" s="95" t="n"/>
      <c r="C257" s="95" t="n"/>
      <c r="D257" s="95" t="n"/>
      <c r="E257" s="95" t="n"/>
      <c r="F257" s="95" t="n"/>
      <c r="G257" s="95" t="n"/>
      <c r="H257" s="95" t="n"/>
      <c r="I257" s="95" t="n"/>
      <c r="J257" s="95" t="n"/>
      <c r="K257" s="95" t="n"/>
    </row>
    <row r="258" ht="15.75" customHeight="1" s="230">
      <c r="A258" s="95" t="n"/>
      <c r="B258" s="95" t="n"/>
      <c r="C258" s="95" t="n"/>
      <c r="D258" s="95" t="n"/>
      <c r="E258" s="95" t="n"/>
      <c r="F258" s="95" t="n"/>
      <c r="G258" s="95" t="n"/>
      <c r="H258" s="95" t="n"/>
      <c r="I258" s="95" t="n"/>
      <c r="J258" s="95" t="n"/>
      <c r="K258" s="95" t="n"/>
    </row>
    <row r="259" ht="15.75" customHeight="1" s="230">
      <c r="A259" s="95" t="n"/>
      <c r="B259" s="95" t="n"/>
      <c r="C259" s="95" t="n"/>
      <c r="D259" s="95" t="n"/>
      <c r="E259" s="95" t="n"/>
      <c r="F259" s="95" t="n"/>
      <c r="G259" s="95" t="n"/>
      <c r="H259" s="95" t="n"/>
      <c r="I259" s="95" t="n"/>
      <c r="J259" s="95" t="n"/>
      <c r="K259" s="95" t="n"/>
    </row>
    <row r="260" ht="15.75" customHeight="1" s="230">
      <c r="A260" s="95" t="n"/>
      <c r="B260" s="95" t="n"/>
      <c r="C260" s="95" t="n"/>
      <c r="D260" s="95" t="n"/>
      <c r="E260" s="95" t="n"/>
      <c r="F260" s="95" t="n"/>
      <c r="G260" s="95" t="n"/>
      <c r="H260" s="95" t="n"/>
      <c r="I260" s="95" t="n"/>
      <c r="J260" s="95" t="n"/>
      <c r="K260" s="95" t="n"/>
    </row>
    <row r="261" ht="15.75" customHeight="1" s="230">
      <c r="A261" s="95" t="n"/>
      <c r="B261" s="95" t="n"/>
      <c r="C261" s="95" t="n"/>
      <c r="D261" s="95" t="n"/>
      <c r="E261" s="95" t="n"/>
      <c r="F261" s="95" t="n"/>
      <c r="G261" s="95" t="n"/>
      <c r="H261" s="95" t="n"/>
      <c r="I261" s="95" t="n"/>
      <c r="J261" s="95" t="n"/>
      <c r="K261" s="95" t="n"/>
    </row>
    <row r="262" ht="15.75" customHeight="1" s="230">
      <c r="A262" s="95" t="n"/>
      <c r="B262" s="95" t="n"/>
      <c r="C262" s="95" t="n"/>
      <c r="D262" s="95" t="n"/>
      <c r="E262" s="95" t="n"/>
      <c r="F262" s="95" t="n"/>
      <c r="G262" s="95" t="n"/>
      <c r="H262" s="95" t="n"/>
      <c r="I262" s="95" t="n"/>
      <c r="J262" s="95" t="n"/>
      <c r="K262" s="95" t="n"/>
    </row>
    <row r="263" ht="15.75" customHeight="1" s="230">
      <c r="A263" s="95" t="n"/>
      <c r="B263" s="95" t="n"/>
      <c r="C263" s="95" t="n"/>
      <c r="D263" s="95" t="n"/>
      <c r="E263" s="95" t="n"/>
      <c r="F263" s="95" t="n"/>
      <c r="G263" s="95" t="n"/>
      <c r="H263" s="95" t="n"/>
      <c r="I263" s="95" t="n"/>
      <c r="J263" s="95" t="n"/>
      <c r="K263" s="95" t="n"/>
    </row>
    <row r="264" ht="15.75" customHeight="1" s="230">
      <c r="A264" s="95" t="n"/>
      <c r="B264" s="95" t="n"/>
      <c r="C264" s="95" t="n"/>
      <c r="D264" s="95" t="n"/>
      <c r="E264" s="95" t="n"/>
      <c r="F264" s="95" t="n"/>
      <c r="G264" s="95" t="n"/>
      <c r="H264" s="95" t="n"/>
      <c r="I264" s="95" t="n"/>
      <c r="J264" s="95" t="n"/>
      <c r="K264" s="95" t="n"/>
    </row>
    <row r="265" ht="15.75" customHeight="1" s="230">
      <c r="A265" s="95" t="n"/>
      <c r="B265" s="95" t="n"/>
      <c r="C265" s="95" t="n"/>
      <c r="D265" s="95" t="n"/>
      <c r="E265" s="95" t="n"/>
      <c r="F265" s="95" t="n"/>
      <c r="G265" s="95" t="n"/>
      <c r="H265" s="95" t="n"/>
      <c r="I265" s="95" t="n"/>
      <c r="J265" s="95" t="n"/>
      <c r="K265" s="95" t="n"/>
    </row>
    <row r="266" ht="15.75" customHeight="1" s="230">
      <c r="A266" s="95" t="n"/>
      <c r="B266" s="95" t="n"/>
      <c r="C266" s="95" t="n"/>
      <c r="D266" s="95" t="n"/>
      <c r="E266" s="95" t="n"/>
      <c r="F266" s="95" t="n"/>
      <c r="G266" s="95" t="n"/>
      <c r="H266" s="95" t="n"/>
      <c r="I266" s="95" t="n"/>
      <c r="J266" s="95" t="n"/>
      <c r="K266" s="95" t="n"/>
    </row>
    <row r="267" ht="15.75" customHeight="1" s="230">
      <c r="A267" s="95" t="n"/>
      <c r="B267" s="95" t="n"/>
      <c r="C267" s="95" t="n"/>
      <c r="D267" s="95" t="n"/>
      <c r="E267" s="95" t="n"/>
      <c r="F267" s="95" t="n"/>
      <c r="G267" s="95" t="n"/>
      <c r="H267" s="95" t="n"/>
      <c r="I267" s="95" t="n"/>
      <c r="J267" s="95" t="n"/>
      <c r="K267" s="95" t="n"/>
    </row>
    <row r="268" ht="15.75" customHeight="1" s="230">
      <c r="A268" s="95" t="n"/>
      <c r="B268" s="95" t="n"/>
      <c r="C268" s="95" t="n"/>
      <c r="D268" s="95" t="n"/>
      <c r="E268" s="95" t="n"/>
      <c r="F268" s="95" t="n"/>
      <c r="G268" s="95" t="n"/>
      <c r="H268" s="95" t="n"/>
      <c r="I268" s="95" t="n"/>
      <c r="J268" s="95" t="n"/>
      <c r="K268" s="95" t="n"/>
    </row>
    <row r="269" ht="15.75" customHeight="1" s="230">
      <c r="A269" s="95" t="n"/>
      <c r="B269" s="95" t="n"/>
      <c r="C269" s="95" t="n"/>
      <c r="D269" s="95" t="n"/>
      <c r="E269" s="95" t="n"/>
      <c r="F269" s="95" t="n"/>
      <c r="G269" s="95" t="n"/>
      <c r="H269" s="95" t="n"/>
      <c r="I269" s="95" t="n"/>
      <c r="J269" s="95" t="n"/>
      <c r="K269" s="95" t="n"/>
    </row>
    <row r="270" ht="15.75" customHeight="1" s="230">
      <c r="A270" s="95" t="n"/>
      <c r="B270" s="95" t="n"/>
      <c r="C270" s="95" t="n"/>
      <c r="D270" s="95" t="n"/>
      <c r="E270" s="95" t="n"/>
      <c r="F270" s="95" t="n"/>
      <c r="G270" s="95" t="n"/>
      <c r="H270" s="95" t="n"/>
      <c r="I270" s="95" t="n"/>
      <c r="J270" s="95" t="n"/>
      <c r="K270" s="95" t="n"/>
    </row>
    <row r="271" ht="15.75" customHeight="1" s="230">
      <c r="A271" s="95" t="n"/>
      <c r="B271" s="95" t="n"/>
      <c r="C271" s="95" t="n"/>
      <c r="D271" s="95" t="n"/>
      <c r="E271" s="95" t="n"/>
      <c r="F271" s="95" t="n"/>
      <c r="G271" s="95" t="n"/>
      <c r="H271" s="95" t="n"/>
      <c r="I271" s="95" t="n"/>
      <c r="J271" s="95" t="n"/>
      <c r="K271" s="95" t="n"/>
    </row>
    <row r="272" ht="15.75" customHeight="1" s="230">
      <c r="A272" s="95" t="n"/>
      <c r="B272" s="95" t="n"/>
      <c r="C272" s="95" t="n"/>
      <c r="D272" s="95" t="n"/>
      <c r="E272" s="95" t="n"/>
      <c r="F272" s="95" t="n"/>
      <c r="G272" s="95" t="n"/>
      <c r="H272" s="95" t="n"/>
      <c r="I272" s="95" t="n"/>
      <c r="J272" s="95" t="n"/>
      <c r="K272" s="95" t="n"/>
    </row>
    <row r="273" ht="15.75" customHeight="1" s="230">
      <c r="A273" s="95" t="n"/>
      <c r="B273" s="95" t="n"/>
      <c r="C273" s="95" t="n"/>
      <c r="D273" s="95" t="n"/>
      <c r="E273" s="95" t="n"/>
      <c r="F273" s="95" t="n"/>
      <c r="G273" s="95" t="n"/>
      <c r="H273" s="95" t="n"/>
      <c r="I273" s="95" t="n"/>
      <c r="J273" s="95" t="n"/>
      <c r="K273" s="95" t="n"/>
    </row>
    <row r="274" ht="15.75" customHeight="1" s="230">
      <c r="A274" s="95" t="n"/>
      <c r="B274" s="95" t="n"/>
      <c r="C274" s="95" t="n"/>
      <c r="D274" s="95" t="n"/>
      <c r="E274" s="95" t="n"/>
      <c r="F274" s="95" t="n"/>
      <c r="G274" s="95" t="n"/>
      <c r="H274" s="95" t="n"/>
      <c r="I274" s="95" t="n"/>
      <c r="J274" s="95" t="n"/>
      <c r="K274" s="95" t="n"/>
    </row>
    <row r="275" ht="15.75" customHeight="1" s="230">
      <c r="A275" s="95" t="n"/>
      <c r="B275" s="95" t="n"/>
      <c r="C275" s="95" t="n"/>
      <c r="D275" s="95" t="n"/>
      <c r="E275" s="95" t="n"/>
      <c r="F275" s="95" t="n"/>
      <c r="G275" s="95" t="n"/>
      <c r="H275" s="95" t="n"/>
      <c r="I275" s="95" t="n"/>
      <c r="J275" s="95" t="n"/>
      <c r="K275" s="95" t="n"/>
    </row>
    <row r="276" ht="15.75" customHeight="1" s="230">
      <c r="A276" s="95" t="n"/>
      <c r="B276" s="95" t="n"/>
      <c r="C276" s="95" t="n"/>
      <c r="D276" s="95" t="n"/>
      <c r="E276" s="95" t="n"/>
      <c r="F276" s="95" t="n"/>
      <c r="G276" s="95" t="n"/>
      <c r="H276" s="95" t="n"/>
      <c r="I276" s="95" t="n"/>
      <c r="J276" s="95" t="n"/>
      <c r="K276" s="95" t="n"/>
    </row>
    <row r="277" ht="15.75" customHeight="1" s="230">
      <c r="A277" s="95" t="n"/>
      <c r="B277" s="95" t="n"/>
      <c r="C277" s="95" t="n"/>
      <c r="D277" s="95" t="n"/>
      <c r="E277" s="95" t="n"/>
      <c r="F277" s="95" t="n"/>
      <c r="G277" s="95" t="n"/>
      <c r="H277" s="95" t="n"/>
      <c r="I277" s="95" t="n"/>
      <c r="J277" s="95" t="n"/>
      <c r="K277" s="95" t="n"/>
    </row>
    <row r="278" ht="15.75" customHeight="1" s="230">
      <c r="A278" s="95" t="n"/>
      <c r="B278" s="95" t="n"/>
      <c r="C278" s="95" t="n"/>
      <c r="D278" s="95" t="n"/>
      <c r="E278" s="95" t="n"/>
      <c r="F278" s="95" t="n"/>
      <c r="G278" s="95" t="n"/>
      <c r="H278" s="95" t="n"/>
      <c r="I278" s="95" t="n"/>
      <c r="J278" s="95" t="n"/>
      <c r="K278" s="95" t="n"/>
    </row>
    <row r="279" ht="15.75" customHeight="1" s="230">
      <c r="A279" s="95" t="n"/>
      <c r="B279" s="95" t="n"/>
      <c r="C279" s="95" t="n"/>
      <c r="D279" s="95" t="n"/>
      <c r="E279" s="95" t="n"/>
      <c r="F279" s="95" t="n"/>
      <c r="G279" s="95" t="n"/>
      <c r="H279" s="95" t="n"/>
      <c r="I279" s="95" t="n"/>
      <c r="J279" s="95" t="n"/>
      <c r="K279" s="95" t="n"/>
    </row>
    <row r="280" ht="15.75" customHeight="1" s="230">
      <c r="A280" s="95" t="n"/>
      <c r="B280" s="95" t="n"/>
      <c r="C280" s="95" t="n"/>
      <c r="D280" s="95" t="n"/>
      <c r="E280" s="95" t="n"/>
      <c r="F280" s="95" t="n"/>
      <c r="G280" s="95" t="n"/>
      <c r="H280" s="95" t="n"/>
      <c r="I280" s="95" t="n"/>
      <c r="J280" s="95" t="n"/>
      <c r="K280" s="95" t="n"/>
    </row>
    <row r="281" ht="15.75" customHeight="1" s="230">
      <c r="A281" s="95" t="n"/>
      <c r="B281" s="95" t="n"/>
      <c r="C281" s="95" t="n"/>
      <c r="D281" s="95" t="n"/>
      <c r="E281" s="95" t="n"/>
      <c r="F281" s="95" t="n"/>
      <c r="G281" s="95" t="n"/>
      <c r="H281" s="95" t="n"/>
      <c r="I281" s="95" t="n"/>
      <c r="J281" s="95" t="n"/>
      <c r="K281" s="95" t="n"/>
    </row>
    <row r="282" ht="15.75" customHeight="1" s="230">
      <c r="A282" s="95" t="n"/>
      <c r="B282" s="95" t="n"/>
      <c r="C282" s="95" t="n"/>
      <c r="D282" s="95" t="n"/>
      <c r="E282" s="95" t="n"/>
      <c r="F282" s="95" t="n"/>
      <c r="G282" s="95" t="n"/>
      <c r="H282" s="95" t="n"/>
      <c r="I282" s="95" t="n"/>
      <c r="J282" s="95" t="n"/>
      <c r="K282" s="95" t="n"/>
    </row>
    <row r="283" ht="15.75" customHeight="1" s="230">
      <c r="A283" s="95" t="n"/>
      <c r="B283" s="95" t="n"/>
      <c r="C283" s="95" t="n"/>
      <c r="D283" s="95" t="n"/>
      <c r="E283" s="95" t="n"/>
      <c r="F283" s="95" t="n"/>
      <c r="G283" s="95" t="n"/>
      <c r="H283" s="95" t="n"/>
      <c r="I283" s="95" t="n"/>
      <c r="J283" s="95" t="n"/>
      <c r="K283" s="95" t="n"/>
    </row>
    <row r="284" ht="15.75" customHeight="1" s="230">
      <c r="A284" s="95" t="n"/>
      <c r="B284" s="95" t="n"/>
      <c r="C284" s="95" t="n"/>
      <c r="D284" s="95" t="n"/>
      <c r="E284" s="95" t="n"/>
      <c r="F284" s="95" t="n"/>
      <c r="G284" s="95" t="n"/>
      <c r="H284" s="95" t="n"/>
      <c r="I284" s="95" t="n"/>
      <c r="J284" s="95" t="n"/>
      <c r="K284" s="95" t="n"/>
    </row>
    <row r="285" ht="15.75" customHeight="1" s="230">
      <c r="A285" s="95" t="n"/>
      <c r="B285" s="95" t="n"/>
      <c r="C285" s="95" t="n"/>
      <c r="D285" s="95" t="n"/>
      <c r="E285" s="95" t="n"/>
      <c r="F285" s="95" t="n"/>
      <c r="G285" s="95" t="n"/>
      <c r="H285" s="95" t="n"/>
      <c r="I285" s="95" t="n"/>
      <c r="J285" s="95" t="n"/>
      <c r="K285" s="95" t="n"/>
    </row>
    <row r="286" ht="15.75" customHeight="1" s="230">
      <c r="A286" s="95" t="n"/>
      <c r="B286" s="95" t="n"/>
      <c r="C286" s="95" t="n"/>
      <c r="D286" s="95" t="n"/>
      <c r="E286" s="95" t="n"/>
      <c r="F286" s="95" t="n"/>
      <c r="G286" s="95" t="n"/>
      <c r="H286" s="95" t="n"/>
      <c r="I286" s="95" t="n"/>
      <c r="J286" s="95" t="n"/>
      <c r="K286" s="95" t="n"/>
    </row>
    <row r="287" ht="15.75" customHeight="1" s="230">
      <c r="A287" s="95" t="n"/>
      <c r="B287" s="95" t="n"/>
      <c r="C287" s="95" t="n"/>
      <c r="D287" s="95" t="n"/>
      <c r="E287" s="95" t="n"/>
      <c r="F287" s="95" t="n"/>
      <c r="G287" s="95" t="n"/>
      <c r="H287" s="95" t="n"/>
      <c r="I287" s="95" t="n"/>
      <c r="J287" s="95" t="n"/>
      <c r="K287" s="95" t="n"/>
    </row>
    <row r="288" ht="15.75" customHeight="1" s="230">
      <c r="A288" s="95" t="n"/>
      <c r="B288" s="95" t="n"/>
      <c r="C288" s="95" t="n"/>
      <c r="D288" s="95" t="n"/>
      <c r="E288" s="95" t="n"/>
      <c r="F288" s="95" t="n"/>
      <c r="G288" s="95" t="n"/>
      <c r="H288" s="95" t="n"/>
      <c r="I288" s="95" t="n"/>
      <c r="J288" s="95" t="n"/>
      <c r="K288" s="95" t="n"/>
    </row>
    <row r="289" ht="15.75" customHeight="1" s="230">
      <c r="A289" s="95" t="n"/>
      <c r="B289" s="95" t="n"/>
      <c r="C289" s="95" t="n"/>
      <c r="D289" s="95" t="n"/>
      <c r="E289" s="95" t="n"/>
      <c r="F289" s="95" t="n"/>
      <c r="G289" s="95" t="n"/>
      <c r="H289" s="95" t="n"/>
      <c r="I289" s="95" t="n"/>
      <c r="J289" s="95" t="n"/>
      <c r="K289" s="95" t="n"/>
    </row>
    <row r="290" ht="15.75" customHeight="1" s="230">
      <c r="A290" s="95" t="n"/>
      <c r="B290" s="95" t="n"/>
      <c r="C290" s="95" t="n"/>
      <c r="D290" s="95" t="n"/>
      <c r="E290" s="95" t="n"/>
      <c r="F290" s="95" t="n"/>
      <c r="G290" s="95" t="n"/>
      <c r="H290" s="95" t="n"/>
      <c r="I290" s="95" t="n"/>
      <c r="J290" s="95" t="n"/>
      <c r="K290" s="95" t="n"/>
    </row>
    <row r="291" ht="15.75" customHeight="1" s="230">
      <c r="A291" s="95" t="n"/>
      <c r="B291" s="95" t="n"/>
      <c r="C291" s="95" t="n"/>
      <c r="D291" s="95" t="n"/>
      <c r="E291" s="95" t="n"/>
      <c r="F291" s="95" t="n"/>
      <c r="G291" s="95" t="n"/>
      <c r="H291" s="95" t="n"/>
      <c r="I291" s="95" t="n"/>
      <c r="J291" s="95" t="n"/>
      <c r="K291" s="95" t="n"/>
    </row>
    <row r="292" ht="15.75" customHeight="1" s="230">
      <c r="A292" s="95" t="n"/>
      <c r="B292" s="95" t="n"/>
      <c r="C292" s="95" t="n"/>
      <c r="D292" s="95" t="n"/>
      <c r="E292" s="95" t="n"/>
      <c r="F292" s="95" t="n"/>
      <c r="G292" s="95" t="n"/>
      <c r="H292" s="95" t="n"/>
      <c r="I292" s="95" t="n"/>
      <c r="J292" s="95" t="n"/>
      <c r="K292" s="95" t="n"/>
    </row>
    <row r="293" ht="15.75" customHeight="1" s="230">
      <c r="A293" s="95" t="n"/>
      <c r="B293" s="95" t="n"/>
      <c r="C293" s="95" t="n"/>
      <c r="D293" s="95" t="n"/>
      <c r="E293" s="95" t="n"/>
      <c r="F293" s="95" t="n"/>
      <c r="G293" s="95" t="n"/>
      <c r="H293" s="95" t="n"/>
      <c r="I293" s="95" t="n"/>
      <c r="J293" s="95" t="n"/>
      <c r="K293" s="95" t="n"/>
    </row>
    <row r="294" ht="15.75" customHeight="1" s="230">
      <c r="A294" s="95" t="n"/>
      <c r="B294" s="95" t="n"/>
      <c r="C294" s="95" t="n"/>
      <c r="D294" s="95" t="n"/>
      <c r="E294" s="95" t="n"/>
      <c r="F294" s="95" t="n"/>
      <c r="G294" s="95" t="n"/>
      <c r="H294" s="95" t="n"/>
      <c r="I294" s="95" t="n"/>
      <c r="J294" s="95" t="n"/>
      <c r="K294" s="95" t="n"/>
    </row>
    <row r="295" ht="15.75" customHeight="1" s="230">
      <c r="A295" s="95" t="n"/>
      <c r="B295" s="95" t="n"/>
      <c r="C295" s="95" t="n"/>
      <c r="D295" s="95" t="n"/>
      <c r="E295" s="95" t="n"/>
      <c r="F295" s="95" t="n"/>
      <c r="G295" s="95" t="n"/>
      <c r="H295" s="95" t="n"/>
      <c r="I295" s="95" t="n"/>
      <c r="J295" s="95" t="n"/>
      <c r="K295" s="95" t="n"/>
    </row>
    <row r="296" ht="15.75" customHeight="1" s="230">
      <c r="A296" s="95" t="n"/>
      <c r="B296" s="95" t="n"/>
      <c r="C296" s="95" t="n"/>
      <c r="D296" s="95" t="n"/>
      <c r="E296" s="95" t="n"/>
      <c r="F296" s="95" t="n"/>
      <c r="G296" s="95" t="n"/>
      <c r="H296" s="95" t="n"/>
      <c r="I296" s="95" t="n"/>
      <c r="J296" s="95" t="n"/>
      <c r="K296" s="95" t="n"/>
    </row>
    <row r="297" ht="15.75" customHeight="1" s="230">
      <c r="A297" s="95" t="n"/>
      <c r="B297" s="95" t="n"/>
      <c r="C297" s="95" t="n"/>
      <c r="D297" s="95" t="n"/>
      <c r="E297" s="95" t="n"/>
      <c r="F297" s="95" t="n"/>
      <c r="G297" s="95" t="n"/>
      <c r="H297" s="95" t="n"/>
      <c r="I297" s="95" t="n"/>
      <c r="J297" s="95" t="n"/>
      <c r="K297" s="95" t="n"/>
    </row>
    <row r="298" ht="15.75" customHeight="1" s="230">
      <c r="A298" s="95" t="n"/>
      <c r="B298" s="95" t="n"/>
      <c r="C298" s="95" t="n"/>
      <c r="D298" s="95" t="n"/>
      <c r="E298" s="95" t="n"/>
      <c r="F298" s="95" t="n"/>
      <c r="G298" s="95" t="n"/>
      <c r="H298" s="95" t="n"/>
      <c r="I298" s="95" t="n"/>
      <c r="J298" s="95" t="n"/>
      <c r="K298" s="95" t="n"/>
    </row>
    <row r="299" ht="15.75" customHeight="1" s="230">
      <c r="A299" s="95" t="n"/>
      <c r="B299" s="95" t="n"/>
      <c r="C299" s="95" t="n"/>
      <c r="D299" s="95" t="n"/>
      <c r="E299" s="95" t="n"/>
      <c r="F299" s="95" t="n"/>
      <c r="G299" s="95" t="n"/>
      <c r="H299" s="95" t="n"/>
      <c r="I299" s="95" t="n"/>
      <c r="J299" s="95" t="n"/>
      <c r="K299" s="95" t="n"/>
    </row>
    <row r="300" ht="15.75" customHeight="1" s="230">
      <c r="A300" s="95" t="n"/>
      <c r="B300" s="95" t="n"/>
      <c r="C300" s="95" t="n"/>
      <c r="D300" s="95" t="n"/>
      <c r="E300" s="95" t="n"/>
      <c r="F300" s="95" t="n"/>
      <c r="G300" s="95" t="n"/>
      <c r="H300" s="95" t="n"/>
      <c r="I300" s="95" t="n"/>
      <c r="J300" s="95" t="n"/>
      <c r="K300" s="95" t="n"/>
    </row>
    <row r="301" ht="15.75" customHeight="1" s="230">
      <c r="A301" s="95" t="n"/>
      <c r="B301" s="95" t="n"/>
      <c r="C301" s="95" t="n"/>
      <c r="D301" s="95" t="n"/>
      <c r="E301" s="95" t="n"/>
      <c r="F301" s="95" t="n"/>
      <c r="G301" s="95" t="n"/>
      <c r="H301" s="95" t="n"/>
      <c r="I301" s="95" t="n"/>
      <c r="J301" s="95" t="n"/>
      <c r="K301" s="95" t="n"/>
    </row>
    <row r="302" ht="15.75" customHeight="1" s="230">
      <c r="A302" s="95" t="n"/>
      <c r="B302" s="95" t="n"/>
      <c r="C302" s="95" t="n"/>
      <c r="D302" s="95" t="n"/>
      <c r="E302" s="95" t="n"/>
      <c r="F302" s="95" t="n"/>
      <c r="G302" s="95" t="n"/>
      <c r="H302" s="95" t="n"/>
      <c r="I302" s="95" t="n"/>
      <c r="J302" s="95" t="n"/>
      <c r="K302" s="95" t="n"/>
    </row>
    <row r="303" ht="15.75" customHeight="1" s="230">
      <c r="A303" s="95" t="n"/>
      <c r="B303" s="95" t="n"/>
      <c r="C303" s="95" t="n"/>
      <c r="D303" s="95" t="n"/>
      <c r="E303" s="95" t="n"/>
      <c r="F303" s="95" t="n"/>
      <c r="G303" s="95" t="n"/>
      <c r="H303" s="95" t="n"/>
      <c r="I303" s="95" t="n"/>
      <c r="J303" s="95" t="n"/>
      <c r="K303" s="95" t="n"/>
    </row>
    <row r="304" ht="15.75" customHeight="1" s="230">
      <c r="A304" s="95" t="n"/>
      <c r="B304" s="95" t="n"/>
      <c r="C304" s="95" t="n"/>
      <c r="D304" s="95" t="n"/>
      <c r="E304" s="95" t="n"/>
      <c r="F304" s="95" t="n"/>
      <c r="G304" s="95" t="n"/>
      <c r="H304" s="95" t="n"/>
      <c r="I304" s="95" t="n"/>
      <c r="J304" s="95" t="n"/>
      <c r="K304" s="95" t="n"/>
    </row>
    <row r="305" ht="15.75" customHeight="1" s="230">
      <c r="A305" s="95" t="n"/>
      <c r="B305" s="95" t="n"/>
      <c r="C305" s="95" t="n"/>
      <c r="D305" s="95" t="n"/>
      <c r="E305" s="95" t="n"/>
      <c r="F305" s="95" t="n"/>
      <c r="G305" s="95" t="n"/>
      <c r="H305" s="95" t="n"/>
      <c r="I305" s="95" t="n"/>
      <c r="J305" s="95" t="n"/>
      <c r="K305" s="95" t="n"/>
    </row>
    <row r="306" ht="15.75" customHeight="1" s="230">
      <c r="A306" s="95" t="n"/>
      <c r="B306" s="95" t="n"/>
      <c r="C306" s="95" t="n"/>
      <c r="D306" s="95" t="n"/>
      <c r="E306" s="95" t="n"/>
      <c r="F306" s="95" t="n"/>
      <c r="G306" s="95" t="n"/>
      <c r="H306" s="95" t="n"/>
      <c r="I306" s="95" t="n"/>
      <c r="J306" s="95" t="n"/>
      <c r="K306" s="95" t="n"/>
    </row>
    <row r="307" ht="15.75" customHeight="1" s="230">
      <c r="A307" s="95" t="n"/>
      <c r="B307" s="95" t="n"/>
      <c r="C307" s="95" t="n"/>
      <c r="D307" s="95" t="n"/>
      <c r="E307" s="95" t="n"/>
      <c r="F307" s="95" t="n"/>
      <c r="G307" s="95" t="n"/>
      <c r="H307" s="95" t="n"/>
      <c r="I307" s="95" t="n"/>
      <c r="J307" s="95" t="n"/>
      <c r="K307" s="95" t="n"/>
    </row>
    <row r="308" ht="15.75" customHeight="1" s="230">
      <c r="A308" s="95" t="n"/>
      <c r="B308" s="95" t="n"/>
      <c r="C308" s="95" t="n"/>
      <c r="D308" s="95" t="n"/>
      <c r="E308" s="95" t="n"/>
      <c r="F308" s="95" t="n"/>
      <c r="G308" s="95" t="n"/>
      <c r="H308" s="95" t="n"/>
      <c r="I308" s="95" t="n"/>
      <c r="J308" s="95" t="n"/>
      <c r="K308" s="95" t="n"/>
    </row>
    <row r="309" ht="15.75" customHeight="1" s="230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</row>
    <row r="310" ht="15.75" customHeight="1" s="23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</row>
    <row r="311" ht="15.75" customHeight="1" s="230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</row>
    <row r="312" ht="15.75" customHeight="1" s="230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</row>
    <row r="313" ht="15.75" customHeight="1" s="230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</row>
    <row r="314" ht="15.75" customHeight="1" s="230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</row>
    <row r="315" ht="15.75" customHeight="1" s="230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</row>
    <row r="316" ht="15.75" customHeight="1" s="230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</row>
    <row r="317" ht="15.75" customHeight="1" s="230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</row>
    <row r="318" ht="15.75" customHeight="1" s="230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</row>
    <row r="319" ht="15.75" customHeight="1" s="230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</row>
    <row r="320" ht="15.75" customHeight="1" s="23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</row>
    <row r="321" ht="15.75" customHeight="1" s="230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</row>
    <row r="322" ht="15.75" customHeight="1" s="230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</row>
    <row r="323" ht="15.75" customHeight="1" s="230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</row>
    <row r="324" ht="15.75" customHeight="1" s="230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</row>
    <row r="325" ht="15.75" customHeight="1" s="230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</row>
    <row r="326" ht="15.75" customHeight="1" s="230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</row>
    <row r="327" ht="15.75" customHeight="1" s="230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</row>
    <row r="328" ht="15.75" customHeight="1" s="230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</row>
    <row r="329" ht="15.75" customHeight="1" s="230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</row>
    <row r="330" ht="15.75" customHeight="1" s="2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</row>
    <row r="331" ht="15.75" customHeight="1" s="230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</row>
    <row r="332" ht="15.75" customHeight="1" s="230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</row>
    <row r="333" ht="15.75" customHeight="1" s="230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</row>
    <row r="334" ht="15.75" customHeight="1" s="230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</row>
    <row r="335" ht="15.75" customHeight="1" s="230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</row>
    <row r="336" ht="15.75" customHeight="1" s="230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</row>
    <row r="337" ht="15.75" customHeight="1" s="230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</row>
    <row r="338" ht="15.75" customHeight="1" s="230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</row>
    <row r="339" ht="15.75" customHeight="1" s="230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</row>
    <row r="340" ht="15.75" customHeight="1" s="23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</row>
    <row r="341" ht="15.75" customHeight="1" s="230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</row>
    <row r="342" ht="15.75" customHeight="1" s="230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</row>
    <row r="343" ht="15.75" customHeight="1" s="230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</row>
    <row r="344" ht="15.75" customHeight="1" s="230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</row>
    <row r="345" ht="15.75" customHeight="1" s="230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</row>
    <row r="346" ht="15.75" customHeight="1" s="230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</row>
    <row r="347" ht="15.75" customHeight="1" s="230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</row>
    <row r="348" ht="15.75" customHeight="1" s="230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</row>
    <row r="349" ht="15.75" customHeight="1" s="230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</row>
    <row r="350" ht="15.75" customHeight="1" s="23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</row>
    <row r="351" ht="15.75" customHeight="1" s="230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</row>
    <row r="352" ht="15.75" customHeight="1" s="230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</row>
    <row r="353" ht="15.75" customHeight="1" s="230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</row>
    <row r="354" ht="15.75" customHeight="1" s="230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</row>
    <row r="355" ht="15.75" customHeight="1" s="230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</row>
    <row r="356" ht="15.75" customHeight="1" s="230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</row>
    <row r="357" ht="15.75" customHeight="1" s="230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</row>
    <row r="358" ht="15.75" customHeight="1" s="230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</row>
    <row r="359" ht="15.75" customHeight="1" s="230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</row>
    <row r="360" ht="15.75" customHeight="1" s="23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</row>
    <row r="361" ht="15.75" customHeight="1" s="230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</row>
    <row r="362" ht="15.75" customHeight="1" s="230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</row>
    <row r="363" ht="15.75" customHeight="1" s="230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</row>
    <row r="364" ht="15.75" customHeight="1" s="230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</row>
    <row r="365" ht="15.75" customHeight="1" s="230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</row>
    <row r="366" ht="15.75" customHeight="1" s="230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</row>
    <row r="367" ht="15.75" customHeight="1" s="230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</row>
    <row r="368" ht="15.75" customHeight="1" s="230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</row>
    <row r="369" ht="15.75" customHeight="1" s="230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</row>
    <row r="370" ht="15.75" customHeight="1" s="23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</row>
    <row r="371" ht="15.75" customHeight="1" s="230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</row>
    <row r="372" ht="15.75" customHeight="1" s="230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</row>
    <row r="373" ht="15.75" customHeight="1" s="230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</row>
    <row r="374" ht="15.75" customHeight="1" s="230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</row>
    <row r="375" ht="15.75" customHeight="1" s="230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</row>
    <row r="376" ht="15.75" customHeight="1" s="230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</row>
    <row r="377" ht="15.75" customHeight="1" s="230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</row>
    <row r="378" ht="15.75" customHeight="1" s="230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</row>
    <row r="379" ht="15.75" customHeight="1" s="230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</row>
    <row r="380" ht="15.75" customHeight="1" s="23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</row>
    <row r="381" ht="15.75" customHeight="1" s="230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</row>
    <row r="382" ht="15.75" customHeight="1" s="230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</row>
    <row r="383" ht="15.75" customHeight="1" s="230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</row>
    <row r="384" ht="15.75" customHeight="1" s="230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</row>
    <row r="385" ht="15.75" customHeight="1" s="230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</row>
    <row r="386" ht="15.75" customHeight="1" s="230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</row>
    <row r="387" ht="15.75" customHeight="1" s="230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</row>
    <row r="388" ht="15.75" customHeight="1" s="230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</row>
    <row r="389" ht="15.75" customHeight="1" s="230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</row>
    <row r="390" ht="15.75" customHeight="1" s="23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</row>
    <row r="391" ht="15.75" customHeight="1" s="230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</row>
    <row r="392" ht="15.75" customHeight="1" s="230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</row>
    <row r="393" ht="15.75" customHeight="1" s="230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</row>
    <row r="394" ht="15.75" customHeight="1" s="230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</row>
    <row r="395" ht="15.75" customHeight="1" s="230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</row>
    <row r="396" ht="15.75" customHeight="1" s="230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</row>
    <row r="397" ht="15.75" customHeight="1" s="230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</row>
    <row r="398" ht="15.75" customHeight="1" s="230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</row>
    <row r="399" ht="15.75" customHeight="1" s="230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</row>
    <row r="400" ht="15.75" customHeight="1" s="23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</row>
    <row r="401" ht="15.75" customHeight="1" s="230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</row>
    <row r="402" ht="15.75" customHeight="1" s="230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</row>
    <row r="403" ht="15.75" customHeight="1" s="230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</row>
    <row r="404" ht="15.75" customHeight="1" s="230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</row>
    <row r="405" ht="15.75" customHeight="1" s="230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</row>
    <row r="406" ht="15.75" customHeight="1" s="230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</row>
    <row r="407" ht="15.75" customHeight="1" s="230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</row>
    <row r="408" ht="15.75" customHeight="1" s="230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</row>
    <row r="409" ht="15.75" customHeight="1" s="230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</row>
    <row r="410" ht="15.75" customHeight="1" s="23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</row>
    <row r="411" ht="15.75" customHeight="1" s="230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</row>
    <row r="412" ht="15.75" customHeight="1" s="230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</row>
    <row r="413" ht="15.75" customHeight="1" s="230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</row>
    <row r="414" ht="15.75" customHeight="1" s="230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</row>
    <row r="415" ht="15.75" customHeight="1" s="230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</row>
    <row r="416" ht="15.75" customHeight="1" s="230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</row>
    <row r="417" ht="15.75" customHeight="1" s="230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</row>
    <row r="418" ht="15.75" customHeight="1" s="230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</row>
    <row r="419" ht="15.75" customHeight="1" s="230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</row>
    <row r="420" ht="15.75" customHeight="1" s="23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</row>
    <row r="421" ht="15.75" customHeight="1" s="230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</row>
    <row r="422" ht="15.75" customHeight="1" s="230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</row>
    <row r="423" ht="15.75" customHeight="1" s="230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</row>
    <row r="424" ht="15.75" customHeight="1" s="230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</row>
    <row r="425" ht="15.75" customHeight="1" s="230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</row>
    <row r="426" ht="15.75" customHeight="1" s="230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</row>
    <row r="427" ht="15.75" customHeight="1" s="230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</row>
    <row r="428" ht="15.75" customHeight="1" s="230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</row>
    <row r="429" ht="15.75" customHeight="1" s="230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</row>
    <row r="430" ht="15.75" customHeight="1" s="2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</row>
    <row r="431" ht="15.75" customHeight="1" s="230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</row>
    <row r="432" ht="15.75" customHeight="1" s="230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</row>
    <row r="433" ht="15.75" customHeight="1" s="230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</row>
    <row r="434" ht="15.75" customHeight="1" s="230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</row>
    <row r="435" ht="15.75" customHeight="1" s="230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</row>
    <row r="436" ht="15.75" customHeight="1" s="230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</row>
    <row r="437" ht="15.75" customHeight="1" s="230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</row>
    <row r="438" ht="15.75" customHeight="1" s="230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</row>
    <row r="439" ht="15.75" customHeight="1" s="230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</row>
    <row r="440" ht="15.75" customHeight="1" s="23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</row>
    <row r="441" ht="15.75" customHeight="1" s="230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</row>
    <row r="442" ht="15.75" customHeight="1" s="230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</row>
    <row r="443" ht="15.75" customHeight="1" s="230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</row>
    <row r="444" ht="15.75" customHeight="1" s="230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</row>
    <row r="445" ht="15.75" customHeight="1" s="230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</row>
    <row r="446" ht="15.75" customHeight="1" s="230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</row>
    <row r="447" ht="15.75" customHeight="1" s="230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</row>
    <row r="448" ht="15.75" customHeight="1" s="230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</row>
    <row r="449" ht="15.75" customHeight="1" s="230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</row>
    <row r="450" ht="15.75" customHeight="1" s="23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</row>
    <row r="451" ht="15.75" customHeight="1" s="230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</row>
    <row r="452" ht="15.75" customHeight="1" s="230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</row>
    <row r="453" ht="15.75" customHeight="1" s="230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</row>
    <row r="454" ht="15.75" customHeight="1" s="230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</row>
    <row r="455" ht="15.75" customHeight="1" s="230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</row>
    <row r="456" ht="15.75" customHeight="1" s="230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</row>
    <row r="457" ht="15.75" customHeight="1" s="230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</row>
    <row r="458" ht="15.75" customHeight="1" s="230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</row>
    <row r="459" ht="15.75" customHeight="1" s="230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</row>
    <row r="460" ht="15.75" customHeight="1" s="23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</row>
    <row r="461" ht="15.75" customHeight="1" s="230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</row>
    <row r="462" ht="15.75" customHeight="1" s="230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</row>
    <row r="463" ht="15.75" customHeight="1" s="230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</row>
    <row r="464" ht="15.75" customHeight="1" s="230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</row>
    <row r="465" ht="15.75" customHeight="1" s="230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</row>
    <row r="466" ht="15.75" customHeight="1" s="230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</row>
    <row r="467" ht="15.75" customHeight="1" s="230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</row>
    <row r="468" ht="15.75" customHeight="1" s="230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</row>
    <row r="469" ht="15.75" customHeight="1" s="230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</row>
    <row r="470" ht="15.75" customHeight="1" s="23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</row>
    <row r="471" ht="15.75" customHeight="1" s="230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</row>
    <row r="472" ht="15.75" customHeight="1" s="230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</row>
    <row r="473" ht="15.75" customHeight="1" s="230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</row>
    <row r="474" ht="15.75" customHeight="1" s="230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</row>
    <row r="475" ht="15.75" customHeight="1" s="230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</row>
    <row r="476" ht="15.75" customHeight="1" s="230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</row>
    <row r="477" ht="15.75" customHeight="1" s="230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</row>
    <row r="478" ht="15.75" customHeight="1" s="230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</row>
    <row r="479" ht="15.75" customHeight="1" s="230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</row>
    <row r="480" ht="15.75" customHeight="1" s="23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</row>
    <row r="481" ht="15.75" customHeight="1" s="230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</row>
    <row r="482" ht="15.75" customHeight="1" s="230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</row>
    <row r="483" ht="15.75" customHeight="1" s="230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</row>
    <row r="484" ht="15.75" customHeight="1" s="230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</row>
    <row r="485" ht="15.75" customHeight="1" s="230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</row>
    <row r="486" ht="15.75" customHeight="1" s="230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</row>
    <row r="487" ht="15.75" customHeight="1" s="230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</row>
    <row r="488" ht="15.75" customHeight="1" s="230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</row>
    <row r="489" ht="15.75" customHeight="1" s="230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</row>
    <row r="490" ht="15.75" customHeight="1" s="23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</row>
    <row r="491" ht="15.75" customHeight="1" s="230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</row>
    <row r="492" ht="15.75" customHeight="1" s="230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</row>
    <row r="493" ht="15.75" customHeight="1" s="230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</row>
    <row r="494" ht="15.75" customHeight="1" s="230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</row>
    <row r="495" ht="15.75" customHeight="1" s="230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</row>
    <row r="496" ht="15.75" customHeight="1" s="230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</row>
    <row r="497" ht="15.75" customHeight="1" s="230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</row>
    <row r="498" ht="15.75" customHeight="1" s="230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</row>
    <row r="499" ht="15.75" customHeight="1" s="230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</row>
    <row r="500" ht="15.75" customHeight="1" s="23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</row>
    <row r="501" ht="15.75" customHeight="1" s="230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</row>
    <row r="502" ht="15.75" customHeight="1" s="230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</row>
    <row r="503" ht="15.75" customHeight="1" s="230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</row>
    <row r="504" ht="15.75" customHeight="1" s="230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</row>
    <row r="505" ht="15.75" customHeight="1" s="230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</row>
    <row r="506" ht="15.75" customHeight="1" s="230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</row>
    <row r="507" ht="15.75" customHeight="1" s="230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</row>
    <row r="508" ht="15.75" customHeight="1" s="230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</row>
    <row r="509" ht="15.75" customHeight="1" s="230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</row>
    <row r="510" ht="15.75" customHeight="1" s="23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</row>
    <row r="511" ht="15.75" customHeight="1" s="230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</row>
    <row r="512" ht="15.75" customHeight="1" s="230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</row>
    <row r="513" ht="15.75" customHeight="1" s="230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</row>
    <row r="514" ht="15.75" customHeight="1" s="230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</row>
    <row r="515" ht="15.75" customHeight="1" s="230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</row>
    <row r="516" ht="15.75" customHeight="1" s="230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</row>
    <row r="517" ht="15.75" customHeight="1" s="230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</row>
    <row r="518" ht="15.75" customHeight="1" s="230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</row>
    <row r="519" ht="15.75" customHeight="1" s="230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</row>
    <row r="520" ht="15.75" customHeight="1" s="23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</row>
    <row r="521" ht="15.75" customHeight="1" s="230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</row>
    <row r="522" ht="15.75" customHeight="1" s="230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</row>
    <row r="523" ht="15.75" customHeight="1" s="230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</row>
    <row r="524" ht="15.75" customHeight="1" s="230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</row>
    <row r="525" ht="15.75" customHeight="1" s="230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</row>
    <row r="526" ht="15.75" customHeight="1" s="230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</row>
    <row r="527" ht="15.75" customHeight="1" s="230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</row>
    <row r="528" ht="15.75" customHeight="1" s="230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</row>
    <row r="529" ht="15.75" customHeight="1" s="230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</row>
    <row r="530" ht="15.75" customHeight="1" s="2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</row>
    <row r="531" ht="15.75" customHeight="1" s="230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</row>
    <row r="532" ht="15.75" customHeight="1" s="230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</row>
    <row r="533" ht="15.75" customHeight="1" s="230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</row>
    <row r="534" ht="15.75" customHeight="1" s="230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</row>
    <row r="535" ht="15.75" customHeight="1" s="230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</row>
    <row r="536" ht="15.75" customHeight="1" s="230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</row>
    <row r="537" ht="15.75" customHeight="1" s="230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</row>
    <row r="538" ht="15.75" customHeight="1" s="230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</row>
    <row r="539" ht="15.75" customHeight="1" s="230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</row>
    <row r="540" ht="15.75" customHeight="1" s="23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</row>
    <row r="541" ht="15.75" customHeight="1" s="230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</row>
    <row r="542" ht="15.75" customHeight="1" s="230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</row>
    <row r="543" ht="15.75" customHeight="1" s="230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</row>
    <row r="544" ht="15.75" customHeight="1" s="230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</row>
    <row r="545" ht="15.75" customHeight="1" s="230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</row>
    <row r="546" ht="15.75" customHeight="1" s="230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</row>
    <row r="547" ht="15.75" customHeight="1" s="230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</row>
    <row r="548" ht="15.75" customHeight="1" s="230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</row>
    <row r="549" ht="15.75" customHeight="1" s="230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</row>
    <row r="550" ht="15.75" customHeight="1" s="23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</row>
    <row r="551" ht="15.75" customHeight="1" s="230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</row>
    <row r="552" ht="15.75" customHeight="1" s="230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</row>
    <row r="553" ht="15.75" customHeight="1" s="230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</row>
    <row r="554" ht="15.75" customHeight="1" s="230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</row>
    <row r="555" ht="15.75" customHeight="1" s="230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</row>
    <row r="556" ht="15.75" customHeight="1" s="230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</row>
    <row r="557" ht="15.75" customHeight="1" s="230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</row>
    <row r="558" ht="15.75" customHeight="1" s="230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</row>
    <row r="559" ht="15.75" customHeight="1" s="230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</row>
    <row r="560" ht="15.75" customHeight="1" s="23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</row>
    <row r="561" ht="15.75" customHeight="1" s="230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</row>
    <row r="562" ht="15.75" customHeight="1" s="230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</row>
    <row r="563" ht="15.75" customHeight="1" s="230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</row>
    <row r="564" ht="15.75" customHeight="1" s="230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</row>
    <row r="565" ht="15.75" customHeight="1" s="230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</row>
    <row r="566" ht="15.75" customHeight="1" s="230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</row>
    <row r="567" ht="15.75" customHeight="1" s="230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</row>
    <row r="568" ht="15.75" customHeight="1" s="230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</row>
    <row r="569" ht="15.75" customHeight="1" s="230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</row>
    <row r="570" ht="15.75" customHeight="1" s="23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</row>
    <row r="571" ht="15.75" customHeight="1" s="230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</row>
    <row r="572" ht="15.75" customHeight="1" s="230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</row>
    <row r="573" ht="15.75" customHeight="1" s="230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</row>
    <row r="574" ht="15.75" customHeight="1" s="230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</row>
    <row r="575" ht="15.75" customHeight="1" s="230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</row>
    <row r="576" ht="15.75" customHeight="1" s="230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</row>
    <row r="577" ht="15.75" customHeight="1" s="230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</row>
    <row r="578" ht="15.75" customHeight="1" s="230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</row>
    <row r="579" ht="15.75" customHeight="1" s="230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</row>
    <row r="580" ht="15.75" customHeight="1" s="23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</row>
    <row r="581" ht="15.75" customHeight="1" s="230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</row>
    <row r="582" ht="15.75" customHeight="1" s="230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</row>
    <row r="583" ht="15.75" customHeight="1" s="230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</row>
    <row r="584" ht="15.75" customHeight="1" s="230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</row>
    <row r="585" ht="15.75" customHeight="1" s="230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</row>
    <row r="586" ht="15.75" customHeight="1" s="230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</row>
    <row r="587" ht="15.75" customHeight="1" s="230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</row>
    <row r="588" ht="15.75" customHeight="1" s="230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</row>
    <row r="589" ht="15.75" customHeight="1" s="230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</row>
    <row r="590" ht="15.75" customHeight="1" s="23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</row>
    <row r="591" ht="15.75" customHeight="1" s="230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</row>
    <row r="592" ht="15.75" customHeight="1" s="230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</row>
    <row r="593" ht="15.75" customHeight="1" s="230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</row>
    <row r="594" ht="15.75" customHeight="1" s="230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</row>
    <row r="595" ht="15.75" customHeight="1" s="230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</row>
    <row r="596" ht="15.75" customHeight="1" s="230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</row>
    <row r="597" ht="15.75" customHeight="1" s="230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</row>
    <row r="598" ht="15.75" customHeight="1" s="230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</row>
    <row r="599" ht="15.75" customHeight="1" s="230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</row>
    <row r="600" ht="15.75" customHeight="1" s="23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</row>
    <row r="601" ht="15.75" customHeight="1" s="230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</row>
    <row r="602" ht="15.75" customHeight="1" s="230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</row>
    <row r="603" ht="15.75" customHeight="1" s="230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</row>
    <row r="604" ht="15.75" customHeight="1" s="230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</row>
    <row r="605" ht="15.75" customHeight="1" s="230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</row>
    <row r="606" ht="15.75" customHeight="1" s="230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</row>
    <row r="607" ht="15.75" customHeight="1" s="230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</row>
    <row r="608" ht="15.75" customHeight="1" s="230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</row>
    <row r="609" ht="15.75" customHeight="1" s="230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</row>
    <row r="610" ht="15.75" customHeight="1" s="23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</row>
    <row r="611" ht="15.75" customHeight="1" s="230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</row>
    <row r="612" ht="15.75" customHeight="1" s="230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</row>
    <row r="613" ht="15.75" customHeight="1" s="230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</row>
    <row r="614" ht="15.75" customHeight="1" s="230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</row>
    <row r="615" ht="15.75" customHeight="1" s="230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</row>
    <row r="616" ht="15.75" customHeight="1" s="230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</row>
    <row r="617" ht="15.75" customHeight="1" s="230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</row>
    <row r="618" ht="15.75" customHeight="1" s="230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</row>
    <row r="619" ht="15.75" customHeight="1" s="230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</row>
    <row r="620" ht="15.75" customHeight="1" s="23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</row>
    <row r="621" ht="15.75" customHeight="1" s="230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</row>
    <row r="622" ht="15.75" customHeight="1" s="230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</row>
    <row r="623" ht="15.75" customHeight="1" s="230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</row>
    <row r="624" ht="15.75" customHeight="1" s="230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</row>
    <row r="625" ht="15.75" customHeight="1" s="230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</row>
    <row r="626" ht="15.75" customHeight="1" s="230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</row>
    <row r="627" ht="15.75" customHeight="1" s="230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</row>
    <row r="628" ht="15.75" customHeight="1" s="230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</row>
    <row r="629" ht="15.75" customHeight="1" s="230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</row>
    <row r="630" ht="15.75" customHeight="1" s="2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</row>
    <row r="631" ht="15.75" customHeight="1" s="230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</row>
    <row r="632" ht="15.75" customHeight="1" s="230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</row>
    <row r="633" ht="15.75" customHeight="1" s="230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</row>
    <row r="634" ht="15.75" customHeight="1" s="230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</row>
    <row r="635" ht="15.75" customHeight="1" s="230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</row>
    <row r="636" ht="15.75" customHeight="1" s="230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</row>
    <row r="637" ht="15.75" customHeight="1" s="230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</row>
    <row r="638" ht="15.75" customHeight="1" s="230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</row>
    <row r="639" ht="15.75" customHeight="1" s="230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</row>
    <row r="640" ht="15.75" customHeight="1" s="23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</row>
    <row r="641" ht="15.75" customHeight="1" s="230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</row>
    <row r="642" ht="15.75" customHeight="1" s="230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</row>
    <row r="643" ht="15.75" customHeight="1" s="230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</row>
    <row r="644" ht="15.75" customHeight="1" s="230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</row>
    <row r="645" ht="15.75" customHeight="1" s="230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</row>
    <row r="646" ht="15.75" customHeight="1" s="230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</row>
    <row r="647" ht="15.75" customHeight="1" s="230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</row>
    <row r="648" ht="15.75" customHeight="1" s="230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</row>
    <row r="649" ht="15.75" customHeight="1" s="230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</row>
    <row r="650" ht="15.75" customHeight="1" s="23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</row>
    <row r="651" ht="15.75" customHeight="1" s="230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</row>
    <row r="652" ht="15.75" customHeight="1" s="230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</row>
    <row r="653" ht="15.75" customHeight="1" s="230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</row>
    <row r="654" ht="15.75" customHeight="1" s="230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</row>
    <row r="655" ht="15.75" customHeight="1" s="230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</row>
    <row r="656" ht="15.75" customHeight="1" s="230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</row>
    <row r="657" ht="15.75" customHeight="1" s="230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</row>
    <row r="658" ht="15.75" customHeight="1" s="230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</row>
    <row r="659" ht="15.75" customHeight="1" s="230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</row>
    <row r="660" ht="15.75" customHeight="1" s="23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</row>
    <row r="661" ht="15.75" customHeight="1" s="230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</row>
    <row r="662" ht="15.75" customHeight="1" s="230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</row>
    <row r="663" ht="15.75" customHeight="1" s="230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</row>
    <row r="664" ht="15.75" customHeight="1" s="230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</row>
    <row r="665" ht="15.75" customHeight="1" s="230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</row>
    <row r="666" ht="15.75" customHeight="1" s="230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</row>
    <row r="667" ht="15.75" customHeight="1" s="230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</row>
    <row r="668" ht="15.75" customHeight="1" s="230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</row>
    <row r="669" ht="15.75" customHeight="1" s="230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</row>
    <row r="670" ht="15.75" customHeight="1" s="23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</row>
    <row r="671" ht="15.75" customHeight="1" s="230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</row>
    <row r="672" ht="15.75" customHeight="1" s="230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</row>
    <row r="673" ht="15.75" customHeight="1" s="230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</row>
    <row r="674" ht="15.75" customHeight="1" s="230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</row>
    <row r="675" ht="15.75" customHeight="1" s="230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</row>
    <row r="676" ht="15.75" customHeight="1" s="230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</row>
    <row r="677" ht="15.75" customHeight="1" s="230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</row>
    <row r="678" ht="15.75" customHeight="1" s="230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</row>
    <row r="679" ht="15.75" customHeight="1" s="230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</row>
    <row r="680" ht="15.75" customHeight="1" s="23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</row>
    <row r="681" ht="15.75" customHeight="1" s="230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</row>
    <row r="682" ht="15.75" customHeight="1" s="230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</row>
    <row r="683" ht="15.75" customHeight="1" s="230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</row>
    <row r="684" ht="15.75" customHeight="1" s="230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</row>
    <row r="685" ht="15.75" customHeight="1" s="230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</row>
    <row r="686" ht="15.75" customHeight="1" s="230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</row>
    <row r="687" ht="15.75" customHeight="1" s="230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</row>
    <row r="688" ht="15.75" customHeight="1" s="230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</row>
    <row r="689" ht="15.75" customHeight="1" s="230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</row>
    <row r="690" ht="15.75" customHeight="1" s="23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</row>
    <row r="691" ht="15.75" customHeight="1" s="230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</row>
    <row r="692" ht="15.75" customHeight="1" s="230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</row>
    <row r="693" ht="15.75" customHeight="1" s="230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</row>
    <row r="694" ht="15.75" customHeight="1" s="230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</row>
    <row r="695" ht="15.75" customHeight="1" s="230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</row>
    <row r="696" ht="15.75" customHeight="1" s="230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</row>
    <row r="697" ht="15.75" customHeight="1" s="230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</row>
    <row r="698" ht="15.75" customHeight="1" s="230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</row>
    <row r="699" ht="15.75" customHeight="1" s="230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</row>
    <row r="700" ht="15.75" customHeight="1" s="23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</row>
    <row r="701" ht="15.75" customHeight="1" s="230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</row>
    <row r="702" ht="15.75" customHeight="1" s="230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</row>
    <row r="703" ht="15.75" customHeight="1" s="230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</row>
    <row r="704" ht="15.75" customHeight="1" s="230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</row>
    <row r="705" ht="15.75" customHeight="1" s="230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</row>
    <row r="706" ht="15.75" customHeight="1" s="230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</row>
    <row r="707" ht="15.75" customHeight="1" s="230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</row>
    <row r="708" ht="15.75" customHeight="1" s="230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</row>
    <row r="709" ht="15.75" customHeight="1" s="230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</row>
    <row r="710" ht="15.75" customHeight="1" s="23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</row>
    <row r="711" ht="15.75" customHeight="1" s="230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</row>
    <row r="712" ht="15.75" customHeight="1" s="230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</row>
    <row r="713" ht="15.75" customHeight="1" s="230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</row>
    <row r="714" ht="15.75" customHeight="1" s="230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</row>
    <row r="715" ht="15.75" customHeight="1" s="230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</row>
    <row r="716" ht="15.75" customHeight="1" s="230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</row>
    <row r="717" ht="15.75" customHeight="1" s="230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</row>
    <row r="718" ht="15.75" customHeight="1" s="230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</row>
    <row r="719" ht="15.75" customHeight="1" s="230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</row>
    <row r="720" ht="15.75" customHeight="1" s="23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</row>
    <row r="721" ht="15.75" customHeight="1" s="230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</row>
    <row r="722" ht="15.75" customHeight="1" s="230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</row>
    <row r="723" ht="15.75" customHeight="1" s="230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</row>
    <row r="724" ht="15.75" customHeight="1" s="230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</row>
    <row r="725" ht="15.75" customHeight="1" s="230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</row>
    <row r="726" ht="15.75" customHeight="1" s="230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</row>
    <row r="727" ht="15.75" customHeight="1" s="230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</row>
    <row r="728" ht="15.75" customHeight="1" s="230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</row>
    <row r="729" ht="15.75" customHeight="1" s="230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</row>
    <row r="730" ht="15.75" customHeight="1" s="2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</row>
    <row r="731" ht="15.75" customHeight="1" s="230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</row>
    <row r="732" ht="15.75" customHeight="1" s="230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</row>
    <row r="733" ht="15.75" customHeight="1" s="230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</row>
    <row r="734" ht="15.75" customHeight="1" s="230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</row>
    <row r="735" ht="15.75" customHeight="1" s="230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</row>
    <row r="736" ht="15.75" customHeight="1" s="230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</row>
    <row r="737" ht="15.75" customHeight="1" s="230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</row>
    <row r="738" ht="15.75" customHeight="1" s="230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</row>
    <row r="739" ht="15.75" customHeight="1" s="230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</row>
    <row r="740" ht="15.75" customHeight="1" s="23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</row>
    <row r="741" ht="15.75" customHeight="1" s="230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</row>
    <row r="742" ht="15.75" customHeight="1" s="230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</row>
    <row r="743" ht="15.75" customHeight="1" s="230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</row>
    <row r="744" ht="15.75" customHeight="1" s="230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</row>
    <row r="745" ht="15.75" customHeight="1" s="230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</row>
    <row r="746" ht="15.75" customHeight="1" s="230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</row>
    <row r="747" ht="15.75" customHeight="1" s="230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</row>
    <row r="748" ht="15.75" customHeight="1" s="230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</row>
    <row r="749" ht="15.75" customHeight="1" s="230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</row>
    <row r="750" ht="15.75" customHeight="1" s="23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</row>
    <row r="751" ht="15.75" customHeight="1" s="230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</row>
    <row r="752" ht="15.75" customHeight="1" s="230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</row>
    <row r="753" ht="15.75" customHeight="1" s="230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</row>
    <row r="754" ht="15.75" customHeight="1" s="230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</row>
    <row r="755" ht="15.75" customHeight="1" s="230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</row>
    <row r="756" ht="15.75" customHeight="1" s="230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</row>
    <row r="757" ht="15.75" customHeight="1" s="230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</row>
    <row r="758" ht="15.75" customHeight="1" s="230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</row>
    <row r="759" ht="15.75" customHeight="1" s="230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</row>
    <row r="760" ht="15.75" customHeight="1" s="23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</row>
    <row r="761" ht="15.75" customHeight="1" s="230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</row>
    <row r="762" ht="15.75" customHeight="1" s="230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</row>
    <row r="763" ht="15.75" customHeight="1" s="230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</row>
    <row r="764" ht="15.75" customHeight="1" s="230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</row>
    <row r="765" ht="15.75" customHeight="1" s="230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</row>
    <row r="766" ht="15.75" customHeight="1" s="230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</row>
    <row r="767" ht="15.75" customHeight="1" s="230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</row>
    <row r="768" ht="15.75" customHeight="1" s="230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</row>
    <row r="769" ht="15.75" customHeight="1" s="230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</row>
    <row r="770" ht="15.75" customHeight="1" s="23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</row>
    <row r="771" ht="15.75" customHeight="1" s="230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</row>
    <row r="772" ht="15.75" customHeight="1" s="230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</row>
    <row r="773" ht="15.75" customHeight="1" s="230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</row>
    <row r="774" ht="15.75" customHeight="1" s="230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</row>
    <row r="775" ht="15.75" customHeight="1" s="230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</row>
    <row r="776" ht="15.75" customHeight="1" s="230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</row>
    <row r="777" ht="15.75" customHeight="1" s="230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</row>
    <row r="778" ht="15.75" customHeight="1" s="230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</row>
    <row r="779" ht="15.75" customHeight="1" s="230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</row>
    <row r="780" ht="15.75" customHeight="1" s="23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</row>
    <row r="781" ht="15.75" customHeight="1" s="230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</row>
    <row r="782" ht="15.75" customHeight="1" s="230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</row>
    <row r="783" ht="15.75" customHeight="1" s="230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</row>
    <row r="784" ht="15.75" customHeight="1" s="230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</row>
    <row r="785" ht="15.75" customHeight="1" s="230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</row>
    <row r="786" ht="15.75" customHeight="1" s="230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</row>
    <row r="787" ht="15.75" customHeight="1" s="230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</row>
    <row r="788" ht="15.75" customHeight="1" s="230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</row>
    <row r="789" ht="15.75" customHeight="1" s="230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</row>
    <row r="790" ht="15.75" customHeight="1" s="23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</row>
    <row r="791" ht="15.75" customHeight="1" s="230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</row>
    <row r="792" ht="15.75" customHeight="1" s="230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</row>
    <row r="793" ht="15.75" customHeight="1" s="230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</row>
    <row r="794" ht="15.75" customHeight="1" s="230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</row>
    <row r="795" ht="15.75" customHeight="1" s="230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</row>
    <row r="796" ht="15.75" customHeight="1" s="230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</row>
    <row r="797" ht="15.75" customHeight="1" s="230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</row>
    <row r="798" ht="15.75" customHeight="1" s="230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</row>
    <row r="799" ht="15.75" customHeight="1" s="230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</row>
    <row r="800" ht="15.75" customHeight="1" s="23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</row>
    <row r="801" ht="15.75" customHeight="1" s="230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</row>
    <row r="802" ht="15.75" customHeight="1" s="230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</row>
    <row r="803" ht="15.75" customHeight="1" s="230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</row>
    <row r="804" ht="15.75" customHeight="1" s="230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</row>
    <row r="805" ht="15.75" customHeight="1" s="230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</row>
    <row r="806" ht="15.75" customHeight="1" s="230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</row>
    <row r="807" ht="15.75" customHeight="1" s="230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</row>
    <row r="808" ht="15.75" customHeight="1" s="230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</row>
    <row r="809" ht="15.75" customHeight="1" s="230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</row>
    <row r="810" ht="15.75" customHeight="1" s="23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</row>
    <row r="811" ht="15.75" customHeight="1" s="230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</row>
    <row r="812" ht="15.75" customHeight="1" s="230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</row>
    <row r="813" ht="15.75" customHeight="1" s="230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</row>
    <row r="814" ht="15.75" customHeight="1" s="230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</row>
    <row r="815" ht="15.75" customHeight="1" s="230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</row>
    <row r="816" ht="15.75" customHeight="1" s="230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</row>
    <row r="817" ht="15.75" customHeight="1" s="230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</row>
    <row r="818" ht="15.75" customHeight="1" s="230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</row>
    <row r="819" ht="15.75" customHeight="1" s="230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</row>
    <row r="820" ht="15.75" customHeight="1" s="23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</row>
    <row r="821" ht="15.75" customHeight="1" s="230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</row>
    <row r="822" ht="15.75" customHeight="1" s="230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</row>
    <row r="823" ht="15.75" customHeight="1" s="230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</row>
    <row r="824" ht="15.75" customHeight="1" s="230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</row>
    <row r="825" ht="15.75" customHeight="1" s="230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</row>
    <row r="826" ht="15.75" customHeight="1" s="230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</row>
    <row r="827" ht="15.75" customHeight="1" s="230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</row>
    <row r="828" ht="15.75" customHeight="1" s="230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</row>
    <row r="829" ht="15.75" customHeight="1" s="230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</row>
    <row r="830" ht="15.75" customHeight="1" s="2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</row>
    <row r="831" ht="15.75" customHeight="1" s="230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</row>
    <row r="832" ht="15.75" customHeight="1" s="230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</row>
    <row r="833" ht="15.75" customHeight="1" s="230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</row>
    <row r="834" ht="15.75" customHeight="1" s="230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</row>
    <row r="835" ht="15.75" customHeight="1" s="230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</row>
    <row r="836" ht="15.75" customHeight="1" s="230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</row>
    <row r="837" ht="15.75" customHeight="1" s="230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</row>
    <row r="838" ht="15.75" customHeight="1" s="230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</row>
    <row r="839" ht="15.75" customHeight="1" s="230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</row>
    <row r="840" ht="15.75" customHeight="1" s="23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</row>
    <row r="841" ht="15.75" customHeight="1" s="230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</row>
    <row r="842" ht="15.75" customHeight="1" s="230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</row>
    <row r="843" ht="15.75" customHeight="1" s="230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</row>
    <row r="844" ht="15.75" customHeight="1" s="230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</row>
    <row r="845" ht="15.75" customHeight="1" s="230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</row>
    <row r="846" ht="15.75" customHeight="1" s="230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</row>
    <row r="847" ht="15.75" customHeight="1" s="230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</row>
    <row r="848" ht="15.75" customHeight="1" s="230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</row>
    <row r="849" ht="15.75" customHeight="1" s="230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</row>
    <row r="850" ht="15.75" customHeight="1" s="23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</row>
    <row r="851" ht="15.75" customHeight="1" s="230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</row>
    <row r="852" ht="15.75" customHeight="1" s="230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</row>
    <row r="853" ht="15.75" customHeight="1" s="230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</row>
    <row r="854" ht="15.75" customHeight="1" s="230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</row>
    <row r="855" ht="15.75" customHeight="1" s="230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</row>
    <row r="856" ht="15.75" customHeight="1" s="230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</row>
    <row r="857" ht="15.75" customHeight="1" s="230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</row>
    <row r="858" ht="15.75" customHeight="1" s="230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</row>
    <row r="859" ht="15.75" customHeight="1" s="230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</row>
    <row r="860" ht="15.75" customHeight="1" s="23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</row>
    <row r="861" ht="15.75" customHeight="1" s="230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</row>
    <row r="862" ht="15.75" customHeight="1" s="230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</row>
    <row r="863" ht="15.75" customHeight="1" s="230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</row>
    <row r="864" ht="15.75" customHeight="1" s="230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</row>
    <row r="865" ht="15.75" customHeight="1" s="230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</row>
    <row r="866" ht="15.75" customHeight="1" s="230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</row>
    <row r="867" ht="15.75" customHeight="1" s="230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</row>
    <row r="868" ht="15.75" customHeight="1" s="230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</row>
    <row r="869" ht="15.75" customHeight="1" s="230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</row>
    <row r="870" ht="15.75" customHeight="1" s="23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</row>
    <row r="871" ht="15.75" customHeight="1" s="230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</row>
    <row r="872" ht="15.75" customHeight="1" s="230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</row>
    <row r="873" ht="15.75" customHeight="1" s="230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</row>
    <row r="874" ht="15.75" customHeight="1" s="230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</row>
    <row r="875" ht="15.75" customHeight="1" s="230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</row>
    <row r="876" ht="15.75" customHeight="1" s="230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</row>
    <row r="877" ht="15.75" customHeight="1" s="230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</row>
    <row r="878" ht="15.75" customHeight="1" s="230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</row>
    <row r="879" ht="15.75" customHeight="1" s="230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</row>
    <row r="880" ht="15.75" customHeight="1" s="23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</row>
    <row r="881" ht="15.75" customHeight="1" s="230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</row>
    <row r="882" ht="15.75" customHeight="1" s="230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</row>
    <row r="883" ht="15.75" customHeight="1" s="230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</row>
    <row r="884" ht="15.75" customHeight="1" s="230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</row>
    <row r="885" ht="15.75" customHeight="1" s="230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</row>
    <row r="886" ht="15.75" customHeight="1" s="230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</row>
    <row r="887" ht="15.75" customHeight="1" s="230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</row>
    <row r="888" ht="15.75" customHeight="1" s="230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</row>
    <row r="889" ht="15.75" customHeight="1" s="230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</row>
    <row r="890" ht="15.75" customHeight="1" s="23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</row>
    <row r="891" ht="15.75" customHeight="1" s="230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</row>
    <row r="892" ht="15.75" customHeight="1" s="230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</row>
    <row r="893" ht="15.75" customHeight="1" s="230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</row>
    <row r="894" ht="15.75" customHeight="1" s="230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</row>
    <row r="895" ht="15.75" customHeight="1" s="230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</row>
    <row r="896" ht="15.75" customHeight="1" s="230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</row>
    <row r="897" ht="15.75" customHeight="1" s="230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</row>
    <row r="898" ht="15.75" customHeight="1" s="230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</row>
    <row r="899" ht="15.75" customHeight="1" s="230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</row>
    <row r="900" ht="15.75" customHeight="1" s="23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</row>
    <row r="901" ht="15.75" customHeight="1" s="230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</row>
    <row r="902" ht="15.75" customHeight="1" s="230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</row>
    <row r="903" ht="15.75" customHeight="1" s="230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</row>
    <row r="904" ht="15.75" customHeight="1" s="230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</row>
    <row r="905" ht="15.75" customHeight="1" s="230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</row>
    <row r="906" ht="15.75" customHeight="1" s="230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</row>
    <row r="907" ht="15.75" customHeight="1" s="230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</row>
    <row r="908" ht="15.75" customHeight="1" s="230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</row>
    <row r="909" ht="15.75" customHeight="1" s="230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</row>
    <row r="910" ht="15.75" customHeight="1" s="23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</row>
    <row r="911" ht="15.75" customHeight="1" s="230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</row>
    <row r="912" ht="15.75" customHeight="1" s="230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</row>
    <row r="913" ht="15.75" customHeight="1" s="230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</row>
    <row r="914" ht="15.75" customHeight="1" s="230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</row>
    <row r="915" ht="15.75" customHeight="1" s="230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</row>
    <row r="916" ht="15.75" customHeight="1" s="230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</row>
    <row r="917" ht="15.75" customHeight="1" s="230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</row>
    <row r="918" ht="15.75" customHeight="1" s="230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</row>
    <row r="919" ht="15.75" customHeight="1" s="230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</row>
    <row r="920" ht="15.75" customHeight="1" s="23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</row>
    <row r="921" ht="15.75" customHeight="1" s="230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</row>
    <row r="922" ht="15.75" customHeight="1" s="230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</row>
    <row r="923" ht="15.75" customHeight="1" s="230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</row>
    <row r="924" ht="15.75" customHeight="1" s="230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</row>
    <row r="925" ht="15.75" customHeight="1" s="230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</row>
    <row r="926" ht="15.75" customHeight="1" s="230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</row>
    <row r="927" ht="15.75" customHeight="1" s="230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</row>
    <row r="928" ht="15.75" customHeight="1" s="230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</row>
    <row r="929" ht="15.75" customHeight="1" s="230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</row>
    <row r="930" ht="15.75" customHeight="1" s="2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</row>
    <row r="931" ht="15.75" customHeight="1" s="230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</row>
    <row r="932" ht="15.75" customHeight="1" s="230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</row>
    <row r="933" ht="15.75" customHeight="1" s="230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</row>
    <row r="934" ht="15.75" customHeight="1" s="230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</row>
    <row r="935" ht="15.75" customHeight="1" s="230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</row>
    <row r="936" ht="15.75" customHeight="1" s="230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</row>
    <row r="937" ht="15.75" customHeight="1" s="230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</row>
    <row r="938" ht="15.75" customHeight="1" s="230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</row>
    <row r="939" ht="15.75" customHeight="1" s="230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</row>
    <row r="940" ht="15.75" customHeight="1" s="23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</row>
    <row r="941" ht="15.75" customHeight="1" s="230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</row>
    <row r="942" ht="15.75" customHeight="1" s="230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</row>
    <row r="943" ht="15.75" customHeight="1" s="230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</row>
    <row r="944" ht="15.75" customHeight="1" s="230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</row>
    <row r="945" ht="15.75" customHeight="1" s="230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</row>
    <row r="946" ht="15.75" customHeight="1" s="230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</row>
    <row r="947" ht="15.75" customHeight="1" s="230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</row>
    <row r="948" ht="15.75" customHeight="1" s="230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</row>
    <row r="949" ht="15.75" customHeight="1" s="230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</row>
    <row r="950" ht="15.75" customHeight="1" s="23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</row>
    <row r="951" ht="15.75" customHeight="1" s="230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</row>
    <row r="952" ht="15.75" customHeight="1" s="230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</row>
    <row r="953" ht="15.75" customHeight="1" s="230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</row>
    <row r="954" ht="15.75" customHeight="1" s="230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</row>
    <row r="955" ht="15.75" customHeight="1" s="230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</row>
    <row r="956" ht="15.75" customHeight="1" s="230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</row>
    <row r="957" ht="15.75" customHeight="1" s="230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</row>
    <row r="958" ht="15.75" customHeight="1" s="230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</row>
    <row r="959" ht="15.75" customHeight="1" s="230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</row>
    <row r="960" ht="15.75" customHeight="1" s="23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</row>
    <row r="961" ht="15.75" customHeight="1" s="230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</row>
    <row r="962" ht="15.75" customHeight="1" s="230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</row>
    <row r="963" ht="15.75" customHeight="1" s="230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</row>
    <row r="964" ht="15.75" customHeight="1" s="230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</row>
    <row r="965" ht="15.75" customHeight="1" s="230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</row>
    <row r="966" ht="15.75" customHeight="1" s="230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</row>
    <row r="967" ht="15.75" customHeight="1" s="230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</row>
    <row r="968" ht="15.75" customHeight="1" s="230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</row>
    <row r="969" ht="15.75" customHeight="1" s="230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</row>
    <row r="970" ht="15.75" customHeight="1" s="23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</row>
    <row r="971" ht="15.75" customHeight="1" s="230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</row>
    <row r="972" ht="15.75" customHeight="1" s="230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</row>
    <row r="973" ht="15.75" customHeight="1" s="230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</row>
    <row r="974" ht="15.75" customHeight="1" s="230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</row>
    <row r="975" ht="15.75" customHeight="1" s="230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</row>
    <row r="976" ht="15.75" customHeight="1" s="230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</row>
    <row r="977" ht="15.75" customHeight="1" s="230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</row>
    <row r="978" ht="15.75" customHeight="1" s="230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</row>
    <row r="979" ht="15.75" customHeight="1" s="230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</row>
    <row r="980" ht="15.75" customHeight="1" s="23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</row>
    <row r="981" ht="15.75" customHeight="1" s="230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</row>
    <row r="982" ht="15.75" customHeight="1" s="230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</row>
    <row r="983" ht="15.75" customHeight="1" s="230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</row>
    <row r="984" ht="15.75" customHeight="1" s="230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</row>
    <row r="985" ht="15.75" customHeight="1" s="230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</row>
    <row r="986" ht="15.75" customHeight="1" s="230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</row>
    <row r="987" ht="15.75" customHeight="1" s="230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</row>
    <row r="988" ht="15.75" customHeight="1" s="230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</row>
    <row r="989" ht="15.75" customHeight="1" s="230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</row>
    <row r="990" ht="15.75" customHeight="1" s="23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</row>
    <row r="991" ht="15.75" customHeight="1" s="230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</row>
    <row r="992" ht="15.75" customHeight="1" s="230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</row>
    <row r="993" ht="15.75" customHeight="1" s="230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</row>
    <row r="994" ht="15.75" customHeight="1" s="230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</row>
    <row r="995" ht="15.75" customHeight="1" s="230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</row>
    <row r="996" ht="15.75" customHeight="1" s="230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</row>
    <row r="997" ht="15.75" customHeight="1" s="230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</row>
    <row r="998" ht="15.75" customHeight="1" s="230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</row>
    <row r="999" ht="15.75" customHeight="1" s="230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</row>
    <row r="1000" ht="15.75" customHeight="1" s="23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</row>
    <row r="1001" ht="15.75" customHeight="1" s="230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</row>
    <row r="1002" ht="24" customHeight="1" s="230">
      <c r="A1002" s="91" t="inlineStr">
        <is>
          <t>Shambhu Dayal Meena TA-II FSD Sabarmati</t>
        </is>
      </c>
      <c r="B1002" s="303" t="n"/>
      <c r="C1002" s="303" t="n"/>
      <c r="D1002" s="303" t="n"/>
      <c r="E1002" s="303" t="n"/>
      <c r="F1002" s="303" t="n"/>
      <c r="G1002" s="303" t="n"/>
      <c r="H1002" s="303" t="n"/>
      <c r="I1002" s="303" t="n"/>
      <c r="J1002" s="303" t="n"/>
      <c r="K1002" s="303" t="n"/>
      <c r="L1002" s="303" t="n"/>
    </row>
  </sheetData>
  <mergeCells count="12">
    <mergeCell ref="A4:B4"/>
    <mergeCell ref="G4:H4"/>
    <mergeCell ref="A1:J1"/>
    <mergeCell ref="E4:F4"/>
    <mergeCell ref="I4:J4"/>
    <mergeCell ref="A1002:L1002"/>
    <mergeCell ref="C4:D4"/>
    <mergeCell ref="C3:D3"/>
    <mergeCell ref="A3:B3"/>
    <mergeCell ref="G3:H3"/>
    <mergeCell ref="E3:F3"/>
    <mergeCell ref="I3:J3"/>
  </mergeCells>
  <dataValidations count="1">
    <dataValidation sqref="C2:D2 C3 C5:D8 G2:G3 G5:G8 I2 I4:I8" showDropDown="0" showInputMessage="1" showErrorMessage="1" allowBlank="1" prompt="Date Entry - Select a date from the calendar." type="date">
      <formula1>DATE(2000,1,1)</formula1>
      <formula2>DATE(2100,12,31)</formula2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00FF00"/>
    <outlinePr summaryBelow="1" summaryRight="1"/>
    <pageSetUpPr/>
  </sheetPr>
  <dimension ref="A1:S299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7.88" customWidth="1" style="230" min="1" max="1"/>
    <col width="14" customWidth="1" style="230" min="2" max="2"/>
    <col width="8.75" customWidth="1" style="230" min="3" max="3"/>
    <col width="11.38" customWidth="1" style="230" min="4" max="4"/>
    <col width="10.5" customWidth="1" style="230" min="5" max="5"/>
    <col width="11.38" customWidth="1" style="230" min="6" max="6"/>
    <col width="23.63" customWidth="1" style="230" min="7" max="7"/>
    <col hidden="1" width="12.25" customWidth="1" style="230" min="8" max="8"/>
    <col width="16.38" customWidth="1" style="230" min="9" max="9"/>
    <col width="14.88" customWidth="1" style="230" min="10" max="11"/>
    <col width="24.5" customWidth="1" style="230" min="12" max="12"/>
    <col hidden="1" width="11.38" customWidth="1" style="230" min="13" max="16"/>
    <col hidden="1" width="13" customWidth="1" style="230" min="17" max="18"/>
  </cols>
  <sheetData>
    <row r="1" ht="36" customHeight="1" s="230">
      <c r="A1" s="122" t="n"/>
      <c r="B1" s="123" t="inlineStr">
        <is>
          <t>Receipt Date</t>
        </is>
      </c>
      <c r="C1" s="123" t="inlineStr">
        <is>
          <t>Shed No.</t>
        </is>
      </c>
      <c r="D1" s="123" t="inlineStr">
        <is>
          <t>Stack No.</t>
        </is>
      </c>
      <c r="E1" s="123" t="inlineStr">
        <is>
          <t>Bags</t>
        </is>
      </c>
      <c r="F1" s="124" t="inlineStr">
        <is>
          <t>Qty (MT)</t>
        </is>
      </c>
      <c r="G1" s="123" t="inlineStr">
        <is>
          <t>Commodity / Crop Year</t>
        </is>
      </c>
      <c r="H1" s="123" t="inlineStr">
        <is>
          <t>Status</t>
        </is>
      </c>
      <c r="I1" s="123" t="inlineStr">
        <is>
          <t>Storage Period (Days)</t>
        </is>
      </c>
      <c r="J1" s="125" t="inlineStr">
        <is>
          <t>Fumigation Date</t>
        </is>
      </c>
      <c r="K1" s="125" t="inlineStr">
        <is>
          <t>Degassing Date</t>
        </is>
      </c>
      <c r="L1" s="126" t="inlineStr">
        <is>
          <t>LAST FUMIGATION</t>
        </is>
      </c>
      <c r="M1" s="96" t="inlineStr">
        <is>
          <t>UnderCover_Flag</t>
        </is>
      </c>
      <c r="N1" s="96" t="inlineStr">
        <is>
          <t>UnderCover_Rank</t>
        </is>
      </c>
      <c r="O1" s="96" t="inlineStr">
        <is>
          <t>DegassingDue_Flag</t>
        </is>
      </c>
      <c r="P1" s="96" t="inlineStr">
        <is>
          <t>DegassingDue_Rank</t>
        </is>
      </c>
      <c r="Q1" s="117" t="inlineStr">
        <is>
          <t>Wheat FIFO Rank</t>
        </is>
      </c>
      <c r="R1" s="117" t="inlineStr">
        <is>
          <t>Rice FIFO Rank</t>
        </is>
      </c>
      <c r="S1" s="127" t="inlineStr">
        <is>
          <t>DESHBOARD</t>
        </is>
      </c>
    </row>
    <row r="2" ht="15" customHeight="1" s="230">
      <c r="A2" s="128">
        <f>IF(D2="","",ROWS($D$2:D2))</f>
        <v/>
      </c>
      <c r="B2" s="129" t="n">
        <v>46122</v>
      </c>
      <c r="C2" s="130" t="n">
        <v>9</v>
      </c>
      <c r="D2" s="130" t="inlineStr">
        <is>
          <t>9A01</t>
        </is>
      </c>
      <c r="E2" s="130" t="n">
        <v>3501</v>
      </c>
      <c r="F2" s="131" t="n">
        <v>170.759474</v>
      </c>
      <c r="G2" s="130" t="inlineStr">
        <is>
          <t>FRK  RRA 2024-25</t>
        </is>
      </c>
      <c r="H2" s="132">
        <f>IF(AND(E2="",F2="",G2=""),"EMPTY","OCCUPIED")</f>
        <v/>
      </c>
      <c r="I2" s="133">
        <f>IF(B2="","",IF(ISNUMBER(B2),MAX(0,TODAY()-B2),""))</f>
        <v/>
      </c>
      <c r="J2" s="129" t="n"/>
      <c r="K2" s="129" t="n"/>
      <c r="L2" s="134" t="n"/>
      <c r="M2" s="135">
        <f>IF(AND(H2="OCCUPIED",ISNUMBER(J2),K2=""),1,0)</f>
        <v/>
      </c>
      <c r="N2" s="136">
        <f>IF(M2=1,COUNTIF($M$2:M2,1),"")</f>
        <v/>
      </c>
      <c r="O2" s="136">
        <f>IF(AND(H2="OCCUPIED",ISNUMBER(J2),K2=""),--(TODAY()-J2&gt;5),0)</f>
        <v/>
      </c>
      <c r="P2" s="136">
        <f>IF(O2=1,COUNTIF($O$2:O2,1),"")</f>
        <v/>
      </c>
      <c r="Q2" s="137">
        <f>IF(OR(B2="",G2="",H2&lt;&gt;"OCCUPIED"),"",IF(ISNUMBER(SEARCH("WHEAT",G2)),SUMPRODUCT(--ISNUMBER(SEARCH("WHEAT",$G$2:$G$99)),--($H$2:$H$99="OCCUPIED"),--($B$2:$B$99&lt;&gt;""),--(IFERROR(VALUE(LEFT(RIGHT($G$2:$G$99,7),4)),999)&lt;IFERROR(VALUE(LEFT(RIGHT(G2,7),4)),999)))+SUMPRODUCT(--ISNUMBER(SEARCH("WHEAT",$G$2:$G$99)),--($H$2:$H$99="OCCUPIED"),--($B$2:$B$99&lt;&gt;""),--(IFERROR(VALUE(LEFT(RIGHT($G$2:$G$99,7),4)),999)=IFERROR(VALUE(LEFT(RIGHT(G2,7),4)),999)),--($B$2:$B$99&lt;B2))+SUMPRODUCT(--ISNUMBER(SEARCH("WHEAT",$G$2:$G$99)),--($H$2:$H$99="OCCUPIED"),--($B$2:$B$99&lt;&gt;""),--(IFERROR(VALUE(LEFT(RIGHT($G$2:$G$99,7),4)),999)=IFERROR(VALUE(LEFT(RIGHT(G2,7),4)),999)),--($B$2:$B$99=B2),--(ROW($B$2:$B$99)&lt;=ROW())),""))</f>
        <v/>
      </c>
      <c r="R2" s="137">
        <f>IF(OR(B2="",G2="",H2&lt;&gt;"OCCUPIED"),"",IF(ISERROR(SEARCH("WHEAT",G2)),SUMPRODUCT(--ISERROR(SEARCH("WHEAT",$G$2:$G$99)),--($H$2:$H$99="OCCUPIED"),--($B$2:$B$99&lt;&gt;""),--(IFERROR(VALUE(LEFT(RIGHT($G$2:$G$99,7),4)),999)&lt;IFERROR(VALUE(LEFT(RIGHT(G2,7),4)),999)))+SUMPRODUCT(--ISERROR(SEARCH("WHEAT",$G$2:$G$99)),--($H$2:$H$99="OCCUPIED"),--($B$2:$B$99&lt;&gt;""),--(IFERROR(VALUE(LEFT(RIGHT($G$2:$G$99,7),4)),999)=IFERROR(VALUE(LEFT(RIGHT(G2,7),4)),999)),--($B$2:$B$99&lt;B2))+SUMPRODUCT(--ISERROR(SEARCH("WHEAT",$G$2:$G$99)),--($H$2:$H$99="OCCUPIED"),--($B$2:$B$99&lt;&gt;""),--(IFERROR(VALUE(LEFT(RIGHT($G$2:$G$99,7),4)),999)=IFERROR(VALUE(LEFT(RIGHT(G2,7),4)),999)),--($B$2:$B$99=B2),--(ROW($B$2:$B$99)&lt;=ROW())),""))</f>
        <v/>
      </c>
    </row>
    <row r="3" ht="15" customHeight="1" s="230">
      <c r="A3" s="138">
        <f>IF(D3="","",ROWS($D$2:D3))</f>
        <v/>
      </c>
      <c r="B3" s="139" t="n">
        <v>45823</v>
      </c>
      <c r="C3" s="140" t="n">
        <v>9</v>
      </c>
      <c r="D3" s="140" t="inlineStr">
        <is>
          <t>9A02</t>
        </is>
      </c>
      <c r="E3" s="140" t="n">
        <v>3501</v>
      </c>
      <c r="F3" s="141" t="n">
        <v>173.684844</v>
      </c>
      <c r="G3" s="140" t="inlineStr">
        <is>
          <t>WHEAT FAQ 2025-26</t>
        </is>
      </c>
      <c r="H3" s="142">
        <f>IF(AND(E3="",F3="",G3=""),"EMPTY","OCCUPIED")</f>
        <v/>
      </c>
      <c r="I3" s="143">
        <f>IF(B3="","",IF(ISNUMBER(B3),MAX(0,TODAY()-B3),""))</f>
        <v/>
      </c>
      <c r="J3" s="139" t="n"/>
      <c r="K3" s="139" t="n"/>
      <c r="L3" s="144" t="n"/>
      <c r="M3" s="135">
        <f>IF(AND(H3="OCCUPIED",ISNUMBER(J3),K3=""),1,0)</f>
        <v/>
      </c>
      <c r="N3" s="136">
        <f>IF(M3=1,COUNTIF($M$2:M3,1),"")</f>
        <v/>
      </c>
      <c r="O3" s="136">
        <f>IF(AND(H3="OCCUPIED",ISNUMBER(J3),K3=""),--(TODAY()-J3&gt;5),0)</f>
        <v/>
      </c>
      <c r="P3" s="136">
        <f>IF(O3=1,COUNTIF($O$2:O3,1),"")</f>
        <v/>
      </c>
      <c r="Q3" s="137">
        <f>IF(OR(B3="",G3="",H3&lt;&gt;"OCCUPIED"),"",IF(ISNUMBER(SEARCH("WHEAT",G3)),SUMPRODUCT(--ISNUMBER(SEARCH("WHEAT",$G$2:$G$99)),--($H$2:$H$99="OCCUPIED"),--($B$2:$B$99&lt;&gt;""),--(IFERROR(VALUE(LEFT(RIGHT($G$2:$G$99,7),4)),999)&lt;IFERROR(VALUE(LEFT(RIGHT(G3,7),4)),999)))+SUMPRODUCT(--ISNUMBER(SEARCH("WHEAT",$G$2:$G$99)),--($H$2:$H$99="OCCUPIED"),--($B$2:$B$99&lt;&gt;""),--(IFERROR(VALUE(LEFT(RIGHT($G$2:$G$99,7),4)),999)=IFERROR(VALUE(LEFT(RIGHT(G3,7),4)),999)),--($B$2:$B$99&lt;B3))+SUMPRODUCT(--ISNUMBER(SEARCH("WHEAT",$G$2:$G$99)),--($H$2:$H$99="OCCUPIED"),--($B$2:$B$99&lt;&gt;""),--(IFERROR(VALUE(LEFT(RIGHT($G$2:$G$99,7),4)),999)=IFERROR(VALUE(LEFT(RIGHT(G3,7),4)),999)),--($B$2:$B$99=B3),--(ROW($B$2:$B$99)&lt;=ROW())),""))</f>
        <v/>
      </c>
      <c r="R3" s="137">
        <f>IF(OR(B3="",G3="",H3&lt;&gt;"OCCUPIED"),"",IF(ISERROR(SEARCH("WHEAT",G3)),SUMPRODUCT(--ISERROR(SEARCH("WHEAT",$G$2:$G$99)),--($H$2:$H$99="OCCUPIED"),--($B$2:$B$99&lt;&gt;""),--(IFERROR(VALUE(LEFT(RIGHT($G$2:$G$99,7),4)),999)&lt;IFERROR(VALUE(LEFT(RIGHT(G3,7),4)),999)))+SUMPRODUCT(--ISERROR(SEARCH("WHEAT",$G$2:$G$99)),--($H$2:$H$99="OCCUPIED"),--($B$2:$B$99&lt;&gt;""),--(IFERROR(VALUE(LEFT(RIGHT($G$2:$G$99,7),4)),999)=IFERROR(VALUE(LEFT(RIGHT(G3,7),4)),999)),--($B$2:$B$99&lt;B3))+SUMPRODUCT(--ISERROR(SEARCH("WHEAT",$G$2:$G$99)),--($H$2:$H$99="OCCUPIED"),--($B$2:$B$99&lt;&gt;""),--(IFERROR(VALUE(LEFT(RIGHT($G$2:$G$99,7),4)),999)=IFERROR(VALUE(LEFT(RIGHT(G3,7),4)),999)),--($B$2:$B$99=B3),--(ROW($B$2:$B$99)&lt;=ROW())),""))</f>
        <v/>
      </c>
    </row>
    <row r="4" ht="15" customHeight="1" s="230">
      <c r="A4" s="138">
        <f>IF(D4="","",ROWS($D$2:D4))</f>
        <v/>
      </c>
      <c r="B4" s="139" t="n">
        <v>45775</v>
      </c>
      <c r="C4" s="140" t="n">
        <v>9</v>
      </c>
      <c r="D4" s="140" t="inlineStr">
        <is>
          <t>9A03</t>
        </is>
      </c>
      <c r="E4" s="140" t="n">
        <v>3501</v>
      </c>
      <c r="F4" s="141" t="n">
        <v>174.719903</v>
      </c>
      <c r="G4" s="140" t="inlineStr">
        <is>
          <t>WHEAT FAQ 2025-26</t>
        </is>
      </c>
      <c r="H4" s="142">
        <f>IF(AND(E4="",F4="",G4=""),"EMPTY","OCCUPIED")</f>
        <v/>
      </c>
      <c r="I4" s="143">
        <f>IF(B4="","",IF(ISNUMBER(B4),MAX(0,TODAY()-B4),""))</f>
        <v/>
      </c>
      <c r="J4" s="139" t="n"/>
      <c r="K4" s="139" t="n"/>
      <c r="L4" s="144" t="n"/>
      <c r="M4" s="135">
        <f>IF(AND(H4="OCCUPIED",ISNUMBER(J4),K4=""),1,0)</f>
        <v/>
      </c>
      <c r="N4" s="136">
        <f>IF(M4=1,COUNTIF($M$2:M4,1),"")</f>
        <v/>
      </c>
      <c r="O4" s="136">
        <f>IF(AND(H4="OCCUPIED",ISNUMBER(J4),K4=""),--(TODAY()-J4&gt;5),0)</f>
        <v/>
      </c>
      <c r="P4" s="136">
        <f>IF(O4=1,COUNTIF($O$2:O4,1),"")</f>
        <v/>
      </c>
      <c r="Q4" s="137">
        <f>IF(OR(B4="",G4="",H4&lt;&gt;"OCCUPIED"),"",IF(ISNUMBER(SEARCH("WHEAT",G4)),SUMPRODUCT(--ISNUMBER(SEARCH("WHEAT",$G$2:$G$99)),--($H$2:$H$99="OCCUPIED"),--($B$2:$B$99&lt;&gt;""),--(IFERROR(VALUE(LEFT(RIGHT($G$2:$G$99,7),4)),999)&lt;IFERROR(VALUE(LEFT(RIGHT(G4,7),4)),999)))+SUMPRODUCT(--ISNUMBER(SEARCH("WHEAT",$G$2:$G$99)),--($H$2:$H$99="OCCUPIED"),--($B$2:$B$99&lt;&gt;""),--(IFERROR(VALUE(LEFT(RIGHT($G$2:$G$99,7),4)),999)=IFERROR(VALUE(LEFT(RIGHT(G4,7),4)),999)),--($B$2:$B$99&lt;B4))+SUMPRODUCT(--ISNUMBER(SEARCH("WHEAT",$G$2:$G$99)),--($H$2:$H$99="OCCUPIED"),--($B$2:$B$99&lt;&gt;""),--(IFERROR(VALUE(LEFT(RIGHT($G$2:$G$99,7),4)),999)=IFERROR(VALUE(LEFT(RIGHT(G4,7),4)),999)),--($B$2:$B$99=B4),--(ROW($B$2:$B$99)&lt;=ROW())),""))</f>
        <v/>
      </c>
      <c r="R4" s="137">
        <f>IF(OR(B4="",G4="",H4&lt;&gt;"OCCUPIED"),"",IF(ISERROR(SEARCH("WHEAT",G4)),SUMPRODUCT(--ISERROR(SEARCH("WHEAT",$G$2:$G$99)),--($H$2:$H$99="OCCUPIED"),--($B$2:$B$99&lt;&gt;""),--(IFERROR(VALUE(LEFT(RIGHT($G$2:$G$99,7),4)),999)&lt;IFERROR(VALUE(LEFT(RIGHT(G4,7),4)),999)))+SUMPRODUCT(--ISERROR(SEARCH("WHEAT",$G$2:$G$99)),--($H$2:$H$99="OCCUPIED"),--($B$2:$B$99&lt;&gt;""),--(IFERROR(VALUE(LEFT(RIGHT($G$2:$G$99,7),4)),999)=IFERROR(VALUE(LEFT(RIGHT(G4,7),4)),999)),--($B$2:$B$99&lt;B4))+SUMPRODUCT(--ISERROR(SEARCH("WHEAT",$G$2:$G$99)),--($H$2:$H$99="OCCUPIED"),--($B$2:$B$99&lt;&gt;""),--(IFERROR(VALUE(LEFT(RIGHT($G$2:$G$99,7),4)),999)=IFERROR(VALUE(LEFT(RIGHT(G4,7),4)),999)),--($B$2:$B$99=B4),--(ROW($B$2:$B$99)&lt;=ROW())),""))</f>
        <v/>
      </c>
    </row>
    <row r="5" ht="15" customHeight="1" s="230">
      <c r="A5" s="138">
        <f>IF(D5="","",ROWS($D$2:D5))</f>
        <v/>
      </c>
      <c r="B5" s="139" t="n">
        <v>46220</v>
      </c>
      <c r="C5" s="140" t="n">
        <v>9</v>
      </c>
      <c r="D5" s="140" t="inlineStr">
        <is>
          <t>9A04</t>
        </is>
      </c>
      <c r="E5" s="140" t="n">
        <v>3413</v>
      </c>
      <c r="F5" s="141" t="n">
        <v>164.835756</v>
      </c>
      <c r="G5" s="140" t="inlineStr">
        <is>
          <t>FRK  RRA 2023-24</t>
        </is>
      </c>
      <c r="H5" s="142">
        <f>IF(AND(E5="",F5="",G5=""),"EMPTY","OCCUPIED")</f>
        <v/>
      </c>
      <c r="I5" s="143">
        <f>IF(B5="","",IF(ISNUMBER(B5),MAX(0,TODAY()-B5),""))</f>
        <v/>
      </c>
      <c r="J5" s="139" t="n"/>
      <c r="K5" s="139" t="n"/>
      <c r="L5" s="144" t="n"/>
      <c r="M5" s="135">
        <f>IF(AND(H5="OCCUPIED",ISNUMBER(J5),K5=""),1,0)</f>
        <v/>
      </c>
      <c r="N5" s="136">
        <f>IF(M5=1,COUNTIF($M$2:M5,1),"")</f>
        <v/>
      </c>
      <c r="O5" s="136">
        <f>IF(AND(H5="OCCUPIED",ISNUMBER(J5),K5=""),--(TODAY()-J5&gt;5),0)</f>
        <v/>
      </c>
      <c r="P5" s="136">
        <f>IF(O5=1,COUNTIF($O$2:O5,1),"")</f>
        <v/>
      </c>
      <c r="Q5" s="137">
        <f>IF(OR(B5="",G5="",H5&lt;&gt;"OCCUPIED"),"",IF(ISNUMBER(SEARCH("WHEAT",G5)),SUMPRODUCT(--ISNUMBER(SEARCH("WHEAT",$G$2:$G$99)),--($H$2:$H$99="OCCUPIED"),--($B$2:$B$99&lt;&gt;""),--(IFERROR(VALUE(LEFT(RIGHT($G$2:$G$99,7),4)),999)&lt;IFERROR(VALUE(LEFT(RIGHT(G5,7),4)),999)))+SUMPRODUCT(--ISNUMBER(SEARCH("WHEAT",$G$2:$G$99)),--($H$2:$H$99="OCCUPIED"),--($B$2:$B$99&lt;&gt;""),--(IFERROR(VALUE(LEFT(RIGHT($G$2:$G$99,7),4)),999)=IFERROR(VALUE(LEFT(RIGHT(G5,7),4)),999)),--($B$2:$B$99&lt;B5))+SUMPRODUCT(--ISNUMBER(SEARCH("WHEAT",$G$2:$G$99)),--($H$2:$H$99="OCCUPIED"),--($B$2:$B$99&lt;&gt;""),--(IFERROR(VALUE(LEFT(RIGHT($G$2:$G$99,7),4)),999)=IFERROR(VALUE(LEFT(RIGHT(G5,7),4)),999)),--($B$2:$B$99=B5),--(ROW($B$2:$B$99)&lt;=ROW())),""))</f>
        <v/>
      </c>
      <c r="R5" s="137">
        <f>IF(OR(B5="",G5="",H5&lt;&gt;"OCCUPIED"),"",IF(ISERROR(SEARCH("WHEAT",G5)),SUMPRODUCT(--ISERROR(SEARCH("WHEAT",$G$2:$G$99)),--($H$2:$H$99="OCCUPIED"),--($B$2:$B$99&lt;&gt;""),--(IFERROR(VALUE(LEFT(RIGHT($G$2:$G$99,7),4)),999)&lt;IFERROR(VALUE(LEFT(RIGHT(G5,7),4)),999)))+SUMPRODUCT(--ISERROR(SEARCH("WHEAT",$G$2:$G$99)),--($H$2:$H$99="OCCUPIED"),--($B$2:$B$99&lt;&gt;""),--(IFERROR(VALUE(LEFT(RIGHT($G$2:$G$99,7),4)),999)=IFERROR(VALUE(LEFT(RIGHT(G5,7),4)),999)),--($B$2:$B$99&lt;B5))+SUMPRODUCT(--ISERROR(SEARCH("WHEAT",$G$2:$G$99)),--($H$2:$H$99="OCCUPIED"),--($B$2:$B$99&lt;&gt;""),--(IFERROR(VALUE(LEFT(RIGHT($G$2:$G$99,7),4)),999)=IFERROR(VALUE(LEFT(RIGHT(G5,7),4)),999)),--($B$2:$B$99=B5),--(ROW($B$2:$B$99)&lt;=ROW())),""))</f>
        <v/>
      </c>
    </row>
    <row r="6" ht="15" customHeight="1" s="230">
      <c r="A6" s="138">
        <f>IF(D6="","",ROWS($D$2:D6))</f>
        <v/>
      </c>
      <c r="B6" s="139" t="n">
        <v>45812</v>
      </c>
      <c r="C6" s="140" t="n">
        <v>9</v>
      </c>
      <c r="D6" s="140" t="inlineStr">
        <is>
          <t>9A05</t>
        </is>
      </c>
      <c r="E6" s="140" t="n">
        <v>3501</v>
      </c>
      <c r="F6" s="141" t="n">
        <v>174.250285</v>
      </c>
      <c r="G6" s="140" t="inlineStr">
        <is>
          <t>WHEAT FAQ 2025-26</t>
        </is>
      </c>
      <c r="H6" s="142">
        <f>IF(AND(E6="",F6="",G6=""),"EMPTY","OCCUPIED")</f>
        <v/>
      </c>
      <c r="I6" s="143">
        <f>IF(B6="","",IF(ISNUMBER(B6),MAX(0,TODAY()-B6),""))</f>
        <v/>
      </c>
      <c r="J6" s="139" t="n"/>
      <c r="K6" s="139" t="n"/>
      <c r="L6" s="145" t="n"/>
      <c r="M6" s="135">
        <f>IF(AND(H6="OCCUPIED",ISNUMBER(J6),K6=""),1,0)</f>
        <v/>
      </c>
      <c r="N6" s="136">
        <f>IF(M6=1,COUNTIF($M$2:M6,1),"")</f>
        <v/>
      </c>
      <c r="O6" s="136">
        <f>IF(AND(H6="OCCUPIED",ISNUMBER(J6),K6=""),--(TODAY()-J6&gt;5),0)</f>
        <v/>
      </c>
      <c r="P6" s="136">
        <f>IF(O6=1,COUNTIF($O$2:O6,1),"")</f>
        <v/>
      </c>
      <c r="Q6" s="137">
        <f>IF(OR(B6="",G6="",H6&lt;&gt;"OCCUPIED"),"",IF(ISNUMBER(SEARCH("WHEAT",G6)),SUMPRODUCT(--ISNUMBER(SEARCH("WHEAT",$G$2:$G$99)),--($H$2:$H$99="OCCUPIED"),--($B$2:$B$99&lt;&gt;""),--(IFERROR(VALUE(LEFT(RIGHT($G$2:$G$99,7),4)),999)&lt;IFERROR(VALUE(LEFT(RIGHT(G6,7),4)),999)))+SUMPRODUCT(--ISNUMBER(SEARCH("WHEAT",$G$2:$G$99)),--($H$2:$H$99="OCCUPIED"),--($B$2:$B$99&lt;&gt;""),--(IFERROR(VALUE(LEFT(RIGHT($G$2:$G$99,7),4)),999)=IFERROR(VALUE(LEFT(RIGHT(G6,7),4)),999)),--($B$2:$B$99&lt;B6))+SUMPRODUCT(--ISNUMBER(SEARCH("WHEAT",$G$2:$G$99)),--($H$2:$H$99="OCCUPIED"),--($B$2:$B$99&lt;&gt;""),--(IFERROR(VALUE(LEFT(RIGHT($G$2:$G$99,7),4)),999)=IFERROR(VALUE(LEFT(RIGHT(G6,7),4)),999)),--($B$2:$B$99=B6),--(ROW($B$2:$B$99)&lt;=ROW())),""))</f>
        <v/>
      </c>
      <c r="R6" s="137">
        <f>IF(OR(B6="",G6="",H6&lt;&gt;"OCCUPIED"),"",IF(ISERROR(SEARCH("WHEAT",G6)),SUMPRODUCT(--ISERROR(SEARCH("WHEAT",$G$2:$G$99)),--($H$2:$H$99="OCCUPIED"),--($B$2:$B$99&lt;&gt;""),--(IFERROR(VALUE(LEFT(RIGHT($G$2:$G$99,7),4)),999)&lt;IFERROR(VALUE(LEFT(RIGHT(G6,7),4)),999)))+SUMPRODUCT(--ISERROR(SEARCH("WHEAT",$G$2:$G$99)),--($H$2:$H$99="OCCUPIED"),--($B$2:$B$99&lt;&gt;""),--(IFERROR(VALUE(LEFT(RIGHT($G$2:$G$99,7),4)),999)=IFERROR(VALUE(LEFT(RIGHT(G6,7),4)),999)),--($B$2:$B$99&lt;B6))+SUMPRODUCT(--ISERROR(SEARCH("WHEAT",$G$2:$G$99)),--($H$2:$H$99="OCCUPIED"),--($B$2:$B$99&lt;&gt;""),--(IFERROR(VALUE(LEFT(RIGHT($G$2:$G$99,7),4)),999)=IFERROR(VALUE(LEFT(RIGHT(G6,7),4)),999)),--($B$2:$B$99=B6),--(ROW($B$2:$B$99)&lt;=ROW())),""))</f>
        <v/>
      </c>
    </row>
    <row r="7" ht="15" customHeight="1" s="230">
      <c r="A7" s="138">
        <f>IF(D7="","",ROWS($D$2:D7))</f>
        <v/>
      </c>
      <c r="B7" s="139" t="n"/>
      <c r="C7" s="140" t="n">
        <v>9</v>
      </c>
      <c r="D7" s="140" t="inlineStr">
        <is>
          <t>9A06</t>
        </is>
      </c>
      <c r="E7" s="140" t="n"/>
      <c r="F7" s="141" t="n"/>
      <c r="G7" s="140" t="n"/>
      <c r="H7" s="142">
        <f>IF(AND(E7="",F7="",G7=""),"EMPTY","OCCUPIED")</f>
        <v/>
      </c>
      <c r="I7" s="143">
        <f>IF(B7="","",IF(ISNUMBER(B7),MAX(0,TODAY()-B7),""))</f>
        <v/>
      </c>
      <c r="J7" s="139" t="n"/>
      <c r="K7" s="139" t="n"/>
      <c r="L7" s="144" t="n"/>
      <c r="M7" s="135">
        <f>IF(AND(H7="OCCUPIED",ISNUMBER(J7),K7=""),1,0)</f>
        <v/>
      </c>
      <c r="N7" s="136">
        <f>IF(M7=1,COUNTIF($M$2:M7,1),"")</f>
        <v/>
      </c>
      <c r="O7" s="136">
        <f>IF(AND(H7="OCCUPIED",ISNUMBER(J7),K7=""),--(TODAY()-J7&gt;5),0)</f>
        <v/>
      </c>
      <c r="P7" s="136">
        <f>IF(O7=1,COUNTIF($O$2:O7,1),"")</f>
        <v/>
      </c>
      <c r="Q7" s="137">
        <f>IF(OR(B7="",G7="",H7&lt;&gt;"OCCUPIED"),"",IF(ISNUMBER(SEARCH("WHEAT",G7)),SUMPRODUCT(--ISNUMBER(SEARCH("WHEAT",$G$2:$G$99)),--($H$2:$H$99="OCCUPIED"),--($B$2:$B$99&lt;&gt;""),--(IFERROR(VALUE(LEFT(RIGHT($G$2:$G$99,7),4)),999)&lt;IFERROR(VALUE(LEFT(RIGHT(G7,7),4)),999)))+SUMPRODUCT(--ISNUMBER(SEARCH("WHEAT",$G$2:$G$99)),--($H$2:$H$99="OCCUPIED"),--($B$2:$B$99&lt;&gt;""),--(IFERROR(VALUE(LEFT(RIGHT($G$2:$G$99,7),4)),999)=IFERROR(VALUE(LEFT(RIGHT(G7,7),4)),999)),--($B$2:$B$99&lt;B7))+SUMPRODUCT(--ISNUMBER(SEARCH("WHEAT",$G$2:$G$99)),--($H$2:$H$99="OCCUPIED"),--($B$2:$B$99&lt;&gt;""),--(IFERROR(VALUE(LEFT(RIGHT($G$2:$G$99,7),4)),999)=IFERROR(VALUE(LEFT(RIGHT(G7,7),4)),999)),--($B$2:$B$99=B7),--(ROW($B$2:$B$99)&lt;=ROW())),""))</f>
        <v/>
      </c>
      <c r="R7" s="137">
        <f>IF(OR(B7="",G7="",H7&lt;&gt;"OCCUPIED"),"",IF(ISERROR(SEARCH("WHEAT",G7)),SUMPRODUCT(--ISERROR(SEARCH("WHEAT",$G$2:$G$99)),--($H$2:$H$99="OCCUPIED"),--($B$2:$B$99&lt;&gt;""),--(IFERROR(VALUE(LEFT(RIGHT($G$2:$G$99,7),4)),999)&lt;IFERROR(VALUE(LEFT(RIGHT(G7,7),4)),999)))+SUMPRODUCT(--ISERROR(SEARCH("WHEAT",$G$2:$G$99)),--($H$2:$H$99="OCCUPIED"),--($B$2:$B$99&lt;&gt;""),--(IFERROR(VALUE(LEFT(RIGHT($G$2:$G$99,7),4)),999)=IFERROR(VALUE(LEFT(RIGHT(G7,7),4)),999)),--($B$2:$B$99&lt;B7))+SUMPRODUCT(--ISERROR(SEARCH("WHEAT",$G$2:$G$99)),--($H$2:$H$99="OCCUPIED"),--($B$2:$B$99&lt;&gt;""),--(IFERROR(VALUE(LEFT(RIGHT($G$2:$G$99,7),4)),999)=IFERROR(VALUE(LEFT(RIGHT(G7,7),4)),999)),--($B$2:$B$99=B7),--(ROW($B$2:$B$99)&lt;=ROW())),""))</f>
        <v/>
      </c>
    </row>
    <row r="8" ht="15" customHeight="1" s="230">
      <c r="A8" s="138">
        <f>IF(D8="","",ROWS($D$2:D8))</f>
        <v/>
      </c>
      <c r="B8" s="139" t="n">
        <v>46108</v>
      </c>
      <c r="C8" s="140" t="n">
        <v>9</v>
      </c>
      <c r="D8" s="140" t="inlineStr">
        <is>
          <t>9A07</t>
        </is>
      </c>
      <c r="E8" s="140" t="n">
        <v>3501</v>
      </c>
      <c r="F8" s="141" t="n">
        <v>172.964622</v>
      </c>
      <c r="G8" s="140" t="inlineStr">
        <is>
          <t>FRK  RRA 2024-25</t>
        </is>
      </c>
      <c r="H8" s="142">
        <f>IF(AND(E8="",F8="",G8=""),"EMPTY","OCCUPIED")</f>
        <v/>
      </c>
      <c r="I8" s="143">
        <f>IF(B8="","",IF(ISNUMBER(B8),MAX(0,TODAY()-B8),""))</f>
        <v/>
      </c>
      <c r="J8" s="139" t="n"/>
      <c r="K8" s="139" t="n"/>
      <c r="L8" s="144" t="n"/>
      <c r="M8" s="135">
        <f>IF(AND(H8="OCCUPIED",ISNUMBER(J8),K8=""),1,0)</f>
        <v/>
      </c>
      <c r="N8" s="136">
        <f>IF(M8=1,COUNTIF($M$2:M8,1),"")</f>
        <v/>
      </c>
      <c r="O8" s="136">
        <f>IF(AND(H8="OCCUPIED",ISNUMBER(J8),K8=""),--(TODAY()-J8&gt;5),0)</f>
        <v/>
      </c>
      <c r="P8" s="136">
        <f>IF(O8=1,COUNTIF($O$2:O8,1),"")</f>
        <v/>
      </c>
      <c r="Q8" s="137">
        <f>IF(OR(B8="",G8="",H8&lt;&gt;"OCCUPIED"),"",IF(ISNUMBER(SEARCH("WHEAT",G8)),SUMPRODUCT(--ISNUMBER(SEARCH("WHEAT",$G$2:$G$99)),--($H$2:$H$99="OCCUPIED"),--($B$2:$B$99&lt;&gt;""),--(IFERROR(VALUE(LEFT(RIGHT($G$2:$G$99,7),4)),999)&lt;IFERROR(VALUE(LEFT(RIGHT(G8,7),4)),999)))+SUMPRODUCT(--ISNUMBER(SEARCH("WHEAT",$G$2:$G$99)),--($H$2:$H$99="OCCUPIED"),--($B$2:$B$99&lt;&gt;""),--(IFERROR(VALUE(LEFT(RIGHT($G$2:$G$99,7),4)),999)=IFERROR(VALUE(LEFT(RIGHT(G8,7),4)),999)),--($B$2:$B$99&lt;B8))+SUMPRODUCT(--ISNUMBER(SEARCH("WHEAT",$G$2:$G$99)),--($H$2:$H$99="OCCUPIED"),--($B$2:$B$99&lt;&gt;""),--(IFERROR(VALUE(LEFT(RIGHT($G$2:$G$99,7),4)),999)=IFERROR(VALUE(LEFT(RIGHT(G8,7),4)),999)),--($B$2:$B$99=B8),--(ROW($B$2:$B$99)&lt;=ROW())),""))</f>
        <v/>
      </c>
      <c r="R8" s="137">
        <f>IF(OR(B8="",G8="",H8&lt;&gt;"OCCUPIED"),"",IF(ISERROR(SEARCH("WHEAT",G8)),SUMPRODUCT(--ISERROR(SEARCH("WHEAT",$G$2:$G$99)),--($H$2:$H$99="OCCUPIED"),--($B$2:$B$99&lt;&gt;""),--(IFERROR(VALUE(LEFT(RIGHT($G$2:$G$99,7),4)),999)&lt;IFERROR(VALUE(LEFT(RIGHT(G8,7),4)),999)))+SUMPRODUCT(--ISERROR(SEARCH("WHEAT",$G$2:$G$99)),--($H$2:$H$99="OCCUPIED"),--($B$2:$B$99&lt;&gt;""),--(IFERROR(VALUE(LEFT(RIGHT($G$2:$G$99,7),4)),999)=IFERROR(VALUE(LEFT(RIGHT(G8,7),4)),999)),--($B$2:$B$99&lt;B8))+SUMPRODUCT(--ISERROR(SEARCH("WHEAT",$G$2:$G$99)),--($H$2:$H$99="OCCUPIED"),--($B$2:$B$99&lt;&gt;""),--(IFERROR(VALUE(LEFT(RIGHT($G$2:$G$99,7),4)),999)=IFERROR(VALUE(LEFT(RIGHT(G8,7),4)),999)),--($B$2:$B$99=B8),--(ROW($B$2:$B$99)&lt;=ROW())),""))</f>
        <v/>
      </c>
    </row>
    <row r="9" ht="15" customHeight="1" s="230">
      <c r="A9" s="138">
        <f>IF(D9="","",ROWS($D$2:D9))</f>
        <v/>
      </c>
      <c r="B9" s="139" t="n">
        <v>46110</v>
      </c>
      <c r="C9" s="140" t="n">
        <v>9</v>
      </c>
      <c r="D9" s="140" t="inlineStr">
        <is>
          <t>9A08</t>
        </is>
      </c>
      <c r="E9" s="140" t="n">
        <v>3501</v>
      </c>
      <c r="F9" s="141" t="n">
        <v>173.953365</v>
      </c>
      <c r="G9" s="140" t="inlineStr">
        <is>
          <t>FRK  RRA 2024-25</t>
        </is>
      </c>
      <c r="H9" s="142">
        <f>IF(AND(E9="",F9="",G9=""),"EMPTY","OCCUPIED")</f>
        <v/>
      </c>
      <c r="I9" s="143">
        <f>IF(B9="","",IF(ISNUMBER(B9),MAX(0,TODAY()-B9),""))</f>
        <v/>
      </c>
      <c r="J9" s="139" t="n"/>
      <c r="K9" s="139" t="n"/>
      <c r="L9" s="144" t="n"/>
      <c r="M9" s="135">
        <f>IF(AND(H9="OCCUPIED",ISNUMBER(J9),K9=""),1,0)</f>
        <v/>
      </c>
      <c r="N9" s="136">
        <f>IF(M9=1,COUNTIF($M$2:M9,1),"")</f>
        <v/>
      </c>
      <c r="O9" s="136">
        <f>IF(AND(H9="OCCUPIED",ISNUMBER(J9),K9=""),--(TODAY()-J9&gt;5),0)</f>
        <v/>
      </c>
      <c r="P9" s="136">
        <f>IF(O9=1,COUNTIF($O$2:O9,1),"")</f>
        <v/>
      </c>
      <c r="Q9" s="137">
        <f>IF(OR(B9="",G9="",H9&lt;&gt;"OCCUPIED"),"",IF(ISNUMBER(SEARCH("WHEAT",G9)),SUMPRODUCT(--ISNUMBER(SEARCH("WHEAT",$G$2:$G$99)),--($H$2:$H$99="OCCUPIED"),--($B$2:$B$99&lt;&gt;""),--(IFERROR(VALUE(LEFT(RIGHT($G$2:$G$99,7),4)),999)&lt;IFERROR(VALUE(LEFT(RIGHT(G9,7),4)),999)))+SUMPRODUCT(--ISNUMBER(SEARCH("WHEAT",$G$2:$G$99)),--($H$2:$H$99="OCCUPIED"),--($B$2:$B$99&lt;&gt;""),--(IFERROR(VALUE(LEFT(RIGHT($G$2:$G$99,7),4)),999)=IFERROR(VALUE(LEFT(RIGHT(G9,7),4)),999)),--($B$2:$B$99&lt;B9))+SUMPRODUCT(--ISNUMBER(SEARCH("WHEAT",$G$2:$G$99)),--($H$2:$H$99="OCCUPIED"),--($B$2:$B$99&lt;&gt;""),--(IFERROR(VALUE(LEFT(RIGHT($G$2:$G$99,7),4)),999)=IFERROR(VALUE(LEFT(RIGHT(G9,7),4)),999)),--($B$2:$B$99=B9),--(ROW($B$2:$B$99)&lt;=ROW())),""))</f>
        <v/>
      </c>
      <c r="R9" s="137">
        <f>IF(OR(B9="",G9="",H9&lt;&gt;"OCCUPIED"),"",IF(ISERROR(SEARCH("WHEAT",G9)),SUMPRODUCT(--ISERROR(SEARCH("WHEAT",$G$2:$G$99)),--($H$2:$H$99="OCCUPIED"),--($B$2:$B$99&lt;&gt;""),--(IFERROR(VALUE(LEFT(RIGHT($G$2:$G$99,7),4)),999)&lt;IFERROR(VALUE(LEFT(RIGHT(G9,7),4)),999)))+SUMPRODUCT(--ISERROR(SEARCH("WHEAT",$G$2:$G$99)),--($H$2:$H$99="OCCUPIED"),--($B$2:$B$99&lt;&gt;""),--(IFERROR(VALUE(LEFT(RIGHT($G$2:$G$99,7),4)),999)=IFERROR(VALUE(LEFT(RIGHT(G9,7),4)),999)),--($B$2:$B$99&lt;B9))+SUMPRODUCT(--ISERROR(SEARCH("WHEAT",$G$2:$G$99)),--($H$2:$H$99="OCCUPIED"),--($B$2:$B$99&lt;&gt;""),--(IFERROR(VALUE(LEFT(RIGHT($G$2:$G$99,7),4)),999)=IFERROR(VALUE(LEFT(RIGHT(G9,7),4)),999)),--($B$2:$B$99=B9),--(ROW($B$2:$B$99)&lt;=ROW())),""))</f>
        <v/>
      </c>
    </row>
    <row r="10" ht="15" customHeight="1" s="230">
      <c r="A10" s="138">
        <f>IF(D10="","",ROWS($D$2:D10))</f>
        <v/>
      </c>
      <c r="B10" s="139" t="n"/>
      <c r="C10" s="140" t="n">
        <v>9</v>
      </c>
      <c r="D10" s="140" t="inlineStr">
        <is>
          <t>9A09</t>
        </is>
      </c>
      <c r="E10" s="140" t="n"/>
      <c r="F10" s="141" t="n"/>
      <c r="G10" s="140" t="n"/>
      <c r="H10" s="142">
        <f>IF(AND(E10="",F10="",G10=""),"EMPTY","OCCUPIED")</f>
        <v/>
      </c>
      <c r="I10" s="143">
        <f>IF(B10="","",IF(ISNUMBER(B10),MAX(0,TODAY()-B10),""))</f>
        <v/>
      </c>
      <c r="J10" s="139" t="n"/>
      <c r="K10" s="139" t="n"/>
      <c r="L10" s="144" t="n"/>
      <c r="M10" s="135">
        <f>IF(AND(H10="OCCUPIED",ISNUMBER(J10),K10=""),1,0)</f>
        <v/>
      </c>
      <c r="N10" s="136">
        <f>IF(M10=1,COUNTIF($M$2:M10,1),"")</f>
        <v/>
      </c>
      <c r="O10" s="136">
        <f>IF(AND(H10="OCCUPIED",ISNUMBER(J10),K10=""),--(TODAY()-J10&gt;5),0)</f>
        <v/>
      </c>
      <c r="P10" s="136">
        <f>IF(O10=1,COUNTIF($O$2:O10,1),"")</f>
        <v/>
      </c>
      <c r="Q10" s="137">
        <f>IF(OR(B10="",G10="",H10&lt;&gt;"OCCUPIED"),"",IF(ISNUMBER(SEARCH("WHEAT",G10)),SUMPRODUCT(--ISNUMBER(SEARCH("WHEAT",$G$2:$G$99)),--($H$2:$H$99="OCCUPIED"),--($B$2:$B$99&lt;&gt;""),--(IFERROR(VALUE(LEFT(RIGHT($G$2:$G$99,7),4)),999)&lt;IFERROR(VALUE(LEFT(RIGHT(G10,7),4)),999)))+SUMPRODUCT(--ISNUMBER(SEARCH("WHEAT",$G$2:$G$99)),--($H$2:$H$99="OCCUPIED"),--($B$2:$B$99&lt;&gt;""),--(IFERROR(VALUE(LEFT(RIGHT($G$2:$G$99,7),4)),999)=IFERROR(VALUE(LEFT(RIGHT(G10,7),4)),999)),--($B$2:$B$99&lt;B10))+SUMPRODUCT(--ISNUMBER(SEARCH("WHEAT",$G$2:$G$99)),--($H$2:$H$99="OCCUPIED"),--($B$2:$B$99&lt;&gt;""),--(IFERROR(VALUE(LEFT(RIGHT($G$2:$G$99,7),4)),999)=IFERROR(VALUE(LEFT(RIGHT(G10,7),4)),999)),--($B$2:$B$99=B10),--(ROW($B$2:$B$99)&lt;=ROW())),""))</f>
        <v/>
      </c>
      <c r="R10" s="137">
        <f>IF(OR(B10="",G10="",H10&lt;&gt;"OCCUPIED"),"",IF(ISERROR(SEARCH("WHEAT",G10)),SUMPRODUCT(--ISERROR(SEARCH("WHEAT",$G$2:$G$99)),--($H$2:$H$99="OCCUPIED"),--($B$2:$B$99&lt;&gt;""),--(IFERROR(VALUE(LEFT(RIGHT($G$2:$G$99,7),4)),999)&lt;IFERROR(VALUE(LEFT(RIGHT(G10,7),4)),999)))+SUMPRODUCT(--ISERROR(SEARCH("WHEAT",$G$2:$G$99)),--($H$2:$H$99="OCCUPIED"),--($B$2:$B$99&lt;&gt;""),--(IFERROR(VALUE(LEFT(RIGHT($G$2:$G$99,7),4)),999)=IFERROR(VALUE(LEFT(RIGHT(G10,7),4)),999)),--($B$2:$B$99&lt;B10))+SUMPRODUCT(--ISERROR(SEARCH("WHEAT",$G$2:$G$99)),--($H$2:$H$99="OCCUPIED"),--($B$2:$B$99&lt;&gt;""),--(IFERROR(VALUE(LEFT(RIGHT($G$2:$G$99,7),4)),999)=IFERROR(VALUE(LEFT(RIGHT(G10,7),4)),999)),--($B$2:$B$99=B10),--(ROW($B$2:$B$99)&lt;=ROW())),""))</f>
        <v/>
      </c>
    </row>
    <row r="11" ht="15" customHeight="1" s="230">
      <c r="A11" s="138">
        <f>IF(D11="","",ROWS($D$2:D11))</f>
        <v/>
      </c>
      <c r="B11" s="139" t="n">
        <v>46112</v>
      </c>
      <c r="C11" s="140" t="n">
        <v>9</v>
      </c>
      <c r="D11" s="140" t="inlineStr">
        <is>
          <t>9B10</t>
        </is>
      </c>
      <c r="E11" s="140" t="n">
        <v>3501</v>
      </c>
      <c r="F11" s="141" t="n">
        <v>170.647564</v>
      </c>
      <c r="G11" s="140" t="inlineStr">
        <is>
          <t>FRK  RRA 2024-25</t>
        </is>
      </c>
      <c r="H11" s="142">
        <f>IF(AND(E11="",F11="",G11=""),"EMPTY","OCCUPIED")</f>
        <v/>
      </c>
      <c r="I11" s="143">
        <f>IF(B11="","",IF(ISNUMBER(B11),MAX(0,TODAY()-B11),""))</f>
        <v/>
      </c>
      <c r="J11" s="139" t="n"/>
      <c r="K11" s="139" t="n"/>
      <c r="L11" s="144" t="n"/>
      <c r="M11" s="135">
        <f>IF(AND(H11="OCCUPIED",ISNUMBER(J11),K11=""),1,0)</f>
        <v/>
      </c>
      <c r="N11" s="136">
        <f>IF(M11=1,COUNTIF($M$2:M11,1),"")</f>
        <v/>
      </c>
      <c r="O11" s="136">
        <f>IF(AND(H11="OCCUPIED",ISNUMBER(J11),K11=""),--(TODAY()-J11&gt;5),0)</f>
        <v/>
      </c>
      <c r="P11" s="136">
        <f>IF(O11=1,COUNTIF($O$2:O11,1),"")</f>
        <v/>
      </c>
      <c r="Q11" s="137">
        <f>IF(OR(B11="",G11="",H11&lt;&gt;"OCCUPIED"),"",IF(ISNUMBER(SEARCH("WHEAT",G11)),SUMPRODUCT(--ISNUMBER(SEARCH("WHEAT",$G$2:$G$99)),--($H$2:$H$99="OCCUPIED"),--($B$2:$B$99&lt;&gt;""),--(IFERROR(VALUE(LEFT(RIGHT($G$2:$G$99,7),4)),999)&lt;IFERROR(VALUE(LEFT(RIGHT(G11,7),4)),999)))+SUMPRODUCT(--ISNUMBER(SEARCH("WHEAT",$G$2:$G$99)),--($H$2:$H$99="OCCUPIED"),--($B$2:$B$99&lt;&gt;""),--(IFERROR(VALUE(LEFT(RIGHT($G$2:$G$99,7),4)),999)=IFERROR(VALUE(LEFT(RIGHT(G11,7),4)),999)),--($B$2:$B$99&lt;B11))+SUMPRODUCT(--ISNUMBER(SEARCH("WHEAT",$G$2:$G$99)),--($H$2:$H$99="OCCUPIED"),--($B$2:$B$99&lt;&gt;""),--(IFERROR(VALUE(LEFT(RIGHT($G$2:$G$99,7),4)),999)=IFERROR(VALUE(LEFT(RIGHT(G11,7),4)),999)),--($B$2:$B$99=B11),--(ROW($B$2:$B$99)&lt;=ROW())),""))</f>
        <v/>
      </c>
      <c r="R11" s="137">
        <f>IF(OR(B11="",G11="",H11&lt;&gt;"OCCUPIED"),"",IF(ISERROR(SEARCH("WHEAT",G11)),SUMPRODUCT(--ISERROR(SEARCH("WHEAT",$G$2:$G$99)),--($H$2:$H$99="OCCUPIED"),--($B$2:$B$99&lt;&gt;""),--(IFERROR(VALUE(LEFT(RIGHT($G$2:$G$99,7),4)),999)&lt;IFERROR(VALUE(LEFT(RIGHT(G11,7),4)),999)))+SUMPRODUCT(--ISERROR(SEARCH("WHEAT",$G$2:$G$99)),--($H$2:$H$99="OCCUPIED"),--($B$2:$B$99&lt;&gt;""),--(IFERROR(VALUE(LEFT(RIGHT($G$2:$G$99,7),4)),999)=IFERROR(VALUE(LEFT(RIGHT(G11,7),4)),999)),--($B$2:$B$99&lt;B11))+SUMPRODUCT(--ISERROR(SEARCH("WHEAT",$G$2:$G$99)),--($H$2:$H$99="OCCUPIED"),--($B$2:$B$99&lt;&gt;""),--(IFERROR(VALUE(LEFT(RIGHT($G$2:$G$99,7),4)),999)=IFERROR(VALUE(LEFT(RIGHT(G11,7),4)),999)),--($B$2:$B$99=B11),--(ROW($B$2:$B$99)&lt;=ROW())),""))</f>
        <v/>
      </c>
    </row>
    <row r="12" ht="15" customHeight="1" s="230">
      <c r="A12" s="138">
        <f>IF(D12="","",ROWS($D$2:D12))</f>
        <v/>
      </c>
      <c r="B12" s="139" t="n">
        <v>45882</v>
      </c>
      <c r="C12" s="140" t="n">
        <v>9</v>
      </c>
      <c r="D12" s="140" t="inlineStr">
        <is>
          <t>9B11</t>
        </is>
      </c>
      <c r="E12" s="140" t="n">
        <v>3501</v>
      </c>
      <c r="F12" s="141" t="n">
        <v>177.259771</v>
      </c>
      <c r="G12" s="140" t="inlineStr">
        <is>
          <t>WHEAT FAQ 2025-26</t>
        </is>
      </c>
      <c r="H12" s="142">
        <f>IF(AND(E12="",F12="",G12=""),"EMPTY","OCCUPIED")</f>
        <v/>
      </c>
      <c r="I12" s="143">
        <f>IF(B12="","",IF(ISNUMBER(B12),MAX(0,TODAY()-B12),""))</f>
        <v/>
      </c>
      <c r="J12" s="139" t="n"/>
      <c r="K12" s="139" t="n"/>
      <c r="L12" s="144" t="n"/>
      <c r="M12" s="135">
        <f>IF(AND(H12="OCCUPIED",ISNUMBER(J12),K12=""),1,0)</f>
        <v/>
      </c>
      <c r="N12" s="136">
        <f>IF(M12=1,COUNTIF($M$2:M12,1),"")</f>
        <v/>
      </c>
      <c r="O12" s="136">
        <f>IF(AND(H12="OCCUPIED",ISNUMBER(J12),K12=""),--(TODAY()-J12&gt;5),0)</f>
        <v/>
      </c>
      <c r="P12" s="136">
        <f>IF(O12=1,COUNTIF($O$2:O12,1),"")</f>
        <v/>
      </c>
      <c r="Q12" s="137">
        <f>IF(OR(B12="",G12="",H12&lt;&gt;"OCCUPIED"),"",IF(ISNUMBER(SEARCH("WHEAT",G12)),SUMPRODUCT(--ISNUMBER(SEARCH("WHEAT",$G$2:$G$99)),--($H$2:$H$99="OCCUPIED"),--($B$2:$B$99&lt;&gt;""),--(IFERROR(VALUE(LEFT(RIGHT($G$2:$G$99,7),4)),999)&lt;IFERROR(VALUE(LEFT(RIGHT(G12,7),4)),999)))+SUMPRODUCT(--ISNUMBER(SEARCH("WHEAT",$G$2:$G$99)),--($H$2:$H$99="OCCUPIED"),--($B$2:$B$99&lt;&gt;""),--(IFERROR(VALUE(LEFT(RIGHT($G$2:$G$99,7),4)),999)=IFERROR(VALUE(LEFT(RIGHT(G12,7),4)),999)),--($B$2:$B$99&lt;B12))+SUMPRODUCT(--ISNUMBER(SEARCH("WHEAT",$G$2:$G$99)),--($H$2:$H$99="OCCUPIED"),--($B$2:$B$99&lt;&gt;""),--(IFERROR(VALUE(LEFT(RIGHT($G$2:$G$99,7),4)),999)=IFERROR(VALUE(LEFT(RIGHT(G12,7),4)),999)),--($B$2:$B$99=B12),--(ROW($B$2:$B$99)&lt;=ROW())),""))</f>
        <v/>
      </c>
      <c r="R12" s="137">
        <f>IF(OR(B12="",G12="",H12&lt;&gt;"OCCUPIED"),"",IF(ISERROR(SEARCH("WHEAT",G12)),SUMPRODUCT(--ISERROR(SEARCH("WHEAT",$G$2:$G$99)),--($H$2:$H$99="OCCUPIED"),--($B$2:$B$99&lt;&gt;""),--(IFERROR(VALUE(LEFT(RIGHT($G$2:$G$99,7),4)),999)&lt;IFERROR(VALUE(LEFT(RIGHT(G12,7),4)),999)))+SUMPRODUCT(--ISERROR(SEARCH("WHEAT",$G$2:$G$99)),--($H$2:$H$99="OCCUPIED"),--($B$2:$B$99&lt;&gt;""),--(IFERROR(VALUE(LEFT(RIGHT($G$2:$G$99,7),4)),999)=IFERROR(VALUE(LEFT(RIGHT(G12,7),4)),999)),--($B$2:$B$99&lt;B12))+SUMPRODUCT(--ISERROR(SEARCH("WHEAT",$G$2:$G$99)),--($H$2:$H$99="OCCUPIED"),--($B$2:$B$99&lt;&gt;""),--(IFERROR(VALUE(LEFT(RIGHT($G$2:$G$99,7),4)),999)=IFERROR(VALUE(LEFT(RIGHT(G12,7),4)),999)),--($B$2:$B$99=B12),--(ROW($B$2:$B$99)&lt;=ROW())),""))</f>
        <v/>
      </c>
    </row>
    <row r="13" ht="15" customHeight="1" s="230">
      <c r="A13" s="138">
        <f>IF(D13="","",ROWS($D$2:D13))</f>
        <v/>
      </c>
      <c r="B13" s="139" t="n">
        <v>46108</v>
      </c>
      <c r="C13" s="140" t="n">
        <v>9</v>
      </c>
      <c r="D13" s="140" t="inlineStr">
        <is>
          <t>9B12</t>
        </is>
      </c>
      <c r="E13" s="140" t="n">
        <v>3501</v>
      </c>
      <c r="F13" s="141" t="n">
        <v>172.85983</v>
      </c>
      <c r="G13" s="140" t="inlineStr">
        <is>
          <t>FRK  RRA 2024-25</t>
        </is>
      </c>
      <c r="H13" s="142">
        <f>IF(AND(E13="",F13="",G13=""),"EMPTY","OCCUPIED")</f>
        <v/>
      </c>
      <c r="I13" s="143">
        <f>IF(B13="","",IF(ISNUMBER(B13),MAX(0,TODAY()-B13),""))</f>
        <v/>
      </c>
      <c r="J13" s="139" t="n"/>
      <c r="K13" s="139" t="n"/>
      <c r="L13" s="144" t="n"/>
      <c r="M13" s="135">
        <f>IF(AND(H13="OCCUPIED",ISNUMBER(J13),K13=""),1,0)</f>
        <v/>
      </c>
      <c r="N13" s="136">
        <f>IF(M13=1,COUNTIF($M$2:M13,1),"")</f>
        <v/>
      </c>
      <c r="O13" s="136">
        <f>IF(AND(H13="OCCUPIED",ISNUMBER(J13),K13=""),--(TODAY()-J13&gt;5),0)</f>
        <v/>
      </c>
      <c r="P13" s="136">
        <f>IF(O13=1,COUNTIF($O$2:O13,1),"")</f>
        <v/>
      </c>
      <c r="Q13" s="137">
        <f>IF(OR(B13="",G13="",H13&lt;&gt;"OCCUPIED"),"",IF(ISNUMBER(SEARCH("WHEAT",G13)),SUMPRODUCT(--ISNUMBER(SEARCH("WHEAT",$G$2:$G$99)),--($H$2:$H$99="OCCUPIED"),--($B$2:$B$99&lt;&gt;""),--(IFERROR(VALUE(LEFT(RIGHT($G$2:$G$99,7),4)),999)&lt;IFERROR(VALUE(LEFT(RIGHT(G13,7),4)),999)))+SUMPRODUCT(--ISNUMBER(SEARCH("WHEAT",$G$2:$G$99)),--($H$2:$H$99="OCCUPIED"),--($B$2:$B$99&lt;&gt;""),--(IFERROR(VALUE(LEFT(RIGHT($G$2:$G$99,7),4)),999)=IFERROR(VALUE(LEFT(RIGHT(G13,7),4)),999)),--($B$2:$B$99&lt;B13))+SUMPRODUCT(--ISNUMBER(SEARCH("WHEAT",$G$2:$G$99)),--($H$2:$H$99="OCCUPIED"),--($B$2:$B$99&lt;&gt;""),--(IFERROR(VALUE(LEFT(RIGHT($G$2:$G$99,7),4)),999)=IFERROR(VALUE(LEFT(RIGHT(G13,7),4)),999)),--($B$2:$B$99=B13),--(ROW($B$2:$B$99)&lt;=ROW())),""))</f>
        <v/>
      </c>
      <c r="R13" s="137">
        <f>IF(OR(B13="",G13="",H13&lt;&gt;"OCCUPIED"),"",IF(ISERROR(SEARCH("WHEAT",G13)),SUMPRODUCT(--ISERROR(SEARCH("WHEAT",$G$2:$G$99)),--($H$2:$H$99="OCCUPIED"),--($B$2:$B$99&lt;&gt;""),--(IFERROR(VALUE(LEFT(RIGHT($G$2:$G$99,7),4)),999)&lt;IFERROR(VALUE(LEFT(RIGHT(G13,7),4)),999)))+SUMPRODUCT(--ISERROR(SEARCH("WHEAT",$G$2:$G$99)),--($H$2:$H$99="OCCUPIED"),--($B$2:$B$99&lt;&gt;""),--(IFERROR(VALUE(LEFT(RIGHT($G$2:$G$99,7),4)),999)=IFERROR(VALUE(LEFT(RIGHT(G13,7),4)),999)),--($B$2:$B$99&lt;B13))+SUMPRODUCT(--ISERROR(SEARCH("WHEAT",$G$2:$G$99)),--($H$2:$H$99="OCCUPIED"),--($B$2:$B$99&lt;&gt;""),--(IFERROR(VALUE(LEFT(RIGHT($G$2:$G$99,7),4)),999)=IFERROR(VALUE(LEFT(RIGHT(G13,7),4)),999)),--($B$2:$B$99=B13),--(ROW($B$2:$B$99)&lt;=ROW())),""))</f>
        <v/>
      </c>
    </row>
    <row r="14" ht="15" customHeight="1" s="230">
      <c r="A14" s="138">
        <f>IF(D14="","",ROWS($D$2:D14))</f>
        <v/>
      </c>
      <c r="B14" s="139" t="n">
        <v>46064</v>
      </c>
      <c r="C14" s="140" t="n">
        <v>9</v>
      </c>
      <c r="D14" s="140" t="inlineStr">
        <is>
          <t>9B13</t>
        </is>
      </c>
      <c r="E14" s="140" t="n">
        <v>3501</v>
      </c>
      <c r="F14" s="141" t="n">
        <v>172.480731</v>
      </c>
      <c r="G14" s="140" t="inlineStr">
        <is>
          <t>FRK  RRA 2024-25</t>
        </is>
      </c>
      <c r="H14" s="142">
        <f>IF(AND(E14="",F14="",G14=""),"EMPTY","OCCUPIED")</f>
        <v/>
      </c>
      <c r="I14" s="143">
        <f>IF(B14="","",IF(ISNUMBER(B14),MAX(0,TODAY()-B14),""))</f>
        <v/>
      </c>
      <c r="J14" s="139" t="n"/>
      <c r="K14" s="139" t="n"/>
      <c r="L14" s="144" t="n"/>
      <c r="M14" s="135">
        <f>IF(AND(H14="OCCUPIED",ISNUMBER(J14),K14=""),1,0)</f>
        <v/>
      </c>
      <c r="N14" s="136">
        <f>IF(M14=1,COUNTIF($M$2:M14,1),"")</f>
        <v/>
      </c>
      <c r="O14" s="136">
        <f>IF(AND(H14="OCCUPIED",ISNUMBER(J14),K14=""),--(TODAY()-J14&gt;5),0)</f>
        <v/>
      </c>
      <c r="P14" s="136">
        <f>IF(O14=1,COUNTIF($O$2:O14,1),"")</f>
        <v/>
      </c>
      <c r="Q14" s="137">
        <f>IF(OR(B14="",G14="",H14&lt;&gt;"OCCUPIED"),"",IF(ISNUMBER(SEARCH("WHEAT",G14)),SUMPRODUCT(--ISNUMBER(SEARCH("WHEAT",$G$2:$G$99)),--($H$2:$H$99="OCCUPIED"),--($B$2:$B$99&lt;&gt;""),--(IFERROR(VALUE(LEFT(RIGHT($G$2:$G$99,7),4)),999)&lt;IFERROR(VALUE(LEFT(RIGHT(G14,7),4)),999)))+SUMPRODUCT(--ISNUMBER(SEARCH("WHEAT",$G$2:$G$99)),--($H$2:$H$99="OCCUPIED"),--($B$2:$B$99&lt;&gt;""),--(IFERROR(VALUE(LEFT(RIGHT($G$2:$G$99,7),4)),999)=IFERROR(VALUE(LEFT(RIGHT(G14,7),4)),999)),--($B$2:$B$99&lt;B14))+SUMPRODUCT(--ISNUMBER(SEARCH("WHEAT",$G$2:$G$99)),--($H$2:$H$99="OCCUPIED"),--($B$2:$B$99&lt;&gt;""),--(IFERROR(VALUE(LEFT(RIGHT($G$2:$G$99,7),4)),999)=IFERROR(VALUE(LEFT(RIGHT(G14,7),4)),999)),--($B$2:$B$99=B14),--(ROW($B$2:$B$99)&lt;=ROW())),""))</f>
        <v/>
      </c>
      <c r="R14" s="137">
        <f>IF(OR(B14="",G14="",H14&lt;&gt;"OCCUPIED"),"",IF(ISERROR(SEARCH("WHEAT",G14)),SUMPRODUCT(--ISERROR(SEARCH("WHEAT",$G$2:$G$99)),--($H$2:$H$99="OCCUPIED"),--($B$2:$B$99&lt;&gt;""),--(IFERROR(VALUE(LEFT(RIGHT($G$2:$G$99,7),4)),999)&lt;IFERROR(VALUE(LEFT(RIGHT(G14,7),4)),999)))+SUMPRODUCT(--ISERROR(SEARCH("WHEAT",$G$2:$G$99)),--($H$2:$H$99="OCCUPIED"),--($B$2:$B$99&lt;&gt;""),--(IFERROR(VALUE(LEFT(RIGHT($G$2:$G$99,7),4)),999)=IFERROR(VALUE(LEFT(RIGHT(G14,7),4)),999)),--($B$2:$B$99&lt;B14))+SUMPRODUCT(--ISERROR(SEARCH("WHEAT",$G$2:$G$99)),--($H$2:$H$99="OCCUPIED"),--($B$2:$B$99&lt;&gt;""),--(IFERROR(VALUE(LEFT(RIGHT($G$2:$G$99,7),4)),999)=IFERROR(VALUE(LEFT(RIGHT(G14,7),4)),999)),--($B$2:$B$99=B14),--(ROW($B$2:$B$99)&lt;=ROW())),""))</f>
        <v/>
      </c>
    </row>
    <row r="15" ht="15" customHeight="1" s="230">
      <c r="A15" s="138">
        <f>IF(D15="","",ROWS($D$2:D15))</f>
        <v/>
      </c>
      <c r="B15" s="139" t="n">
        <v>46018</v>
      </c>
      <c r="C15" s="140" t="n">
        <v>9</v>
      </c>
      <c r="D15" s="140" t="inlineStr">
        <is>
          <t>9B14</t>
        </is>
      </c>
      <c r="E15" s="140" t="n">
        <v>3501</v>
      </c>
      <c r="F15" s="141" t="n">
        <v>173.251172</v>
      </c>
      <c r="G15" s="140" t="inlineStr">
        <is>
          <t>FRK  RRA 2024-25</t>
        </is>
      </c>
      <c r="H15" s="142">
        <f>IF(AND(E15="",F15="",G15=""),"EMPTY","OCCUPIED")</f>
        <v/>
      </c>
      <c r="I15" s="143">
        <f>IF(B15="","",IF(ISNUMBER(B15),MAX(0,TODAY()-B15),""))</f>
        <v/>
      </c>
      <c r="J15" s="139" t="n"/>
      <c r="K15" s="139" t="n"/>
      <c r="L15" s="144" t="n"/>
      <c r="M15" s="135">
        <f>IF(AND(H15="OCCUPIED",ISNUMBER(J15),K15=""),1,0)</f>
        <v/>
      </c>
      <c r="N15" s="136">
        <f>IF(M15=1,COUNTIF($M$2:M15,1),"")</f>
        <v/>
      </c>
      <c r="O15" s="136">
        <f>IF(AND(H15="OCCUPIED",ISNUMBER(J15),K15=""),--(TODAY()-J15&gt;5),0)</f>
        <v/>
      </c>
      <c r="P15" s="136">
        <f>IF(O15=1,COUNTIF($O$2:O15,1),"")</f>
        <v/>
      </c>
      <c r="Q15" s="137">
        <f>IF(OR(B15="",G15="",H15&lt;&gt;"OCCUPIED"),"",IF(ISNUMBER(SEARCH("WHEAT",G15)),SUMPRODUCT(--ISNUMBER(SEARCH("WHEAT",$G$2:$G$99)),--($H$2:$H$99="OCCUPIED"),--($B$2:$B$99&lt;&gt;""),--(IFERROR(VALUE(LEFT(RIGHT($G$2:$G$99,7),4)),999)&lt;IFERROR(VALUE(LEFT(RIGHT(G15,7),4)),999)))+SUMPRODUCT(--ISNUMBER(SEARCH("WHEAT",$G$2:$G$99)),--($H$2:$H$99="OCCUPIED"),--($B$2:$B$99&lt;&gt;""),--(IFERROR(VALUE(LEFT(RIGHT($G$2:$G$99,7),4)),999)=IFERROR(VALUE(LEFT(RIGHT(G15,7),4)),999)),--($B$2:$B$99&lt;B15))+SUMPRODUCT(--ISNUMBER(SEARCH("WHEAT",$G$2:$G$99)),--($H$2:$H$99="OCCUPIED"),--($B$2:$B$99&lt;&gt;""),--(IFERROR(VALUE(LEFT(RIGHT($G$2:$G$99,7),4)),999)=IFERROR(VALUE(LEFT(RIGHT(G15,7),4)),999)),--($B$2:$B$99=B15),--(ROW($B$2:$B$99)&lt;=ROW())),""))</f>
        <v/>
      </c>
      <c r="R15" s="137">
        <f>IF(OR(B15="",G15="",H15&lt;&gt;"OCCUPIED"),"",IF(ISERROR(SEARCH("WHEAT",G15)),SUMPRODUCT(--ISERROR(SEARCH("WHEAT",$G$2:$G$99)),--($H$2:$H$99="OCCUPIED"),--($B$2:$B$99&lt;&gt;""),--(IFERROR(VALUE(LEFT(RIGHT($G$2:$G$99,7),4)),999)&lt;IFERROR(VALUE(LEFT(RIGHT(G15,7),4)),999)))+SUMPRODUCT(--ISERROR(SEARCH("WHEAT",$G$2:$G$99)),--($H$2:$H$99="OCCUPIED"),--($B$2:$B$99&lt;&gt;""),--(IFERROR(VALUE(LEFT(RIGHT($G$2:$G$99,7),4)),999)=IFERROR(VALUE(LEFT(RIGHT(G15,7),4)),999)),--($B$2:$B$99&lt;B15))+SUMPRODUCT(--ISERROR(SEARCH("WHEAT",$G$2:$G$99)),--($H$2:$H$99="OCCUPIED"),--($B$2:$B$99&lt;&gt;""),--(IFERROR(VALUE(LEFT(RIGHT($G$2:$G$99,7),4)),999)=IFERROR(VALUE(LEFT(RIGHT(G15,7),4)),999)),--($B$2:$B$99=B15),--(ROW($B$2:$B$99)&lt;=ROW())),""))</f>
        <v/>
      </c>
    </row>
    <row r="16" ht="15" customHeight="1" s="230">
      <c r="A16" s="138">
        <f>IF(D16="","",ROWS($D$2:D16))</f>
        <v/>
      </c>
      <c r="B16" s="139" t="n">
        <v>45775</v>
      </c>
      <c r="C16" s="140" t="n">
        <v>9</v>
      </c>
      <c r="D16" s="140" t="inlineStr">
        <is>
          <t>9B15</t>
        </is>
      </c>
      <c r="E16" s="140" t="n">
        <v>3501</v>
      </c>
      <c r="F16" s="141" t="n">
        <v>174.491739</v>
      </c>
      <c r="G16" s="140" t="inlineStr">
        <is>
          <t>WHEAT FAQ 2025-26</t>
        </is>
      </c>
      <c r="H16" s="142">
        <f>IF(AND(E16="",F16="",G16=""),"EMPTY","OCCUPIED")</f>
        <v/>
      </c>
      <c r="I16" s="143">
        <f>IF(B16="","",IF(ISNUMBER(B16),MAX(0,TODAY()-B16),""))</f>
        <v/>
      </c>
      <c r="J16" s="139" t="n"/>
      <c r="K16" s="139" t="n"/>
      <c r="L16" s="144" t="n"/>
      <c r="M16" s="135">
        <f>IF(AND(H16="OCCUPIED",ISNUMBER(J16),K16=""),1,0)</f>
        <v/>
      </c>
      <c r="N16" s="136">
        <f>IF(M16=1,COUNTIF($M$2:M16,1),"")</f>
        <v/>
      </c>
      <c r="O16" s="136">
        <f>IF(AND(H16="OCCUPIED",ISNUMBER(J16),K16=""),--(TODAY()-J16&gt;5),0)</f>
        <v/>
      </c>
      <c r="P16" s="136">
        <f>IF(O16=1,COUNTIF($O$2:O16,1),"")</f>
        <v/>
      </c>
      <c r="Q16" s="137">
        <f>IF(OR(B16="",G16="",H16&lt;&gt;"OCCUPIED"),"",IF(ISNUMBER(SEARCH("WHEAT",G16)),SUMPRODUCT(--ISNUMBER(SEARCH("WHEAT",$G$2:$G$99)),--($H$2:$H$99="OCCUPIED"),--($B$2:$B$99&lt;&gt;""),--(IFERROR(VALUE(LEFT(RIGHT($G$2:$G$99,7),4)),999)&lt;IFERROR(VALUE(LEFT(RIGHT(G16,7),4)),999)))+SUMPRODUCT(--ISNUMBER(SEARCH("WHEAT",$G$2:$G$99)),--($H$2:$H$99="OCCUPIED"),--($B$2:$B$99&lt;&gt;""),--(IFERROR(VALUE(LEFT(RIGHT($G$2:$G$99,7),4)),999)=IFERROR(VALUE(LEFT(RIGHT(G16,7),4)),999)),--($B$2:$B$99&lt;B16))+SUMPRODUCT(--ISNUMBER(SEARCH("WHEAT",$G$2:$G$99)),--($H$2:$H$99="OCCUPIED"),--($B$2:$B$99&lt;&gt;""),--(IFERROR(VALUE(LEFT(RIGHT($G$2:$G$99,7),4)),999)=IFERROR(VALUE(LEFT(RIGHT(G16,7),4)),999)),--($B$2:$B$99=B16),--(ROW($B$2:$B$99)&lt;=ROW())),""))</f>
        <v/>
      </c>
      <c r="R16" s="137">
        <f>IF(OR(B16="",G16="",H16&lt;&gt;"OCCUPIED"),"",IF(ISERROR(SEARCH("WHEAT",G16)),SUMPRODUCT(--ISERROR(SEARCH("WHEAT",$G$2:$G$99)),--($H$2:$H$99="OCCUPIED"),--($B$2:$B$99&lt;&gt;""),--(IFERROR(VALUE(LEFT(RIGHT($G$2:$G$99,7),4)),999)&lt;IFERROR(VALUE(LEFT(RIGHT(G16,7),4)),999)))+SUMPRODUCT(--ISERROR(SEARCH("WHEAT",$G$2:$G$99)),--($H$2:$H$99="OCCUPIED"),--($B$2:$B$99&lt;&gt;""),--(IFERROR(VALUE(LEFT(RIGHT($G$2:$G$99,7),4)),999)=IFERROR(VALUE(LEFT(RIGHT(G16,7),4)),999)),--($B$2:$B$99&lt;B16))+SUMPRODUCT(--ISERROR(SEARCH("WHEAT",$G$2:$G$99)),--($H$2:$H$99="OCCUPIED"),--($B$2:$B$99&lt;&gt;""),--(IFERROR(VALUE(LEFT(RIGHT($G$2:$G$99,7),4)),999)=IFERROR(VALUE(LEFT(RIGHT(G16,7),4)),999)),--($B$2:$B$99=B16),--(ROW($B$2:$B$99)&lt;=ROW())),""))</f>
        <v/>
      </c>
    </row>
    <row r="17" ht="15" customHeight="1" s="230">
      <c r="A17" s="138">
        <f>IF(D17="","",ROWS($D$2:D17))</f>
        <v/>
      </c>
      <c r="B17" s="139" t="n">
        <v>46108</v>
      </c>
      <c r="C17" s="140" t="n">
        <v>9</v>
      </c>
      <c r="D17" s="140" t="inlineStr">
        <is>
          <t>9B16</t>
        </is>
      </c>
      <c r="E17" s="140" t="n">
        <v>3501</v>
      </c>
      <c r="F17" s="141" t="n">
        <v>172.736064</v>
      </c>
      <c r="G17" s="140" t="inlineStr">
        <is>
          <t>FRK  RRA 2024-25</t>
        </is>
      </c>
      <c r="H17" s="142">
        <f>IF(AND(E17="",F17="",G17=""),"EMPTY","OCCUPIED")</f>
        <v/>
      </c>
      <c r="I17" s="143">
        <f>IF(B17="","",IF(ISNUMBER(B17),MAX(0,TODAY()-B17),""))</f>
        <v/>
      </c>
      <c r="J17" s="139" t="n"/>
      <c r="K17" s="139" t="n"/>
      <c r="L17" s="144" t="n"/>
      <c r="M17" s="135">
        <f>IF(AND(H17="OCCUPIED",ISNUMBER(J17),K17=""),1,0)</f>
        <v/>
      </c>
      <c r="N17" s="136">
        <f>IF(M17=1,COUNTIF($M$2:M17,1),"")</f>
        <v/>
      </c>
      <c r="O17" s="136">
        <f>IF(AND(H17="OCCUPIED",ISNUMBER(J17),K17=""),--(TODAY()-J17&gt;5),0)</f>
        <v/>
      </c>
      <c r="P17" s="136">
        <f>IF(O17=1,COUNTIF($O$2:O17,1),"")</f>
        <v/>
      </c>
      <c r="Q17" s="137">
        <f>IF(OR(B17="",G17="",H17&lt;&gt;"OCCUPIED"),"",IF(ISNUMBER(SEARCH("WHEAT",G17)),SUMPRODUCT(--ISNUMBER(SEARCH("WHEAT",$G$2:$G$99)),--($H$2:$H$99="OCCUPIED"),--($B$2:$B$99&lt;&gt;""),--(IFERROR(VALUE(LEFT(RIGHT($G$2:$G$99,7),4)),999)&lt;IFERROR(VALUE(LEFT(RIGHT(G17,7),4)),999)))+SUMPRODUCT(--ISNUMBER(SEARCH("WHEAT",$G$2:$G$99)),--($H$2:$H$99="OCCUPIED"),--($B$2:$B$99&lt;&gt;""),--(IFERROR(VALUE(LEFT(RIGHT($G$2:$G$99,7),4)),999)=IFERROR(VALUE(LEFT(RIGHT(G17,7),4)),999)),--($B$2:$B$99&lt;B17))+SUMPRODUCT(--ISNUMBER(SEARCH("WHEAT",$G$2:$G$99)),--($H$2:$H$99="OCCUPIED"),--($B$2:$B$99&lt;&gt;""),--(IFERROR(VALUE(LEFT(RIGHT($G$2:$G$99,7),4)),999)=IFERROR(VALUE(LEFT(RIGHT(G17,7),4)),999)),--($B$2:$B$99=B17),--(ROW($B$2:$B$99)&lt;=ROW())),""))</f>
        <v/>
      </c>
      <c r="R17" s="137">
        <f>IF(OR(B17="",G17="",H17&lt;&gt;"OCCUPIED"),"",IF(ISERROR(SEARCH("WHEAT",G17)),SUMPRODUCT(--ISERROR(SEARCH("WHEAT",$G$2:$G$99)),--($H$2:$H$99="OCCUPIED"),--($B$2:$B$99&lt;&gt;""),--(IFERROR(VALUE(LEFT(RIGHT($G$2:$G$99,7),4)),999)&lt;IFERROR(VALUE(LEFT(RIGHT(G17,7),4)),999)))+SUMPRODUCT(--ISERROR(SEARCH("WHEAT",$G$2:$G$99)),--($H$2:$H$99="OCCUPIED"),--($B$2:$B$99&lt;&gt;""),--(IFERROR(VALUE(LEFT(RIGHT($G$2:$G$99,7),4)),999)=IFERROR(VALUE(LEFT(RIGHT(G17,7),4)),999)),--($B$2:$B$99&lt;B17))+SUMPRODUCT(--ISERROR(SEARCH("WHEAT",$G$2:$G$99)),--($H$2:$H$99="OCCUPIED"),--($B$2:$B$99&lt;&gt;""),--(IFERROR(VALUE(LEFT(RIGHT($G$2:$G$99,7),4)),999)=IFERROR(VALUE(LEFT(RIGHT(G17,7),4)),999)),--($B$2:$B$99=B17),--(ROW($B$2:$B$99)&lt;=ROW())),""))</f>
        <v/>
      </c>
    </row>
    <row r="18" ht="15" customHeight="1" s="230">
      <c r="A18" s="138">
        <f>IF(D18="","",ROWS($D$2:D18))</f>
        <v/>
      </c>
      <c r="B18" s="139" t="n"/>
      <c r="C18" s="140" t="n">
        <v>9</v>
      </c>
      <c r="D18" s="140" t="inlineStr">
        <is>
          <t>9B17</t>
        </is>
      </c>
      <c r="E18" s="140" t="n"/>
      <c r="F18" s="141" t="n"/>
      <c r="G18" s="140" t="n"/>
      <c r="H18" s="142">
        <f>IF(AND(E18="",F18="",G18=""),"EMPTY","OCCUPIED")</f>
        <v/>
      </c>
      <c r="I18" s="143">
        <f>IF(B18="","",IF(ISNUMBER(B18),MAX(0,TODAY()-B18),""))</f>
        <v/>
      </c>
      <c r="J18" s="139" t="n"/>
      <c r="K18" s="139" t="n"/>
      <c r="L18" s="144" t="n"/>
      <c r="M18" s="135">
        <f>IF(AND(H18="OCCUPIED",ISNUMBER(J18),K18=""),1,0)</f>
        <v/>
      </c>
      <c r="N18" s="136">
        <f>IF(M18=1,COUNTIF($M$2:M18,1),"")</f>
        <v/>
      </c>
      <c r="O18" s="136">
        <f>IF(AND(H18="OCCUPIED",ISNUMBER(J18),K18=""),--(TODAY()-J18&gt;5),0)</f>
        <v/>
      </c>
      <c r="P18" s="136">
        <f>IF(O18=1,COUNTIF($O$2:O18,1),"")</f>
        <v/>
      </c>
      <c r="Q18" s="137">
        <f>IF(OR(B18="",G18="",H18&lt;&gt;"OCCUPIED"),"",IF(ISNUMBER(SEARCH("WHEAT",G18)),SUMPRODUCT(--ISNUMBER(SEARCH("WHEAT",$G$2:$G$99)),--($H$2:$H$99="OCCUPIED"),--($B$2:$B$99&lt;&gt;""),--(IFERROR(VALUE(LEFT(RIGHT($G$2:$G$99,7),4)),999)&lt;IFERROR(VALUE(LEFT(RIGHT(G18,7),4)),999)))+SUMPRODUCT(--ISNUMBER(SEARCH("WHEAT",$G$2:$G$99)),--($H$2:$H$99="OCCUPIED"),--($B$2:$B$99&lt;&gt;""),--(IFERROR(VALUE(LEFT(RIGHT($G$2:$G$99,7),4)),999)=IFERROR(VALUE(LEFT(RIGHT(G18,7),4)),999)),--($B$2:$B$99&lt;B18))+SUMPRODUCT(--ISNUMBER(SEARCH("WHEAT",$G$2:$G$99)),--($H$2:$H$99="OCCUPIED"),--($B$2:$B$99&lt;&gt;""),--(IFERROR(VALUE(LEFT(RIGHT($G$2:$G$99,7),4)),999)=IFERROR(VALUE(LEFT(RIGHT(G18,7),4)),999)),--($B$2:$B$99=B18),--(ROW($B$2:$B$99)&lt;=ROW())),""))</f>
        <v/>
      </c>
      <c r="R18" s="137">
        <f>IF(OR(B18="",G18="",H18&lt;&gt;"OCCUPIED"),"",IF(ISERROR(SEARCH("WHEAT",G18)),SUMPRODUCT(--ISERROR(SEARCH("WHEAT",$G$2:$G$99)),--($H$2:$H$99="OCCUPIED"),--($B$2:$B$99&lt;&gt;""),--(IFERROR(VALUE(LEFT(RIGHT($G$2:$G$99,7),4)),999)&lt;IFERROR(VALUE(LEFT(RIGHT(G18,7),4)),999)))+SUMPRODUCT(--ISERROR(SEARCH("WHEAT",$G$2:$G$99)),--($H$2:$H$99="OCCUPIED"),--($B$2:$B$99&lt;&gt;""),--(IFERROR(VALUE(LEFT(RIGHT($G$2:$G$99,7),4)),999)=IFERROR(VALUE(LEFT(RIGHT(G18,7),4)),999)),--($B$2:$B$99&lt;B18))+SUMPRODUCT(--ISERROR(SEARCH("WHEAT",$G$2:$G$99)),--($H$2:$H$99="OCCUPIED"),--($B$2:$B$99&lt;&gt;""),--(IFERROR(VALUE(LEFT(RIGHT($G$2:$G$99,7),4)),999)=IFERROR(VALUE(LEFT(RIGHT(G18,7),4)),999)),--($B$2:$B$99=B18),--(ROW($B$2:$B$99)&lt;=ROW())),""))</f>
        <v/>
      </c>
    </row>
    <row r="19" ht="15" customHeight="1" s="230">
      <c r="A19" s="138">
        <f>IF(D19="","",ROWS($D$2:D19))</f>
        <v/>
      </c>
      <c r="B19" s="139" t="n">
        <v>45812</v>
      </c>
      <c r="C19" s="140" t="n">
        <v>9</v>
      </c>
      <c r="D19" s="140" t="inlineStr">
        <is>
          <t>9B18</t>
        </is>
      </c>
      <c r="E19" s="140" t="n">
        <v>3501</v>
      </c>
      <c r="F19" s="141" t="n">
        <v>174.355417</v>
      </c>
      <c r="G19" s="140" t="inlineStr">
        <is>
          <t>WHEAT FAQ 2025-26</t>
        </is>
      </c>
      <c r="H19" s="142">
        <f>IF(AND(E19="",F19="",G19=""),"EMPTY","OCCUPIED")</f>
        <v/>
      </c>
      <c r="I19" s="143">
        <f>IF(B19="","",IF(ISNUMBER(B19),MAX(0,TODAY()-B19),""))</f>
        <v/>
      </c>
      <c r="J19" s="139" t="n"/>
      <c r="K19" s="139" t="n"/>
      <c r="L19" s="144" t="n"/>
      <c r="M19" s="135">
        <f>IF(AND(H19="OCCUPIED",ISNUMBER(J19),K19=""),1,0)</f>
        <v/>
      </c>
      <c r="N19" s="136">
        <f>IF(M19=1,COUNTIF($M$2:M19,1),"")</f>
        <v/>
      </c>
      <c r="O19" s="136">
        <f>IF(AND(H19="OCCUPIED",ISNUMBER(J19),K19=""),--(TODAY()-J19&gt;5),0)</f>
        <v/>
      </c>
      <c r="P19" s="136">
        <f>IF(O19=1,COUNTIF($O$2:O19,1),"")</f>
        <v/>
      </c>
      <c r="Q19" s="137">
        <f>IF(OR(B19="",G19="",H19&lt;&gt;"OCCUPIED"),"",IF(ISNUMBER(SEARCH("WHEAT",G19)),SUMPRODUCT(--ISNUMBER(SEARCH("WHEAT",$G$2:$G$99)),--($H$2:$H$99="OCCUPIED"),--($B$2:$B$99&lt;&gt;""),--(IFERROR(VALUE(LEFT(RIGHT($G$2:$G$99,7),4)),999)&lt;IFERROR(VALUE(LEFT(RIGHT(G19,7),4)),999)))+SUMPRODUCT(--ISNUMBER(SEARCH("WHEAT",$G$2:$G$99)),--($H$2:$H$99="OCCUPIED"),--($B$2:$B$99&lt;&gt;""),--(IFERROR(VALUE(LEFT(RIGHT($G$2:$G$99,7),4)),999)=IFERROR(VALUE(LEFT(RIGHT(G19,7),4)),999)),--($B$2:$B$99&lt;B19))+SUMPRODUCT(--ISNUMBER(SEARCH("WHEAT",$G$2:$G$99)),--($H$2:$H$99="OCCUPIED"),--($B$2:$B$99&lt;&gt;""),--(IFERROR(VALUE(LEFT(RIGHT($G$2:$G$99,7),4)),999)=IFERROR(VALUE(LEFT(RIGHT(G19,7),4)),999)),--($B$2:$B$99=B19),--(ROW($B$2:$B$99)&lt;=ROW())),""))</f>
        <v/>
      </c>
      <c r="R19" s="137">
        <f>IF(OR(B19="",G19="",H19&lt;&gt;"OCCUPIED"),"",IF(ISERROR(SEARCH("WHEAT",G19)),SUMPRODUCT(--ISERROR(SEARCH("WHEAT",$G$2:$G$99)),--($H$2:$H$99="OCCUPIED"),--($B$2:$B$99&lt;&gt;""),--(IFERROR(VALUE(LEFT(RIGHT($G$2:$G$99,7),4)),999)&lt;IFERROR(VALUE(LEFT(RIGHT(G19,7),4)),999)))+SUMPRODUCT(--ISERROR(SEARCH("WHEAT",$G$2:$G$99)),--($H$2:$H$99="OCCUPIED"),--($B$2:$B$99&lt;&gt;""),--(IFERROR(VALUE(LEFT(RIGHT($G$2:$G$99,7),4)),999)=IFERROR(VALUE(LEFT(RIGHT(G19,7),4)),999)),--($B$2:$B$99&lt;B19))+SUMPRODUCT(--ISERROR(SEARCH("WHEAT",$G$2:$G$99)),--($H$2:$H$99="OCCUPIED"),--($B$2:$B$99&lt;&gt;""),--(IFERROR(VALUE(LEFT(RIGHT($G$2:$G$99,7),4)),999)=IFERROR(VALUE(LEFT(RIGHT(G19,7),4)),999)),--($B$2:$B$99=B19),--(ROW($B$2:$B$99)&lt;=ROW())),""))</f>
        <v/>
      </c>
    </row>
    <row r="20" ht="15" customHeight="1" s="230">
      <c r="A20" s="138">
        <f>IF(D20="","",ROWS($D$2:D20))</f>
        <v/>
      </c>
      <c r="B20" s="139" t="n"/>
      <c r="C20" s="140" t="n">
        <v>14</v>
      </c>
      <c r="D20" s="140" t="inlineStr">
        <is>
          <t>14A01</t>
        </is>
      </c>
      <c r="E20" s="140" t="n"/>
      <c r="F20" s="141" t="n"/>
      <c r="G20" s="140" t="n"/>
      <c r="H20" s="142">
        <f>IF(AND(E20="",F20="",G20=""),"EMPTY","OCCUPIED")</f>
        <v/>
      </c>
      <c r="I20" s="143">
        <f>IF(B20="","",IF(ISNUMBER(B20),MAX(0,TODAY()-B20),""))</f>
        <v/>
      </c>
      <c r="J20" s="139" t="n"/>
      <c r="K20" s="139" t="n"/>
      <c r="L20" s="144" t="n"/>
      <c r="M20" s="135">
        <f>IF(AND(H20="OCCUPIED",ISNUMBER(J20),K20=""),1,0)</f>
        <v/>
      </c>
      <c r="N20" s="136">
        <f>IF(M20=1,COUNTIF($M$2:M20,1),"")</f>
        <v/>
      </c>
      <c r="O20" s="136">
        <f>IF(AND(H20="OCCUPIED",ISNUMBER(J20),K20=""),--(TODAY()-J20&gt;5),0)</f>
        <v/>
      </c>
      <c r="P20" s="136">
        <f>IF(O20=1,COUNTIF($O$2:O20,1),"")</f>
        <v/>
      </c>
      <c r="Q20" s="137">
        <f>IF(OR(B20="",G20="",H20&lt;&gt;"OCCUPIED"),"",IF(ISNUMBER(SEARCH("WHEAT",G20)),SUMPRODUCT(--ISNUMBER(SEARCH("WHEAT",$G$2:$G$99)),--($H$2:$H$99="OCCUPIED"),--($B$2:$B$99&lt;&gt;""),--(IFERROR(VALUE(LEFT(RIGHT($G$2:$G$99,7),4)),999)&lt;IFERROR(VALUE(LEFT(RIGHT(G20,7),4)),999)))+SUMPRODUCT(--ISNUMBER(SEARCH("WHEAT",$G$2:$G$99)),--($H$2:$H$99="OCCUPIED"),--($B$2:$B$99&lt;&gt;""),--(IFERROR(VALUE(LEFT(RIGHT($G$2:$G$99,7),4)),999)=IFERROR(VALUE(LEFT(RIGHT(G20,7),4)),999)),--($B$2:$B$99&lt;B20))+SUMPRODUCT(--ISNUMBER(SEARCH("WHEAT",$G$2:$G$99)),--($H$2:$H$99="OCCUPIED"),--($B$2:$B$99&lt;&gt;""),--(IFERROR(VALUE(LEFT(RIGHT($G$2:$G$99,7),4)),999)=IFERROR(VALUE(LEFT(RIGHT(G20,7),4)),999)),--($B$2:$B$99=B20),--(ROW($B$2:$B$99)&lt;=ROW())),""))</f>
        <v/>
      </c>
      <c r="R20" s="137">
        <f>IF(OR(B20="",G20="",H20&lt;&gt;"OCCUPIED"),"",IF(ISERROR(SEARCH("WHEAT",G20)),SUMPRODUCT(--ISERROR(SEARCH("WHEAT",$G$2:$G$99)),--($H$2:$H$99="OCCUPIED"),--($B$2:$B$99&lt;&gt;""),--(IFERROR(VALUE(LEFT(RIGHT($G$2:$G$99,7),4)),999)&lt;IFERROR(VALUE(LEFT(RIGHT(G20,7),4)),999)))+SUMPRODUCT(--ISERROR(SEARCH("WHEAT",$G$2:$G$99)),--($H$2:$H$99="OCCUPIED"),--($B$2:$B$99&lt;&gt;""),--(IFERROR(VALUE(LEFT(RIGHT($G$2:$G$99,7),4)),999)=IFERROR(VALUE(LEFT(RIGHT(G20,7),4)),999)),--($B$2:$B$99&lt;B20))+SUMPRODUCT(--ISERROR(SEARCH("WHEAT",$G$2:$G$99)),--($H$2:$H$99="OCCUPIED"),--($B$2:$B$99&lt;&gt;""),--(IFERROR(VALUE(LEFT(RIGHT($G$2:$G$99,7),4)),999)=IFERROR(VALUE(LEFT(RIGHT(G20,7),4)),999)),--($B$2:$B$99=B20),--(ROW($B$2:$B$99)&lt;=ROW())),""))</f>
        <v/>
      </c>
    </row>
    <row r="21" ht="15" customHeight="1" s="230">
      <c r="A21" s="138">
        <f>IF(D21="","",ROWS($D$2:D21))</f>
        <v/>
      </c>
      <c r="B21" s="139" t="n">
        <v>45890</v>
      </c>
      <c r="C21" s="140" t="n">
        <v>14</v>
      </c>
      <c r="D21" s="140" t="inlineStr">
        <is>
          <t>14A02</t>
        </is>
      </c>
      <c r="E21" s="140" t="n">
        <v>3501</v>
      </c>
      <c r="F21" s="141" t="n">
        <v>175.283364</v>
      </c>
      <c r="G21" s="140" t="inlineStr">
        <is>
          <t>WHEAT FAQ 2025-26</t>
        </is>
      </c>
      <c r="H21" s="142">
        <f>IF(AND(E21="",F21="",G21=""),"EMPTY","OCCUPIED")</f>
        <v/>
      </c>
      <c r="I21" s="143">
        <f>IF(B21="","",IF(ISNUMBER(B21),MAX(0,TODAY()-B21),""))</f>
        <v/>
      </c>
      <c r="J21" s="139" t="n"/>
      <c r="K21" s="139" t="n"/>
      <c r="L21" s="144" t="n"/>
      <c r="M21" s="135">
        <f>IF(AND(H21="OCCUPIED",ISNUMBER(J21),K21=""),1,0)</f>
        <v/>
      </c>
      <c r="N21" s="136">
        <f>IF(M21=1,COUNTIF($M$2:M21,1),"")</f>
        <v/>
      </c>
      <c r="O21" s="136">
        <f>IF(AND(H21="OCCUPIED",ISNUMBER(J21),K21=""),--(TODAY()-J21&gt;5),0)</f>
        <v/>
      </c>
      <c r="P21" s="136">
        <f>IF(O21=1,COUNTIF($O$2:O21,1),"")</f>
        <v/>
      </c>
      <c r="Q21" s="137">
        <f>IF(OR(B21="",G21="",H21&lt;&gt;"OCCUPIED"),"",IF(ISNUMBER(SEARCH("WHEAT",G21)),SUMPRODUCT(--ISNUMBER(SEARCH("WHEAT",$G$2:$G$99)),--($H$2:$H$99="OCCUPIED"),--($B$2:$B$99&lt;&gt;""),--(IFERROR(VALUE(LEFT(RIGHT($G$2:$G$99,7),4)),999)&lt;IFERROR(VALUE(LEFT(RIGHT(G21,7),4)),999)))+SUMPRODUCT(--ISNUMBER(SEARCH("WHEAT",$G$2:$G$99)),--($H$2:$H$99="OCCUPIED"),--($B$2:$B$99&lt;&gt;""),--(IFERROR(VALUE(LEFT(RIGHT($G$2:$G$99,7),4)),999)=IFERROR(VALUE(LEFT(RIGHT(G21,7),4)),999)),--($B$2:$B$99&lt;B21))+SUMPRODUCT(--ISNUMBER(SEARCH("WHEAT",$G$2:$G$99)),--($H$2:$H$99="OCCUPIED"),--($B$2:$B$99&lt;&gt;""),--(IFERROR(VALUE(LEFT(RIGHT($G$2:$G$99,7),4)),999)=IFERROR(VALUE(LEFT(RIGHT(G21,7),4)),999)),--($B$2:$B$99=B21),--(ROW($B$2:$B$99)&lt;=ROW())),""))</f>
        <v/>
      </c>
      <c r="R21" s="137">
        <f>IF(OR(B21="",G21="",H21&lt;&gt;"OCCUPIED"),"",IF(ISERROR(SEARCH("WHEAT",G21)),SUMPRODUCT(--ISERROR(SEARCH("WHEAT",$G$2:$G$99)),--($H$2:$H$99="OCCUPIED"),--($B$2:$B$99&lt;&gt;""),--(IFERROR(VALUE(LEFT(RIGHT($G$2:$G$99,7),4)),999)&lt;IFERROR(VALUE(LEFT(RIGHT(G21,7),4)),999)))+SUMPRODUCT(--ISERROR(SEARCH("WHEAT",$G$2:$G$99)),--($H$2:$H$99="OCCUPIED"),--($B$2:$B$99&lt;&gt;""),--(IFERROR(VALUE(LEFT(RIGHT($G$2:$G$99,7),4)),999)=IFERROR(VALUE(LEFT(RIGHT(G21,7),4)),999)),--($B$2:$B$99&lt;B21))+SUMPRODUCT(--ISERROR(SEARCH("WHEAT",$G$2:$G$99)),--($H$2:$H$99="OCCUPIED"),--($B$2:$B$99&lt;&gt;""),--(IFERROR(VALUE(LEFT(RIGHT($G$2:$G$99,7),4)),999)=IFERROR(VALUE(LEFT(RIGHT(G21,7),4)),999)),--($B$2:$B$99=B21),--(ROW($B$2:$B$99)&lt;=ROW())),""))</f>
        <v/>
      </c>
    </row>
    <row r="22" ht="15" customHeight="1" s="230">
      <c r="A22" s="138">
        <f>IF(D22="","",ROWS($D$2:D22))</f>
        <v/>
      </c>
      <c r="B22" s="139" t="n">
        <v>45823</v>
      </c>
      <c r="C22" s="140" t="n">
        <v>14</v>
      </c>
      <c r="D22" s="140" t="inlineStr">
        <is>
          <t>14A03</t>
        </is>
      </c>
      <c r="E22" s="140" t="n">
        <v>3501</v>
      </c>
      <c r="F22" s="141" t="n">
        <v>174.155727</v>
      </c>
      <c r="G22" s="140" t="inlineStr">
        <is>
          <t>WHEAT FAQ 2025-26</t>
        </is>
      </c>
      <c r="H22" s="142">
        <f>IF(AND(E22="",F22="",G22=""),"EMPTY","OCCUPIED")</f>
        <v/>
      </c>
      <c r="I22" s="143">
        <f>IF(B22="","",IF(ISNUMBER(B22),MAX(0,TODAY()-B22),""))</f>
        <v/>
      </c>
      <c r="J22" s="139" t="n"/>
      <c r="K22" s="139" t="n"/>
      <c r="L22" s="144" t="n"/>
      <c r="M22" s="135">
        <f>IF(AND(H22="OCCUPIED",ISNUMBER(J22),K22=""),1,0)</f>
        <v/>
      </c>
      <c r="N22" s="136">
        <f>IF(M22=1,COUNTIF($M$2:M22,1),"")</f>
        <v/>
      </c>
      <c r="O22" s="136">
        <f>IF(AND(H22="OCCUPIED",ISNUMBER(J22),K22=""),--(TODAY()-J22&gt;5),0)</f>
        <v/>
      </c>
      <c r="P22" s="136">
        <f>IF(O22=1,COUNTIF($O$2:O22,1),"")</f>
        <v/>
      </c>
      <c r="Q22" s="137">
        <f>IF(OR(B22="",G22="",H22&lt;&gt;"OCCUPIED"),"",IF(ISNUMBER(SEARCH("WHEAT",G22)),SUMPRODUCT(--ISNUMBER(SEARCH("WHEAT",$G$2:$G$99)),--($H$2:$H$99="OCCUPIED"),--($B$2:$B$99&lt;&gt;""),--(IFERROR(VALUE(LEFT(RIGHT($G$2:$G$99,7),4)),999)&lt;IFERROR(VALUE(LEFT(RIGHT(G22,7),4)),999)))+SUMPRODUCT(--ISNUMBER(SEARCH("WHEAT",$G$2:$G$99)),--($H$2:$H$99="OCCUPIED"),--($B$2:$B$99&lt;&gt;""),--(IFERROR(VALUE(LEFT(RIGHT($G$2:$G$99,7),4)),999)=IFERROR(VALUE(LEFT(RIGHT(G22,7),4)),999)),--($B$2:$B$99&lt;B22))+SUMPRODUCT(--ISNUMBER(SEARCH("WHEAT",$G$2:$G$99)),--($H$2:$H$99="OCCUPIED"),--($B$2:$B$99&lt;&gt;""),--(IFERROR(VALUE(LEFT(RIGHT($G$2:$G$99,7),4)),999)=IFERROR(VALUE(LEFT(RIGHT(G22,7),4)),999)),--($B$2:$B$99=B22),--(ROW($B$2:$B$99)&lt;=ROW())),""))</f>
        <v/>
      </c>
      <c r="R22" s="137">
        <f>IF(OR(B22="",G22="",H22&lt;&gt;"OCCUPIED"),"",IF(ISERROR(SEARCH("WHEAT",G22)),SUMPRODUCT(--ISERROR(SEARCH("WHEAT",$G$2:$G$99)),--($H$2:$H$99="OCCUPIED"),--($B$2:$B$99&lt;&gt;""),--(IFERROR(VALUE(LEFT(RIGHT($G$2:$G$99,7),4)),999)&lt;IFERROR(VALUE(LEFT(RIGHT(G22,7),4)),999)))+SUMPRODUCT(--ISERROR(SEARCH("WHEAT",$G$2:$G$99)),--($H$2:$H$99="OCCUPIED"),--($B$2:$B$99&lt;&gt;""),--(IFERROR(VALUE(LEFT(RIGHT($G$2:$G$99,7),4)),999)=IFERROR(VALUE(LEFT(RIGHT(G22,7),4)),999)),--($B$2:$B$99&lt;B22))+SUMPRODUCT(--ISERROR(SEARCH("WHEAT",$G$2:$G$99)),--($H$2:$H$99="OCCUPIED"),--($B$2:$B$99&lt;&gt;""),--(IFERROR(VALUE(LEFT(RIGHT($G$2:$G$99,7),4)),999)=IFERROR(VALUE(LEFT(RIGHT(G22,7),4)),999)),--($B$2:$B$99=B22),--(ROW($B$2:$B$99)&lt;=ROW())),""))</f>
        <v/>
      </c>
    </row>
    <row r="23" ht="15" customHeight="1" s="230">
      <c r="A23" s="138">
        <f>IF(D23="","",ROWS($D$2:D23))</f>
        <v/>
      </c>
      <c r="B23" s="139" t="n"/>
      <c r="C23" s="140" t="n">
        <v>14</v>
      </c>
      <c r="D23" s="140" t="inlineStr">
        <is>
          <t>14A04</t>
        </is>
      </c>
      <c r="E23" s="140" t="n"/>
      <c r="F23" s="141" t="n"/>
      <c r="G23" s="140" t="n"/>
      <c r="H23" s="142">
        <f>IF(AND(E23="",F23="",G23=""),"EMPTY","OCCUPIED")</f>
        <v/>
      </c>
      <c r="I23" s="143">
        <f>IF(B23="","",IF(ISNUMBER(B23),MAX(0,TODAY()-B23),""))</f>
        <v/>
      </c>
      <c r="J23" s="139" t="n"/>
      <c r="K23" s="139" t="n"/>
      <c r="L23" s="144" t="n"/>
      <c r="M23" s="135">
        <f>IF(AND(H23="OCCUPIED",ISNUMBER(J23),K23=""),1,0)</f>
        <v/>
      </c>
      <c r="N23" s="136">
        <f>IF(M23=1,COUNTIF($M$2:M23,1),"")</f>
        <v/>
      </c>
      <c r="O23" s="136">
        <f>IF(AND(H23="OCCUPIED",ISNUMBER(J23),K23=""),--(TODAY()-J23&gt;5),0)</f>
        <v/>
      </c>
      <c r="P23" s="136">
        <f>IF(O23=1,COUNTIF($O$2:O23,1),"")</f>
        <v/>
      </c>
      <c r="Q23" s="137">
        <f>IF(OR(B23="",G23="",H23&lt;&gt;"OCCUPIED"),"",IF(ISNUMBER(SEARCH("WHEAT",G23)),SUMPRODUCT(--ISNUMBER(SEARCH("WHEAT",$G$2:$G$99)),--($H$2:$H$99="OCCUPIED"),--($B$2:$B$99&lt;&gt;""),--(IFERROR(VALUE(LEFT(RIGHT($G$2:$G$99,7),4)),999)&lt;IFERROR(VALUE(LEFT(RIGHT(G23,7),4)),999)))+SUMPRODUCT(--ISNUMBER(SEARCH("WHEAT",$G$2:$G$99)),--($H$2:$H$99="OCCUPIED"),--($B$2:$B$99&lt;&gt;""),--(IFERROR(VALUE(LEFT(RIGHT($G$2:$G$99,7),4)),999)=IFERROR(VALUE(LEFT(RIGHT(G23,7),4)),999)),--($B$2:$B$99&lt;B23))+SUMPRODUCT(--ISNUMBER(SEARCH("WHEAT",$G$2:$G$99)),--($H$2:$H$99="OCCUPIED"),--($B$2:$B$99&lt;&gt;""),--(IFERROR(VALUE(LEFT(RIGHT($G$2:$G$99,7),4)),999)=IFERROR(VALUE(LEFT(RIGHT(G23,7),4)),999)),--($B$2:$B$99=B23),--(ROW($B$2:$B$99)&lt;=ROW())),""))</f>
        <v/>
      </c>
      <c r="R23" s="137">
        <f>IF(OR(B23="",G23="",H23&lt;&gt;"OCCUPIED"),"",IF(ISERROR(SEARCH("WHEAT",G23)),SUMPRODUCT(--ISERROR(SEARCH("WHEAT",$G$2:$G$99)),--($H$2:$H$99="OCCUPIED"),--($B$2:$B$99&lt;&gt;""),--(IFERROR(VALUE(LEFT(RIGHT($G$2:$G$99,7),4)),999)&lt;IFERROR(VALUE(LEFT(RIGHT(G23,7),4)),999)))+SUMPRODUCT(--ISERROR(SEARCH("WHEAT",$G$2:$G$99)),--($H$2:$H$99="OCCUPIED"),--($B$2:$B$99&lt;&gt;""),--(IFERROR(VALUE(LEFT(RIGHT($G$2:$G$99,7),4)),999)=IFERROR(VALUE(LEFT(RIGHT(G23,7),4)),999)),--($B$2:$B$99&lt;B23))+SUMPRODUCT(--ISERROR(SEARCH("WHEAT",$G$2:$G$99)),--($H$2:$H$99="OCCUPIED"),--($B$2:$B$99&lt;&gt;""),--(IFERROR(VALUE(LEFT(RIGHT($G$2:$G$99,7),4)),999)=IFERROR(VALUE(LEFT(RIGHT(G23,7),4)),999)),--($B$2:$B$99=B23),--(ROW($B$2:$B$99)&lt;=ROW())),""))</f>
        <v/>
      </c>
    </row>
    <row r="24" ht="15" customHeight="1" s="230">
      <c r="A24" s="138">
        <f>IF(D24="","",ROWS($D$2:D24))</f>
        <v/>
      </c>
      <c r="B24" s="139" t="n">
        <v>45906</v>
      </c>
      <c r="C24" s="140" t="n">
        <v>14</v>
      </c>
      <c r="D24" s="140" t="inlineStr">
        <is>
          <t>14A05</t>
        </is>
      </c>
      <c r="E24" s="140" t="n">
        <v>3501</v>
      </c>
      <c r="F24" s="141" t="n">
        <v>177.281405</v>
      </c>
      <c r="G24" s="140" t="inlineStr">
        <is>
          <t>WHEAT FAQ 2025-26</t>
        </is>
      </c>
      <c r="H24" s="142">
        <f>IF(AND(E24="",F24="",G24=""),"EMPTY","OCCUPIED")</f>
        <v/>
      </c>
      <c r="I24" s="143">
        <f>IF(B24="","",IF(ISNUMBER(B24),MAX(0,TODAY()-B24),""))</f>
        <v/>
      </c>
      <c r="J24" s="139" t="n"/>
      <c r="K24" s="139" t="n"/>
      <c r="L24" s="144" t="n"/>
      <c r="M24" s="135">
        <f>IF(AND(H24="OCCUPIED",ISNUMBER(J24),K24=""),1,0)</f>
        <v/>
      </c>
      <c r="N24" s="136">
        <f>IF(M24=1,COUNTIF($M$2:M24,1),"")</f>
        <v/>
      </c>
      <c r="O24" s="136">
        <f>IF(AND(H24="OCCUPIED",ISNUMBER(J24),K24=""),--(TODAY()-J24&gt;5),0)</f>
        <v/>
      </c>
      <c r="P24" s="136">
        <f>IF(O24=1,COUNTIF($O$2:O24,1),"")</f>
        <v/>
      </c>
      <c r="Q24" s="137">
        <f>IF(OR(B24="",G24="",H24&lt;&gt;"OCCUPIED"),"",IF(ISNUMBER(SEARCH("WHEAT",G24)),SUMPRODUCT(--ISNUMBER(SEARCH("WHEAT",$G$2:$G$99)),--($H$2:$H$99="OCCUPIED"),--($B$2:$B$99&lt;&gt;""),--(IFERROR(VALUE(LEFT(RIGHT($G$2:$G$99,7),4)),999)&lt;IFERROR(VALUE(LEFT(RIGHT(G24,7),4)),999)))+SUMPRODUCT(--ISNUMBER(SEARCH("WHEAT",$G$2:$G$99)),--($H$2:$H$99="OCCUPIED"),--($B$2:$B$99&lt;&gt;""),--(IFERROR(VALUE(LEFT(RIGHT($G$2:$G$99,7),4)),999)=IFERROR(VALUE(LEFT(RIGHT(G24,7),4)),999)),--($B$2:$B$99&lt;B24))+SUMPRODUCT(--ISNUMBER(SEARCH("WHEAT",$G$2:$G$99)),--($H$2:$H$99="OCCUPIED"),--($B$2:$B$99&lt;&gt;""),--(IFERROR(VALUE(LEFT(RIGHT($G$2:$G$99,7),4)),999)=IFERROR(VALUE(LEFT(RIGHT(G24,7),4)),999)),--($B$2:$B$99=B24),--(ROW($B$2:$B$99)&lt;=ROW())),""))</f>
        <v/>
      </c>
      <c r="R24" s="137">
        <f>IF(OR(B24="",G24="",H24&lt;&gt;"OCCUPIED"),"",IF(ISERROR(SEARCH("WHEAT",G24)),SUMPRODUCT(--ISERROR(SEARCH("WHEAT",$G$2:$G$99)),--($H$2:$H$99="OCCUPIED"),--($B$2:$B$99&lt;&gt;""),--(IFERROR(VALUE(LEFT(RIGHT($G$2:$G$99,7),4)),999)&lt;IFERROR(VALUE(LEFT(RIGHT(G24,7),4)),999)))+SUMPRODUCT(--ISERROR(SEARCH("WHEAT",$G$2:$G$99)),--($H$2:$H$99="OCCUPIED"),--($B$2:$B$99&lt;&gt;""),--(IFERROR(VALUE(LEFT(RIGHT($G$2:$G$99,7),4)),999)=IFERROR(VALUE(LEFT(RIGHT(G24,7),4)),999)),--($B$2:$B$99&lt;B24))+SUMPRODUCT(--ISERROR(SEARCH("WHEAT",$G$2:$G$99)),--($H$2:$H$99="OCCUPIED"),--($B$2:$B$99&lt;&gt;""),--(IFERROR(VALUE(LEFT(RIGHT($G$2:$G$99,7),4)),999)=IFERROR(VALUE(LEFT(RIGHT(G24,7),4)),999)),--($B$2:$B$99=B24),--(ROW($B$2:$B$99)&lt;=ROW())),""))</f>
        <v/>
      </c>
    </row>
    <row r="25" ht="15" customHeight="1" s="230">
      <c r="A25" s="138">
        <f>IF(D25="","",ROWS($D$2:D25))</f>
        <v/>
      </c>
      <c r="B25" s="139" t="n">
        <v>46209</v>
      </c>
      <c r="C25" s="140" t="n">
        <v>14</v>
      </c>
      <c r="D25" s="140" t="inlineStr">
        <is>
          <t>14A06</t>
        </is>
      </c>
      <c r="E25" s="140" t="n">
        <v>3501</v>
      </c>
      <c r="F25" s="141" t="n">
        <v>170.623897</v>
      </c>
      <c r="G25" s="140" t="inlineStr">
        <is>
          <t>FRK  RRA 2024-25</t>
        </is>
      </c>
      <c r="H25" s="142">
        <f>IF(AND(E25="",F25="",G25=""),"EMPTY","OCCUPIED")</f>
        <v/>
      </c>
      <c r="I25" s="143">
        <f>IF(B25="","",IF(ISNUMBER(B25),MAX(0,TODAY()-B25),""))</f>
        <v/>
      </c>
      <c r="J25" s="139" t="n"/>
      <c r="K25" s="139" t="n"/>
      <c r="L25" s="144" t="n"/>
      <c r="M25" s="135">
        <f>IF(AND(H25="OCCUPIED",ISNUMBER(J25),K25=""),1,0)</f>
        <v/>
      </c>
      <c r="N25" s="136">
        <f>IF(M25=1,COUNTIF($M$2:M25,1),"")</f>
        <v/>
      </c>
      <c r="O25" s="136">
        <f>IF(AND(H25="OCCUPIED",ISNUMBER(J25),K25=""),--(TODAY()-J25&gt;5),0)</f>
        <v/>
      </c>
      <c r="P25" s="136">
        <f>IF(O25=1,COUNTIF($O$2:O25,1),"")</f>
        <v/>
      </c>
      <c r="Q25" s="137">
        <f>IF(OR(B25="",G25="",H25&lt;&gt;"OCCUPIED"),"",IF(ISNUMBER(SEARCH("WHEAT",G25)),SUMPRODUCT(--ISNUMBER(SEARCH("WHEAT",$G$2:$G$99)),--($H$2:$H$99="OCCUPIED"),--($B$2:$B$99&lt;&gt;""),--(IFERROR(VALUE(LEFT(RIGHT($G$2:$G$99,7),4)),999)&lt;IFERROR(VALUE(LEFT(RIGHT(G25,7),4)),999)))+SUMPRODUCT(--ISNUMBER(SEARCH("WHEAT",$G$2:$G$99)),--($H$2:$H$99="OCCUPIED"),--($B$2:$B$99&lt;&gt;""),--(IFERROR(VALUE(LEFT(RIGHT($G$2:$G$99,7),4)),999)=IFERROR(VALUE(LEFT(RIGHT(G25,7),4)),999)),--($B$2:$B$99&lt;B25))+SUMPRODUCT(--ISNUMBER(SEARCH("WHEAT",$G$2:$G$99)),--($H$2:$H$99="OCCUPIED"),--($B$2:$B$99&lt;&gt;""),--(IFERROR(VALUE(LEFT(RIGHT($G$2:$G$99,7),4)),999)=IFERROR(VALUE(LEFT(RIGHT(G25,7),4)),999)),--($B$2:$B$99=B25),--(ROW($B$2:$B$99)&lt;=ROW())),""))</f>
        <v/>
      </c>
      <c r="R25" s="137">
        <f>IF(OR(B25="",G25="",H25&lt;&gt;"OCCUPIED"),"",IF(ISERROR(SEARCH("WHEAT",G25)),SUMPRODUCT(--ISERROR(SEARCH("WHEAT",$G$2:$G$99)),--($H$2:$H$99="OCCUPIED"),--($B$2:$B$99&lt;&gt;""),--(IFERROR(VALUE(LEFT(RIGHT($G$2:$G$99,7),4)),999)&lt;IFERROR(VALUE(LEFT(RIGHT(G25,7),4)),999)))+SUMPRODUCT(--ISERROR(SEARCH("WHEAT",$G$2:$G$99)),--($H$2:$H$99="OCCUPIED"),--($B$2:$B$99&lt;&gt;""),--(IFERROR(VALUE(LEFT(RIGHT($G$2:$G$99,7),4)),999)=IFERROR(VALUE(LEFT(RIGHT(G25,7),4)),999)),--($B$2:$B$99&lt;B25))+SUMPRODUCT(--ISERROR(SEARCH("WHEAT",$G$2:$G$99)),--($H$2:$H$99="OCCUPIED"),--($B$2:$B$99&lt;&gt;""),--(IFERROR(VALUE(LEFT(RIGHT($G$2:$G$99,7),4)),999)=IFERROR(VALUE(LEFT(RIGHT(G25,7),4)),999)),--($B$2:$B$99=B25),--(ROW($B$2:$B$99)&lt;=ROW())),""))</f>
        <v/>
      </c>
    </row>
    <row r="26" ht="15" customHeight="1" s="230">
      <c r="A26" s="138">
        <f>IF(D26="","",ROWS($D$2:D26))</f>
        <v/>
      </c>
      <c r="B26" s="139" t="n">
        <v>46098</v>
      </c>
      <c r="C26" s="140" t="n">
        <v>14</v>
      </c>
      <c r="D26" s="140" t="inlineStr">
        <is>
          <t>14A07</t>
        </is>
      </c>
      <c r="E26" s="140" t="n">
        <v>3501</v>
      </c>
      <c r="F26" s="141" t="n">
        <v>173.195651</v>
      </c>
      <c r="G26" s="140" t="inlineStr">
        <is>
          <t>FRK  RRA 2024-25</t>
        </is>
      </c>
      <c r="H26" s="142">
        <f>IF(AND(E26="",F26="",G26=""),"EMPTY","OCCUPIED")</f>
        <v/>
      </c>
      <c r="I26" s="143">
        <f>IF(B26="","",IF(ISNUMBER(B26),MAX(0,TODAY()-B26),""))</f>
        <v/>
      </c>
      <c r="J26" s="139" t="n"/>
      <c r="K26" s="139" t="n"/>
      <c r="L26" s="144" t="n"/>
      <c r="M26" s="135">
        <f>IF(AND(H26="OCCUPIED",ISNUMBER(J26),K26=""),1,0)</f>
        <v/>
      </c>
      <c r="N26" s="136">
        <f>IF(M26=1,COUNTIF($M$2:M26,1),"")</f>
        <v/>
      </c>
      <c r="O26" s="136">
        <f>IF(AND(H26="OCCUPIED",ISNUMBER(J26),K26=""),--(TODAY()-J26&gt;5),0)</f>
        <v/>
      </c>
      <c r="P26" s="136">
        <f>IF(O26=1,COUNTIF($O$2:O26,1),"")</f>
        <v/>
      </c>
      <c r="Q26" s="137">
        <f>IF(OR(B26="",G26="",H26&lt;&gt;"OCCUPIED"),"",IF(ISNUMBER(SEARCH("WHEAT",G26)),SUMPRODUCT(--ISNUMBER(SEARCH("WHEAT",$G$2:$G$99)),--($H$2:$H$99="OCCUPIED"),--($B$2:$B$99&lt;&gt;""),--(IFERROR(VALUE(LEFT(RIGHT($G$2:$G$99,7),4)),999)&lt;IFERROR(VALUE(LEFT(RIGHT(G26,7),4)),999)))+SUMPRODUCT(--ISNUMBER(SEARCH("WHEAT",$G$2:$G$99)),--($H$2:$H$99="OCCUPIED"),--($B$2:$B$99&lt;&gt;""),--(IFERROR(VALUE(LEFT(RIGHT($G$2:$G$99,7),4)),999)=IFERROR(VALUE(LEFT(RIGHT(G26,7),4)),999)),--($B$2:$B$99&lt;B26))+SUMPRODUCT(--ISNUMBER(SEARCH("WHEAT",$G$2:$G$99)),--($H$2:$H$99="OCCUPIED"),--($B$2:$B$99&lt;&gt;""),--(IFERROR(VALUE(LEFT(RIGHT($G$2:$G$99,7),4)),999)=IFERROR(VALUE(LEFT(RIGHT(G26,7),4)),999)),--($B$2:$B$99=B26),--(ROW($B$2:$B$99)&lt;=ROW())),""))</f>
        <v/>
      </c>
      <c r="R26" s="137">
        <f>IF(OR(B26="",G26="",H26&lt;&gt;"OCCUPIED"),"",IF(ISERROR(SEARCH("WHEAT",G26)),SUMPRODUCT(--ISERROR(SEARCH("WHEAT",$G$2:$G$99)),--($H$2:$H$99="OCCUPIED"),--($B$2:$B$99&lt;&gt;""),--(IFERROR(VALUE(LEFT(RIGHT($G$2:$G$99,7),4)),999)&lt;IFERROR(VALUE(LEFT(RIGHT(G26,7),4)),999)))+SUMPRODUCT(--ISERROR(SEARCH("WHEAT",$G$2:$G$99)),--($H$2:$H$99="OCCUPIED"),--($B$2:$B$99&lt;&gt;""),--(IFERROR(VALUE(LEFT(RIGHT($G$2:$G$99,7),4)),999)=IFERROR(VALUE(LEFT(RIGHT(G26,7),4)),999)),--($B$2:$B$99&lt;B26))+SUMPRODUCT(--ISERROR(SEARCH("WHEAT",$G$2:$G$99)),--($H$2:$H$99="OCCUPIED"),--($B$2:$B$99&lt;&gt;""),--(IFERROR(VALUE(LEFT(RIGHT($G$2:$G$99,7),4)),999)=IFERROR(VALUE(LEFT(RIGHT(G26,7),4)),999)),--($B$2:$B$99=B26),--(ROW($B$2:$B$99)&lt;=ROW())),""))</f>
        <v/>
      </c>
    </row>
    <row r="27" ht="15" customHeight="1" s="230">
      <c r="A27" s="138">
        <f>IF(D27="","",ROWS($D$2:D27))</f>
        <v/>
      </c>
      <c r="B27" s="139" t="n">
        <v>46104</v>
      </c>
      <c r="C27" s="140" t="n">
        <v>14</v>
      </c>
      <c r="D27" s="140" t="inlineStr">
        <is>
          <t>14A08</t>
        </is>
      </c>
      <c r="E27" s="140" t="n">
        <v>3497</v>
      </c>
      <c r="F27" s="141" t="n">
        <v>172.786144</v>
      </c>
      <c r="G27" s="140" t="inlineStr">
        <is>
          <t>FRK  RRA 2024-25</t>
        </is>
      </c>
      <c r="H27" s="142">
        <f>IF(AND(E27="",F27="",G27=""),"EMPTY","OCCUPIED")</f>
        <v/>
      </c>
      <c r="I27" s="143">
        <f>IF(B27="","",IF(ISNUMBER(B27),MAX(0,TODAY()-B27),""))</f>
        <v/>
      </c>
      <c r="J27" s="139" t="n"/>
      <c r="K27" s="139" t="n"/>
      <c r="L27" s="144" t="n"/>
      <c r="M27" s="135">
        <f>IF(AND(H27="OCCUPIED",ISNUMBER(J27),K27=""),1,0)</f>
        <v/>
      </c>
      <c r="N27" s="136">
        <f>IF(M27=1,COUNTIF($M$2:M27,1),"")</f>
        <v/>
      </c>
      <c r="O27" s="136">
        <f>IF(AND(H27="OCCUPIED",ISNUMBER(J27),K27=""),--(TODAY()-J27&gt;5),0)</f>
        <v/>
      </c>
      <c r="P27" s="136">
        <f>IF(O27=1,COUNTIF($O$2:O27,1),"")</f>
        <v/>
      </c>
      <c r="Q27" s="137">
        <f>IF(OR(B27="",G27="",H27&lt;&gt;"OCCUPIED"),"",IF(ISNUMBER(SEARCH("WHEAT",G27)),SUMPRODUCT(--ISNUMBER(SEARCH("WHEAT",$G$2:$G$99)),--($H$2:$H$99="OCCUPIED"),--($B$2:$B$99&lt;&gt;""),--(IFERROR(VALUE(LEFT(RIGHT($G$2:$G$99,7),4)),999)&lt;IFERROR(VALUE(LEFT(RIGHT(G27,7),4)),999)))+SUMPRODUCT(--ISNUMBER(SEARCH("WHEAT",$G$2:$G$99)),--($H$2:$H$99="OCCUPIED"),--($B$2:$B$99&lt;&gt;""),--(IFERROR(VALUE(LEFT(RIGHT($G$2:$G$99,7),4)),999)=IFERROR(VALUE(LEFT(RIGHT(G27,7),4)),999)),--($B$2:$B$99&lt;B27))+SUMPRODUCT(--ISNUMBER(SEARCH("WHEAT",$G$2:$G$99)),--($H$2:$H$99="OCCUPIED"),--($B$2:$B$99&lt;&gt;""),--(IFERROR(VALUE(LEFT(RIGHT($G$2:$G$99,7),4)),999)=IFERROR(VALUE(LEFT(RIGHT(G27,7),4)),999)),--($B$2:$B$99=B27),--(ROW($B$2:$B$99)&lt;=ROW())),""))</f>
        <v/>
      </c>
      <c r="R27" s="137">
        <f>IF(OR(B27="",G27="",H27&lt;&gt;"OCCUPIED"),"",IF(ISERROR(SEARCH("WHEAT",G27)),SUMPRODUCT(--ISERROR(SEARCH("WHEAT",$G$2:$G$99)),--($H$2:$H$99="OCCUPIED"),--($B$2:$B$99&lt;&gt;""),--(IFERROR(VALUE(LEFT(RIGHT($G$2:$G$99,7),4)),999)&lt;IFERROR(VALUE(LEFT(RIGHT(G27,7),4)),999)))+SUMPRODUCT(--ISERROR(SEARCH("WHEAT",$G$2:$G$99)),--($H$2:$H$99="OCCUPIED"),--($B$2:$B$99&lt;&gt;""),--(IFERROR(VALUE(LEFT(RIGHT($G$2:$G$99,7),4)),999)=IFERROR(VALUE(LEFT(RIGHT(G27,7),4)),999)),--($B$2:$B$99&lt;B27))+SUMPRODUCT(--ISERROR(SEARCH("WHEAT",$G$2:$G$99)),--($H$2:$H$99="OCCUPIED"),--($B$2:$B$99&lt;&gt;""),--(IFERROR(VALUE(LEFT(RIGHT($G$2:$G$99,7),4)),999)=IFERROR(VALUE(LEFT(RIGHT(G27,7),4)),999)),--($B$2:$B$99=B27),--(ROW($B$2:$B$99)&lt;=ROW())),""))</f>
        <v/>
      </c>
    </row>
    <row r="28" ht="15" customHeight="1" s="230">
      <c r="A28" s="138">
        <f>IF(D28="","",ROWS($D$2:D28))</f>
        <v/>
      </c>
      <c r="B28" s="139" t="n">
        <v>46175</v>
      </c>
      <c r="C28" s="140" t="n">
        <v>14</v>
      </c>
      <c r="D28" s="140" t="inlineStr">
        <is>
          <t>14A09</t>
        </is>
      </c>
      <c r="E28" s="140" t="n">
        <v>3501</v>
      </c>
      <c r="F28" s="141" t="n">
        <v>170.650613</v>
      </c>
      <c r="G28" s="140" t="inlineStr">
        <is>
          <t>FRK  RRA 2024-25</t>
        </is>
      </c>
      <c r="H28" s="142">
        <f>IF(AND(E28="",F28="",G28=""),"EMPTY","OCCUPIED")</f>
        <v/>
      </c>
      <c r="I28" s="143">
        <f>IF(B28="","",IF(ISNUMBER(B28),MAX(0,TODAY()-B28),""))</f>
        <v/>
      </c>
      <c r="J28" s="139" t="n"/>
      <c r="K28" s="139" t="n"/>
      <c r="L28" s="144" t="n"/>
      <c r="M28" s="135">
        <f>IF(AND(H28="OCCUPIED",ISNUMBER(J28),K28=""),1,0)</f>
        <v/>
      </c>
      <c r="N28" s="136">
        <f>IF(M28=1,COUNTIF($M$2:M28,1),"")</f>
        <v/>
      </c>
      <c r="O28" s="136">
        <f>IF(AND(H28="OCCUPIED",ISNUMBER(J28),K28=""),--(TODAY()-J28&gt;5),0)</f>
        <v/>
      </c>
      <c r="P28" s="136">
        <f>IF(O28=1,COUNTIF($O$2:O28,1),"")</f>
        <v/>
      </c>
      <c r="Q28" s="137">
        <f>IF(OR(B28="",G28="",H28&lt;&gt;"OCCUPIED"),"",IF(ISNUMBER(SEARCH("WHEAT",G28)),SUMPRODUCT(--ISNUMBER(SEARCH("WHEAT",$G$2:$G$99)),--($H$2:$H$99="OCCUPIED"),--($B$2:$B$99&lt;&gt;""),--(IFERROR(VALUE(LEFT(RIGHT($G$2:$G$99,7),4)),999)&lt;IFERROR(VALUE(LEFT(RIGHT(G28,7),4)),999)))+SUMPRODUCT(--ISNUMBER(SEARCH("WHEAT",$G$2:$G$99)),--($H$2:$H$99="OCCUPIED"),--($B$2:$B$99&lt;&gt;""),--(IFERROR(VALUE(LEFT(RIGHT($G$2:$G$99,7),4)),999)=IFERROR(VALUE(LEFT(RIGHT(G28,7),4)),999)),--($B$2:$B$99&lt;B28))+SUMPRODUCT(--ISNUMBER(SEARCH("WHEAT",$G$2:$G$99)),--($H$2:$H$99="OCCUPIED"),--($B$2:$B$99&lt;&gt;""),--(IFERROR(VALUE(LEFT(RIGHT($G$2:$G$99,7),4)),999)=IFERROR(VALUE(LEFT(RIGHT(G28,7),4)),999)),--($B$2:$B$99=B28),--(ROW($B$2:$B$99)&lt;=ROW())),""))</f>
        <v/>
      </c>
      <c r="R28" s="137">
        <f>IF(OR(B28="",G28="",H28&lt;&gt;"OCCUPIED"),"",IF(ISERROR(SEARCH("WHEAT",G28)),SUMPRODUCT(--ISERROR(SEARCH("WHEAT",$G$2:$G$99)),--($H$2:$H$99="OCCUPIED"),--($B$2:$B$99&lt;&gt;""),--(IFERROR(VALUE(LEFT(RIGHT($G$2:$G$99,7),4)),999)&lt;IFERROR(VALUE(LEFT(RIGHT(G28,7),4)),999)))+SUMPRODUCT(--ISERROR(SEARCH("WHEAT",$G$2:$G$99)),--($H$2:$H$99="OCCUPIED"),--($B$2:$B$99&lt;&gt;""),--(IFERROR(VALUE(LEFT(RIGHT($G$2:$G$99,7),4)),999)=IFERROR(VALUE(LEFT(RIGHT(G28,7),4)),999)),--($B$2:$B$99&lt;B28))+SUMPRODUCT(--ISERROR(SEARCH("WHEAT",$G$2:$G$99)),--($H$2:$H$99="OCCUPIED"),--($B$2:$B$99&lt;&gt;""),--(IFERROR(VALUE(LEFT(RIGHT($G$2:$G$99,7),4)),999)=IFERROR(VALUE(LEFT(RIGHT(G28,7),4)),999)),--($B$2:$B$99=B28),--(ROW($B$2:$B$99)&lt;=ROW())),""))</f>
        <v/>
      </c>
    </row>
    <row r="29" ht="15" customHeight="1" s="230">
      <c r="A29" s="138">
        <f>IF(D29="","",ROWS($D$2:D29))</f>
        <v/>
      </c>
      <c r="B29" s="139" t="n">
        <v>46098</v>
      </c>
      <c r="C29" s="140" t="n">
        <v>14</v>
      </c>
      <c r="D29" s="140" t="inlineStr">
        <is>
          <t>14B10</t>
        </is>
      </c>
      <c r="E29" s="140" t="n">
        <v>3501</v>
      </c>
      <c r="F29" s="141" t="n">
        <v>172.303651</v>
      </c>
      <c r="G29" s="140" t="inlineStr">
        <is>
          <t>FRK  RRA 2024-25</t>
        </is>
      </c>
      <c r="H29" s="142">
        <f>IF(AND(E29="",F29="",G29=""),"EMPTY","OCCUPIED")</f>
        <v/>
      </c>
      <c r="I29" s="143">
        <f>IF(B29="","",IF(ISNUMBER(B29),MAX(0,TODAY()-B29),""))</f>
        <v/>
      </c>
      <c r="J29" s="139" t="n"/>
      <c r="K29" s="139" t="n"/>
      <c r="L29" s="144" t="n"/>
      <c r="M29" s="135">
        <f>IF(AND(H29="OCCUPIED",ISNUMBER(J29),K29=""),1,0)</f>
        <v/>
      </c>
      <c r="N29" s="136">
        <f>IF(M29=1,COUNTIF($M$2:M29,1),"")</f>
        <v/>
      </c>
      <c r="O29" s="136">
        <f>IF(AND(H29="OCCUPIED",ISNUMBER(J29),K29=""),--(TODAY()-J29&gt;5),0)</f>
        <v/>
      </c>
      <c r="P29" s="136">
        <f>IF(O29=1,COUNTIF($O$2:O29,1),"")</f>
        <v/>
      </c>
      <c r="Q29" s="137">
        <f>IF(OR(B29="",G29="",H29&lt;&gt;"OCCUPIED"),"",IF(ISNUMBER(SEARCH("WHEAT",G29)),SUMPRODUCT(--ISNUMBER(SEARCH("WHEAT",$G$2:$G$99)),--($H$2:$H$99="OCCUPIED"),--($B$2:$B$99&lt;&gt;""),--(IFERROR(VALUE(LEFT(RIGHT($G$2:$G$99,7),4)),999)&lt;IFERROR(VALUE(LEFT(RIGHT(G29,7),4)),999)))+SUMPRODUCT(--ISNUMBER(SEARCH("WHEAT",$G$2:$G$99)),--($H$2:$H$99="OCCUPIED"),--($B$2:$B$99&lt;&gt;""),--(IFERROR(VALUE(LEFT(RIGHT($G$2:$G$99,7),4)),999)=IFERROR(VALUE(LEFT(RIGHT(G29,7),4)),999)),--($B$2:$B$99&lt;B29))+SUMPRODUCT(--ISNUMBER(SEARCH("WHEAT",$G$2:$G$99)),--($H$2:$H$99="OCCUPIED"),--($B$2:$B$99&lt;&gt;""),--(IFERROR(VALUE(LEFT(RIGHT($G$2:$G$99,7),4)),999)=IFERROR(VALUE(LEFT(RIGHT(G29,7),4)),999)),--($B$2:$B$99=B29),--(ROW($B$2:$B$99)&lt;=ROW())),""))</f>
        <v/>
      </c>
      <c r="R29" s="137">
        <f>IF(OR(B29="",G29="",H29&lt;&gt;"OCCUPIED"),"",IF(ISERROR(SEARCH("WHEAT",G29)),SUMPRODUCT(--ISERROR(SEARCH("WHEAT",$G$2:$G$99)),--($H$2:$H$99="OCCUPIED"),--($B$2:$B$99&lt;&gt;""),--(IFERROR(VALUE(LEFT(RIGHT($G$2:$G$99,7),4)),999)&lt;IFERROR(VALUE(LEFT(RIGHT(G29,7),4)),999)))+SUMPRODUCT(--ISERROR(SEARCH("WHEAT",$G$2:$G$99)),--($H$2:$H$99="OCCUPIED"),--($B$2:$B$99&lt;&gt;""),--(IFERROR(VALUE(LEFT(RIGHT($G$2:$G$99,7),4)),999)=IFERROR(VALUE(LEFT(RIGHT(G29,7),4)),999)),--($B$2:$B$99&lt;B29))+SUMPRODUCT(--ISERROR(SEARCH("WHEAT",$G$2:$G$99)),--($H$2:$H$99="OCCUPIED"),--($B$2:$B$99&lt;&gt;""),--(IFERROR(VALUE(LEFT(RIGHT($G$2:$G$99,7),4)),999)=IFERROR(VALUE(LEFT(RIGHT(G29,7),4)),999)),--($B$2:$B$99=B29),--(ROW($B$2:$B$99)&lt;=ROW())),""))</f>
        <v/>
      </c>
    </row>
    <row r="30" ht="15" customHeight="1" s="230">
      <c r="A30" s="138">
        <f>IF(D30="","",ROWS($D$2:D30))</f>
        <v/>
      </c>
      <c r="B30" s="139" t="n">
        <v>46172</v>
      </c>
      <c r="C30" s="140" t="n">
        <v>14</v>
      </c>
      <c r="D30" s="140" t="inlineStr">
        <is>
          <t>14B11</t>
        </is>
      </c>
      <c r="E30" s="140" t="n">
        <v>3259</v>
      </c>
      <c r="F30" s="141" t="n">
        <v>160.88036</v>
      </c>
      <c r="G30" s="140" t="inlineStr">
        <is>
          <t>FRK  RRA 2024-25</t>
        </is>
      </c>
      <c r="H30" s="142">
        <f>IF(AND(E30="",F30="",G30=""),"EMPTY","OCCUPIED")</f>
        <v/>
      </c>
      <c r="I30" s="143">
        <f>IF(B30="","",IF(ISNUMBER(B30),MAX(0,TODAY()-B30),""))</f>
        <v/>
      </c>
      <c r="J30" s="139" t="n"/>
      <c r="K30" s="139" t="n"/>
      <c r="L30" s="144" t="n"/>
      <c r="M30" s="135">
        <f>IF(AND(H30="OCCUPIED",ISNUMBER(J30),K30=""),1,0)</f>
        <v/>
      </c>
      <c r="N30" s="136">
        <f>IF(M30=1,COUNTIF($M$2:M30,1),"")</f>
        <v/>
      </c>
      <c r="O30" s="136">
        <f>IF(AND(H30="OCCUPIED",ISNUMBER(J30),K30=""),--(TODAY()-J30&gt;5),0)</f>
        <v/>
      </c>
      <c r="P30" s="136">
        <f>IF(O30=1,COUNTIF($O$2:O30,1),"")</f>
        <v/>
      </c>
      <c r="Q30" s="137">
        <f>IF(OR(B30="",G30="",H30&lt;&gt;"OCCUPIED"),"",IF(ISNUMBER(SEARCH("WHEAT",G30)),SUMPRODUCT(--ISNUMBER(SEARCH("WHEAT",$G$2:$G$99)),--($H$2:$H$99="OCCUPIED"),--($B$2:$B$99&lt;&gt;""),--(IFERROR(VALUE(LEFT(RIGHT($G$2:$G$99,7),4)),999)&lt;IFERROR(VALUE(LEFT(RIGHT(G30,7),4)),999)))+SUMPRODUCT(--ISNUMBER(SEARCH("WHEAT",$G$2:$G$99)),--($H$2:$H$99="OCCUPIED"),--($B$2:$B$99&lt;&gt;""),--(IFERROR(VALUE(LEFT(RIGHT($G$2:$G$99,7),4)),999)=IFERROR(VALUE(LEFT(RIGHT(G30,7),4)),999)),--($B$2:$B$99&lt;B30))+SUMPRODUCT(--ISNUMBER(SEARCH("WHEAT",$G$2:$G$99)),--($H$2:$H$99="OCCUPIED"),--($B$2:$B$99&lt;&gt;""),--(IFERROR(VALUE(LEFT(RIGHT($G$2:$G$99,7),4)),999)=IFERROR(VALUE(LEFT(RIGHT(G30,7),4)),999)),--($B$2:$B$99=B30),--(ROW($B$2:$B$99)&lt;=ROW())),""))</f>
        <v/>
      </c>
      <c r="R30" s="137">
        <f>IF(OR(B30="",G30="",H30&lt;&gt;"OCCUPIED"),"",IF(ISERROR(SEARCH("WHEAT",G30)),SUMPRODUCT(--ISERROR(SEARCH("WHEAT",$G$2:$G$99)),--($H$2:$H$99="OCCUPIED"),--($B$2:$B$99&lt;&gt;""),--(IFERROR(VALUE(LEFT(RIGHT($G$2:$G$99,7),4)),999)&lt;IFERROR(VALUE(LEFT(RIGHT(G30,7),4)),999)))+SUMPRODUCT(--ISERROR(SEARCH("WHEAT",$G$2:$G$99)),--($H$2:$H$99="OCCUPIED"),--($B$2:$B$99&lt;&gt;""),--(IFERROR(VALUE(LEFT(RIGHT($G$2:$G$99,7),4)),999)=IFERROR(VALUE(LEFT(RIGHT(G30,7),4)),999)),--($B$2:$B$99&lt;B30))+SUMPRODUCT(--ISERROR(SEARCH("WHEAT",$G$2:$G$99)),--($H$2:$H$99="OCCUPIED"),--($B$2:$B$99&lt;&gt;""),--(IFERROR(VALUE(LEFT(RIGHT($G$2:$G$99,7),4)),999)=IFERROR(VALUE(LEFT(RIGHT(G30,7),4)),999)),--($B$2:$B$99=B30),--(ROW($B$2:$B$99)&lt;=ROW())),""))</f>
        <v/>
      </c>
    </row>
    <row r="31" ht="15" customHeight="1" s="230">
      <c r="A31" s="138">
        <f>IF(D31="","",ROWS($D$2:D31))</f>
        <v/>
      </c>
      <c r="B31" s="139" t="n">
        <v>46108</v>
      </c>
      <c r="C31" s="140" t="n">
        <v>14</v>
      </c>
      <c r="D31" s="140" t="inlineStr">
        <is>
          <t>14B12</t>
        </is>
      </c>
      <c r="E31" s="140" t="n">
        <v>3501</v>
      </c>
      <c r="F31" s="141" t="n">
        <v>173.878683</v>
      </c>
      <c r="G31" s="140" t="inlineStr">
        <is>
          <t>FRK  RRA 2024-25</t>
        </is>
      </c>
      <c r="H31" s="142">
        <f>IF(AND(E31="",F31="",G31=""),"EMPTY","OCCUPIED")</f>
        <v/>
      </c>
      <c r="I31" s="143">
        <f>IF(B31="","",IF(ISNUMBER(B31),MAX(0,TODAY()-B31),""))</f>
        <v/>
      </c>
      <c r="J31" s="139" t="n"/>
      <c r="K31" s="139" t="n"/>
      <c r="L31" s="144" t="n"/>
      <c r="M31" s="135">
        <f>IF(AND(H31="OCCUPIED",ISNUMBER(J31),K31=""),1,0)</f>
        <v/>
      </c>
      <c r="N31" s="136">
        <f>IF(M31=1,COUNTIF($M$2:M31,1),"")</f>
        <v/>
      </c>
      <c r="O31" s="136">
        <f>IF(AND(H31="OCCUPIED",ISNUMBER(J31),K31=""),--(TODAY()-J31&gt;5),0)</f>
        <v/>
      </c>
      <c r="P31" s="136">
        <f>IF(O31=1,COUNTIF($O$2:O31,1),"")</f>
        <v/>
      </c>
      <c r="Q31" s="137">
        <f>IF(OR(B31="",G31="",H31&lt;&gt;"OCCUPIED"),"",IF(ISNUMBER(SEARCH("WHEAT",G31)),SUMPRODUCT(--ISNUMBER(SEARCH("WHEAT",$G$2:$G$99)),--($H$2:$H$99="OCCUPIED"),--($B$2:$B$99&lt;&gt;""),--(IFERROR(VALUE(LEFT(RIGHT($G$2:$G$99,7),4)),999)&lt;IFERROR(VALUE(LEFT(RIGHT(G31,7),4)),999)))+SUMPRODUCT(--ISNUMBER(SEARCH("WHEAT",$G$2:$G$99)),--($H$2:$H$99="OCCUPIED"),--($B$2:$B$99&lt;&gt;""),--(IFERROR(VALUE(LEFT(RIGHT($G$2:$G$99,7),4)),999)=IFERROR(VALUE(LEFT(RIGHT(G31,7),4)),999)),--($B$2:$B$99&lt;B31))+SUMPRODUCT(--ISNUMBER(SEARCH("WHEAT",$G$2:$G$99)),--($H$2:$H$99="OCCUPIED"),--($B$2:$B$99&lt;&gt;""),--(IFERROR(VALUE(LEFT(RIGHT($G$2:$G$99,7),4)),999)=IFERROR(VALUE(LEFT(RIGHT(G31,7),4)),999)),--($B$2:$B$99=B31),--(ROW($B$2:$B$99)&lt;=ROW())),""))</f>
        <v/>
      </c>
      <c r="R31" s="137">
        <f>IF(OR(B31="",G31="",H31&lt;&gt;"OCCUPIED"),"",IF(ISERROR(SEARCH("WHEAT",G31)),SUMPRODUCT(--ISERROR(SEARCH("WHEAT",$G$2:$G$99)),--($H$2:$H$99="OCCUPIED"),--($B$2:$B$99&lt;&gt;""),--(IFERROR(VALUE(LEFT(RIGHT($G$2:$G$99,7),4)),999)&lt;IFERROR(VALUE(LEFT(RIGHT(G31,7),4)),999)))+SUMPRODUCT(--ISERROR(SEARCH("WHEAT",$G$2:$G$99)),--($H$2:$H$99="OCCUPIED"),--($B$2:$B$99&lt;&gt;""),--(IFERROR(VALUE(LEFT(RIGHT($G$2:$G$99,7),4)),999)=IFERROR(VALUE(LEFT(RIGHT(G31,7),4)),999)),--($B$2:$B$99&lt;B31))+SUMPRODUCT(--ISERROR(SEARCH("WHEAT",$G$2:$G$99)),--($H$2:$H$99="OCCUPIED"),--($B$2:$B$99&lt;&gt;""),--(IFERROR(VALUE(LEFT(RIGHT($G$2:$G$99,7),4)),999)=IFERROR(VALUE(LEFT(RIGHT(G31,7),4)),999)),--($B$2:$B$99=B31),--(ROW($B$2:$B$99)&lt;=ROW())),""))</f>
        <v/>
      </c>
    </row>
    <row r="32" ht="15" customHeight="1" s="230">
      <c r="A32" s="138">
        <f>IF(D32="","",ROWS($D$2:D32))</f>
        <v/>
      </c>
      <c r="B32" s="139" t="n">
        <v>45944</v>
      </c>
      <c r="C32" s="140" t="n">
        <v>14</v>
      </c>
      <c r="D32" s="140" t="inlineStr">
        <is>
          <t>14B13</t>
        </is>
      </c>
      <c r="E32" s="140" t="n">
        <v>3029</v>
      </c>
      <c r="F32" s="141" t="n">
        <v>149.676154</v>
      </c>
      <c r="G32" s="140" t="inlineStr">
        <is>
          <t>FRK  RRA 2024-25</t>
        </is>
      </c>
      <c r="H32" s="142">
        <f>IF(AND(E32="",F32="",G32=""),"EMPTY","OCCUPIED")</f>
        <v/>
      </c>
      <c r="I32" s="143">
        <f>IF(B32="","",IF(ISNUMBER(B32),MAX(0,TODAY()-B32),""))</f>
        <v/>
      </c>
      <c r="J32" s="139" t="n"/>
      <c r="K32" s="139" t="n"/>
      <c r="L32" s="144" t="n"/>
      <c r="M32" s="135">
        <f>IF(AND(H32="OCCUPIED",ISNUMBER(J32),K32=""),1,0)</f>
        <v/>
      </c>
      <c r="N32" s="136">
        <f>IF(M32=1,COUNTIF($M$2:M32,1),"")</f>
        <v/>
      </c>
      <c r="O32" s="136">
        <f>IF(AND(H32="OCCUPIED",ISNUMBER(J32),K32=""),--(TODAY()-J32&gt;5),0)</f>
        <v/>
      </c>
      <c r="P32" s="136">
        <f>IF(O32=1,COUNTIF($O$2:O32,1),"")</f>
        <v/>
      </c>
      <c r="Q32" s="137">
        <f>IF(OR(B32="",G32="",H32&lt;&gt;"OCCUPIED"),"",IF(ISNUMBER(SEARCH("WHEAT",G32)),SUMPRODUCT(--ISNUMBER(SEARCH("WHEAT",$G$2:$G$99)),--($H$2:$H$99="OCCUPIED"),--($B$2:$B$99&lt;&gt;""),--(IFERROR(VALUE(LEFT(RIGHT($G$2:$G$99,7),4)),999)&lt;IFERROR(VALUE(LEFT(RIGHT(G32,7),4)),999)))+SUMPRODUCT(--ISNUMBER(SEARCH("WHEAT",$G$2:$G$99)),--($H$2:$H$99="OCCUPIED"),--($B$2:$B$99&lt;&gt;""),--(IFERROR(VALUE(LEFT(RIGHT($G$2:$G$99,7),4)),999)=IFERROR(VALUE(LEFT(RIGHT(G32,7),4)),999)),--($B$2:$B$99&lt;B32))+SUMPRODUCT(--ISNUMBER(SEARCH("WHEAT",$G$2:$G$99)),--($H$2:$H$99="OCCUPIED"),--($B$2:$B$99&lt;&gt;""),--(IFERROR(VALUE(LEFT(RIGHT($G$2:$G$99,7),4)),999)=IFERROR(VALUE(LEFT(RIGHT(G32,7),4)),999)),--($B$2:$B$99=B32),--(ROW($B$2:$B$99)&lt;=ROW())),""))</f>
        <v/>
      </c>
      <c r="R32" s="137">
        <f>IF(OR(B32="",G32="",H32&lt;&gt;"OCCUPIED"),"",IF(ISERROR(SEARCH("WHEAT",G32)),SUMPRODUCT(--ISERROR(SEARCH("WHEAT",$G$2:$G$99)),--($H$2:$H$99="OCCUPIED"),--($B$2:$B$99&lt;&gt;""),--(IFERROR(VALUE(LEFT(RIGHT($G$2:$G$99,7),4)),999)&lt;IFERROR(VALUE(LEFT(RIGHT(G32,7),4)),999)))+SUMPRODUCT(--ISERROR(SEARCH("WHEAT",$G$2:$G$99)),--($H$2:$H$99="OCCUPIED"),--($B$2:$B$99&lt;&gt;""),--(IFERROR(VALUE(LEFT(RIGHT($G$2:$G$99,7),4)),999)=IFERROR(VALUE(LEFT(RIGHT(G32,7),4)),999)),--($B$2:$B$99&lt;B32))+SUMPRODUCT(--ISERROR(SEARCH("WHEAT",$G$2:$G$99)),--($H$2:$H$99="OCCUPIED"),--($B$2:$B$99&lt;&gt;""),--(IFERROR(VALUE(LEFT(RIGHT($G$2:$G$99,7),4)),999)=IFERROR(VALUE(LEFT(RIGHT(G32,7),4)),999)),--($B$2:$B$99=B32),--(ROW($B$2:$B$99)&lt;=ROW())),""))</f>
        <v/>
      </c>
    </row>
    <row r="33" ht="15" customHeight="1" s="230">
      <c r="A33" s="138">
        <f>IF(D33="","",ROWS($D$2:D33))</f>
        <v/>
      </c>
      <c r="B33" s="139" t="n">
        <v>45927</v>
      </c>
      <c r="C33" s="140" t="n">
        <v>14</v>
      </c>
      <c r="D33" s="140" t="inlineStr">
        <is>
          <t>14B14</t>
        </is>
      </c>
      <c r="E33" s="140" t="n">
        <v>3501</v>
      </c>
      <c r="F33" s="141" t="n">
        <v>176.111963</v>
      </c>
      <c r="G33" s="140" t="inlineStr">
        <is>
          <t>WHEAT FAQ 2025-26</t>
        </is>
      </c>
      <c r="H33" s="142">
        <f>IF(AND(E33="",F33="",G33=""),"EMPTY","OCCUPIED")</f>
        <v/>
      </c>
      <c r="I33" s="143">
        <f>IF(B33="","",IF(ISNUMBER(B33),MAX(0,TODAY()-B33),""))</f>
        <v/>
      </c>
      <c r="J33" s="139" t="n"/>
      <c r="K33" s="139" t="n"/>
      <c r="L33" s="144" t="n"/>
      <c r="M33" s="135">
        <f>IF(AND(H33="OCCUPIED",ISNUMBER(J33),K33=""),1,0)</f>
        <v/>
      </c>
      <c r="N33" s="136">
        <f>IF(M33=1,COUNTIF($M$2:M33,1),"")</f>
        <v/>
      </c>
      <c r="O33" s="136">
        <f>IF(AND(H33="OCCUPIED",ISNUMBER(J33),K33=""),--(TODAY()-J33&gt;5),0)</f>
        <v/>
      </c>
      <c r="P33" s="136">
        <f>IF(O33=1,COUNTIF($O$2:O33,1),"")</f>
        <v/>
      </c>
      <c r="Q33" s="137">
        <f>IF(OR(B33="",G33="",H33&lt;&gt;"OCCUPIED"),"",IF(ISNUMBER(SEARCH("WHEAT",G33)),SUMPRODUCT(--ISNUMBER(SEARCH("WHEAT",$G$2:$G$99)),--($H$2:$H$99="OCCUPIED"),--($B$2:$B$99&lt;&gt;""),--(IFERROR(VALUE(LEFT(RIGHT($G$2:$G$99,7),4)),999)&lt;IFERROR(VALUE(LEFT(RIGHT(G33,7),4)),999)))+SUMPRODUCT(--ISNUMBER(SEARCH("WHEAT",$G$2:$G$99)),--($H$2:$H$99="OCCUPIED"),--($B$2:$B$99&lt;&gt;""),--(IFERROR(VALUE(LEFT(RIGHT($G$2:$G$99,7),4)),999)=IFERROR(VALUE(LEFT(RIGHT(G33,7),4)),999)),--($B$2:$B$99&lt;B33))+SUMPRODUCT(--ISNUMBER(SEARCH("WHEAT",$G$2:$G$99)),--($H$2:$H$99="OCCUPIED"),--($B$2:$B$99&lt;&gt;""),--(IFERROR(VALUE(LEFT(RIGHT($G$2:$G$99,7),4)),999)=IFERROR(VALUE(LEFT(RIGHT(G33,7),4)),999)),--($B$2:$B$99=B33),--(ROW($B$2:$B$99)&lt;=ROW())),""))</f>
        <v/>
      </c>
      <c r="R33" s="137">
        <f>IF(OR(B33="",G33="",H33&lt;&gt;"OCCUPIED"),"",IF(ISERROR(SEARCH("WHEAT",G33)),SUMPRODUCT(--ISERROR(SEARCH("WHEAT",$G$2:$G$99)),--($H$2:$H$99="OCCUPIED"),--($B$2:$B$99&lt;&gt;""),--(IFERROR(VALUE(LEFT(RIGHT($G$2:$G$99,7),4)),999)&lt;IFERROR(VALUE(LEFT(RIGHT(G33,7),4)),999)))+SUMPRODUCT(--ISERROR(SEARCH("WHEAT",$G$2:$G$99)),--($H$2:$H$99="OCCUPIED"),--($B$2:$B$99&lt;&gt;""),--(IFERROR(VALUE(LEFT(RIGHT($G$2:$G$99,7),4)),999)=IFERROR(VALUE(LEFT(RIGHT(G33,7),4)),999)),--($B$2:$B$99&lt;B33))+SUMPRODUCT(--ISERROR(SEARCH("WHEAT",$G$2:$G$99)),--($H$2:$H$99="OCCUPIED"),--($B$2:$B$99&lt;&gt;""),--(IFERROR(VALUE(LEFT(RIGHT($G$2:$G$99,7),4)),999)=IFERROR(VALUE(LEFT(RIGHT(G33,7),4)),999)),--($B$2:$B$99=B33),--(ROW($B$2:$B$99)&lt;=ROW())),""))</f>
        <v/>
      </c>
    </row>
    <row r="34" ht="15" customHeight="1" s="230">
      <c r="A34" s="138">
        <f>IF(D34="","",ROWS($D$2:D34))</f>
        <v/>
      </c>
      <c r="B34" s="139" t="n">
        <v>45925</v>
      </c>
      <c r="C34" s="140" t="n">
        <v>14</v>
      </c>
      <c r="D34" s="140" t="inlineStr">
        <is>
          <t>14B15</t>
        </is>
      </c>
      <c r="E34" s="140" t="n">
        <v>3501</v>
      </c>
      <c r="F34" s="141" t="n">
        <v>176.077448</v>
      </c>
      <c r="G34" s="140" t="inlineStr">
        <is>
          <t>WHEAT FAQ 2025-26</t>
        </is>
      </c>
      <c r="H34" s="142">
        <f>IF(AND(E34="",F34="",G34=""),"EMPTY","OCCUPIED")</f>
        <v/>
      </c>
      <c r="I34" s="143">
        <f>IF(B34="","",IF(ISNUMBER(B34),MAX(0,TODAY()-B34),""))</f>
        <v/>
      </c>
      <c r="J34" s="139" t="n"/>
      <c r="K34" s="139" t="n"/>
      <c r="L34" s="144" t="n"/>
      <c r="M34" s="135">
        <f>IF(AND(H34="OCCUPIED",ISNUMBER(J34),K34=""),1,0)</f>
        <v/>
      </c>
      <c r="N34" s="136">
        <f>IF(M34=1,COUNTIF($M$2:M34,1),"")</f>
        <v/>
      </c>
      <c r="O34" s="136">
        <f>IF(AND(H34="OCCUPIED",ISNUMBER(J34),K34=""),--(TODAY()-J34&gt;5),0)</f>
        <v/>
      </c>
      <c r="P34" s="136">
        <f>IF(O34=1,COUNTIF($O$2:O34,1),"")</f>
        <v/>
      </c>
      <c r="Q34" s="137">
        <f>IF(OR(B34="",G34="",H34&lt;&gt;"OCCUPIED"),"",IF(ISNUMBER(SEARCH("WHEAT",G34)),SUMPRODUCT(--ISNUMBER(SEARCH("WHEAT",$G$2:$G$99)),--($H$2:$H$99="OCCUPIED"),--($B$2:$B$99&lt;&gt;""),--(IFERROR(VALUE(LEFT(RIGHT($G$2:$G$99,7),4)),999)&lt;IFERROR(VALUE(LEFT(RIGHT(G34,7),4)),999)))+SUMPRODUCT(--ISNUMBER(SEARCH("WHEAT",$G$2:$G$99)),--($H$2:$H$99="OCCUPIED"),--($B$2:$B$99&lt;&gt;""),--(IFERROR(VALUE(LEFT(RIGHT($G$2:$G$99,7),4)),999)=IFERROR(VALUE(LEFT(RIGHT(G34,7),4)),999)),--($B$2:$B$99&lt;B34))+SUMPRODUCT(--ISNUMBER(SEARCH("WHEAT",$G$2:$G$99)),--($H$2:$H$99="OCCUPIED"),--($B$2:$B$99&lt;&gt;""),--(IFERROR(VALUE(LEFT(RIGHT($G$2:$G$99,7),4)),999)=IFERROR(VALUE(LEFT(RIGHT(G34,7),4)),999)),--($B$2:$B$99=B34),--(ROW($B$2:$B$99)&lt;=ROW())),""))</f>
        <v/>
      </c>
      <c r="R34" s="137">
        <f>IF(OR(B34="",G34="",H34&lt;&gt;"OCCUPIED"),"",IF(ISERROR(SEARCH("WHEAT",G34)),SUMPRODUCT(--ISERROR(SEARCH("WHEAT",$G$2:$G$99)),--($H$2:$H$99="OCCUPIED"),--($B$2:$B$99&lt;&gt;""),--(IFERROR(VALUE(LEFT(RIGHT($G$2:$G$99,7),4)),999)&lt;IFERROR(VALUE(LEFT(RIGHT(G34,7),4)),999)))+SUMPRODUCT(--ISERROR(SEARCH("WHEAT",$G$2:$G$99)),--($H$2:$H$99="OCCUPIED"),--($B$2:$B$99&lt;&gt;""),--(IFERROR(VALUE(LEFT(RIGHT($G$2:$G$99,7),4)),999)=IFERROR(VALUE(LEFT(RIGHT(G34,7),4)),999)),--($B$2:$B$99&lt;B34))+SUMPRODUCT(--ISERROR(SEARCH("WHEAT",$G$2:$G$99)),--($H$2:$H$99="OCCUPIED"),--($B$2:$B$99&lt;&gt;""),--(IFERROR(VALUE(LEFT(RIGHT($G$2:$G$99,7),4)),999)=IFERROR(VALUE(LEFT(RIGHT(G34,7),4)),999)),--($B$2:$B$99=B34),--(ROW($B$2:$B$99)&lt;=ROW())),""))</f>
        <v/>
      </c>
    </row>
    <row r="35" ht="15" customHeight="1" s="230">
      <c r="A35" s="138">
        <f>IF(D35="","",ROWS($D$2:D35))</f>
        <v/>
      </c>
      <c r="B35" s="139" t="n">
        <v>46043</v>
      </c>
      <c r="C35" s="140" t="n">
        <v>18</v>
      </c>
      <c r="D35" s="140" t="inlineStr">
        <is>
          <t>18A01</t>
        </is>
      </c>
      <c r="E35" s="140" t="n">
        <v>3501</v>
      </c>
      <c r="F35" s="141" t="n">
        <v>172.480731</v>
      </c>
      <c r="G35" s="140" t="inlineStr">
        <is>
          <t>FRK  RRA 2024-25</t>
        </is>
      </c>
      <c r="H35" s="142">
        <f>IF(AND(E35="",F35="",G35=""),"EMPTY","OCCUPIED")</f>
        <v/>
      </c>
      <c r="I35" s="143">
        <f>IF(B35="","",IF(ISNUMBER(B35),MAX(0,TODAY()-B35),""))</f>
        <v/>
      </c>
      <c r="J35" s="139" t="n"/>
      <c r="K35" s="139" t="n"/>
      <c r="L35" s="144" t="n"/>
      <c r="M35" s="135">
        <f>IF(AND(H35="OCCUPIED",ISNUMBER(J35),K35=""),1,0)</f>
        <v/>
      </c>
      <c r="N35" s="136">
        <f>IF(M35=1,COUNTIF($M$2:M35,1),"")</f>
        <v/>
      </c>
      <c r="O35" s="136">
        <f>IF(AND(H35="OCCUPIED",ISNUMBER(J35),K35=""),--(TODAY()-J35&gt;5),0)</f>
        <v/>
      </c>
      <c r="P35" s="136">
        <f>IF(O35=1,COUNTIF($O$2:O35,1),"")</f>
        <v/>
      </c>
      <c r="Q35" s="137">
        <f>IF(OR(B35="",G35="",H35&lt;&gt;"OCCUPIED"),"",IF(ISNUMBER(SEARCH("WHEAT",G35)),SUMPRODUCT(--ISNUMBER(SEARCH("WHEAT",$G$2:$G$99)),--($H$2:$H$99="OCCUPIED"),--($B$2:$B$99&lt;&gt;""),--(IFERROR(VALUE(LEFT(RIGHT($G$2:$G$99,7),4)),999)&lt;IFERROR(VALUE(LEFT(RIGHT(G35,7),4)),999)))+SUMPRODUCT(--ISNUMBER(SEARCH("WHEAT",$G$2:$G$99)),--($H$2:$H$99="OCCUPIED"),--($B$2:$B$99&lt;&gt;""),--(IFERROR(VALUE(LEFT(RIGHT($G$2:$G$99,7),4)),999)=IFERROR(VALUE(LEFT(RIGHT(G35,7),4)),999)),--($B$2:$B$99&lt;B35))+SUMPRODUCT(--ISNUMBER(SEARCH("WHEAT",$G$2:$G$99)),--($H$2:$H$99="OCCUPIED"),--($B$2:$B$99&lt;&gt;""),--(IFERROR(VALUE(LEFT(RIGHT($G$2:$G$99,7),4)),999)=IFERROR(VALUE(LEFT(RIGHT(G35,7),4)),999)),--($B$2:$B$99=B35),--(ROW($B$2:$B$99)&lt;=ROW())),""))</f>
        <v/>
      </c>
      <c r="R35" s="137">
        <f>IF(OR(B35="",G35="",H35&lt;&gt;"OCCUPIED"),"",IF(ISERROR(SEARCH("WHEAT",G35)),SUMPRODUCT(--ISERROR(SEARCH("WHEAT",$G$2:$G$99)),--($H$2:$H$99="OCCUPIED"),--($B$2:$B$99&lt;&gt;""),--(IFERROR(VALUE(LEFT(RIGHT($G$2:$G$99,7),4)),999)&lt;IFERROR(VALUE(LEFT(RIGHT(G35,7),4)),999)))+SUMPRODUCT(--ISERROR(SEARCH("WHEAT",$G$2:$G$99)),--($H$2:$H$99="OCCUPIED"),--($B$2:$B$99&lt;&gt;""),--(IFERROR(VALUE(LEFT(RIGHT($G$2:$G$99,7),4)),999)=IFERROR(VALUE(LEFT(RIGHT(G35,7),4)),999)),--($B$2:$B$99&lt;B35))+SUMPRODUCT(--ISERROR(SEARCH("WHEAT",$G$2:$G$99)),--($H$2:$H$99="OCCUPIED"),--($B$2:$B$99&lt;&gt;""),--(IFERROR(VALUE(LEFT(RIGHT($G$2:$G$99,7),4)),999)=IFERROR(VALUE(LEFT(RIGHT(G35,7),4)),999)),--($B$2:$B$99=B35),--(ROW($B$2:$B$99)&lt;=ROW())),""))</f>
        <v/>
      </c>
    </row>
    <row r="36" ht="15" customHeight="1" s="230">
      <c r="A36" s="138">
        <f>IF(D36="","",ROWS($D$2:D36))</f>
        <v/>
      </c>
      <c r="B36" s="139" t="n">
        <v>46118</v>
      </c>
      <c r="C36" s="140" t="n">
        <v>18</v>
      </c>
      <c r="D36" s="140" t="inlineStr">
        <is>
          <t>18A02</t>
        </is>
      </c>
      <c r="E36" s="140" t="n">
        <v>3501</v>
      </c>
      <c r="F36" s="141" t="n">
        <v>173.348281</v>
      </c>
      <c r="G36" s="140" t="inlineStr">
        <is>
          <t>FRK  RRA 2024-25</t>
        </is>
      </c>
      <c r="H36" s="142">
        <f>IF(AND(E36="",F36="",G36=""),"EMPTY","OCCUPIED")</f>
        <v/>
      </c>
      <c r="I36" s="143">
        <f>IF(B36="","",IF(ISNUMBER(B36),MAX(0,TODAY()-B36),""))</f>
        <v/>
      </c>
      <c r="J36" s="139" t="n"/>
      <c r="K36" s="139" t="n"/>
      <c r="L36" s="144" t="n"/>
      <c r="M36" s="135">
        <f>IF(AND(H36="OCCUPIED",ISNUMBER(J36),K36=""),1,0)</f>
        <v/>
      </c>
      <c r="N36" s="136">
        <f>IF(M36=1,COUNTIF($M$2:M36,1),"")</f>
        <v/>
      </c>
      <c r="O36" s="136">
        <f>IF(AND(H36="OCCUPIED",ISNUMBER(J36),K36=""),--(TODAY()-J36&gt;5),0)</f>
        <v/>
      </c>
      <c r="P36" s="136">
        <f>IF(O36=1,COUNTIF($O$2:O36,1),"")</f>
        <v/>
      </c>
      <c r="Q36" s="137">
        <f>IF(OR(B36="",G36="",H36&lt;&gt;"OCCUPIED"),"",IF(ISNUMBER(SEARCH("WHEAT",G36)),SUMPRODUCT(--ISNUMBER(SEARCH("WHEAT",$G$2:$G$99)),--($H$2:$H$99="OCCUPIED"),--($B$2:$B$99&lt;&gt;""),--(IFERROR(VALUE(LEFT(RIGHT($G$2:$G$99,7),4)),999)&lt;IFERROR(VALUE(LEFT(RIGHT(G36,7),4)),999)))+SUMPRODUCT(--ISNUMBER(SEARCH("WHEAT",$G$2:$G$99)),--($H$2:$H$99="OCCUPIED"),--($B$2:$B$99&lt;&gt;""),--(IFERROR(VALUE(LEFT(RIGHT($G$2:$G$99,7),4)),999)=IFERROR(VALUE(LEFT(RIGHT(G36,7),4)),999)),--($B$2:$B$99&lt;B36))+SUMPRODUCT(--ISNUMBER(SEARCH("WHEAT",$G$2:$G$99)),--($H$2:$H$99="OCCUPIED"),--($B$2:$B$99&lt;&gt;""),--(IFERROR(VALUE(LEFT(RIGHT($G$2:$G$99,7),4)),999)=IFERROR(VALUE(LEFT(RIGHT(G36,7),4)),999)),--($B$2:$B$99=B36),--(ROW($B$2:$B$99)&lt;=ROW())),""))</f>
        <v/>
      </c>
      <c r="R36" s="137">
        <f>IF(OR(B36="",G36="",H36&lt;&gt;"OCCUPIED"),"",IF(ISERROR(SEARCH("WHEAT",G36)),SUMPRODUCT(--ISERROR(SEARCH("WHEAT",$G$2:$G$99)),--($H$2:$H$99="OCCUPIED"),--($B$2:$B$99&lt;&gt;""),--(IFERROR(VALUE(LEFT(RIGHT($G$2:$G$99,7),4)),999)&lt;IFERROR(VALUE(LEFT(RIGHT(G36,7),4)),999)))+SUMPRODUCT(--ISERROR(SEARCH("WHEAT",$G$2:$G$99)),--($H$2:$H$99="OCCUPIED"),--($B$2:$B$99&lt;&gt;""),--(IFERROR(VALUE(LEFT(RIGHT($G$2:$G$99,7),4)),999)=IFERROR(VALUE(LEFT(RIGHT(G36,7),4)),999)),--($B$2:$B$99&lt;B36))+SUMPRODUCT(--ISERROR(SEARCH("WHEAT",$G$2:$G$99)),--($H$2:$H$99="OCCUPIED"),--($B$2:$B$99&lt;&gt;""),--(IFERROR(VALUE(LEFT(RIGHT($G$2:$G$99,7),4)),999)=IFERROR(VALUE(LEFT(RIGHT(G36,7),4)),999)),--($B$2:$B$99=B36),--(ROW($B$2:$B$99)&lt;=ROW())),""))</f>
        <v/>
      </c>
    </row>
    <row r="37" ht="15" customHeight="1" s="230">
      <c r="A37" s="138">
        <f>IF(D37="","",ROWS($D$2:D37))</f>
        <v/>
      </c>
      <c r="B37" s="139" t="n">
        <v>46108</v>
      </c>
      <c r="C37" s="140" t="n">
        <v>18</v>
      </c>
      <c r="D37" s="140" t="inlineStr">
        <is>
          <t>18A03</t>
        </is>
      </c>
      <c r="E37" s="140" t="n">
        <v>3501</v>
      </c>
      <c r="F37" s="141" t="n">
        <v>172.986342</v>
      </c>
      <c r="G37" s="140" t="inlineStr">
        <is>
          <t>FRK  RRA 2024-25</t>
        </is>
      </c>
      <c r="H37" s="142">
        <f>IF(AND(E37="",F37="",G37=""),"EMPTY","OCCUPIED")</f>
        <v/>
      </c>
      <c r="I37" s="143">
        <f>IF(B37="","",IF(ISNUMBER(B37),MAX(0,TODAY()-B37),""))</f>
        <v/>
      </c>
      <c r="J37" s="139" t="n"/>
      <c r="K37" s="139" t="n"/>
      <c r="L37" s="144" t="n"/>
      <c r="M37" s="135">
        <f>IF(AND(H37="OCCUPIED",ISNUMBER(J37),K37=""),1,0)</f>
        <v/>
      </c>
      <c r="N37" s="136">
        <f>IF(M37=1,COUNTIF($M$2:M37,1),"")</f>
        <v/>
      </c>
      <c r="O37" s="136">
        <f>IF(AND(H37="OCCUPIED",ISNUMBER(J37),K37=""),--(TODAY()-J37&gt;5),0)</f>
        <v/>
      </c>
      <c r="P37" s="136">
        <f>IF(O37=1,COUNTIF($O$2:O37,1),"")</f>
        <v/>
      </c>
      <c r="Q37" s="137">
        <f>IF(OR(B37="",G37="",H37&lt;&gt;"OCCUPIED"),"",IF(ISNUMBER(SEARCH("WHEAT",G37)),SUMPRODUCT(--ISNUMBER(SEARCH("WHEAT",$G$2:$G$99)),--($H$2:$H$99="OCCUPIED"),--($B$2:$B$99&lt;&gt;""),--(IFERROR(VALUE(LEFT(RIGHT($G$2:$G$99,7),4)),999)&lt;IFERROR(VALUE(LEFT(RIGHT(G37,7),4)),999)))+SUMPRODUCT(--ISNUMBER(SEARCH("WHEAT",$G$2:$G$99)),--($H$2:$H$99="OCCUPIED"),--($B$2:$B$99&lt;&gt;""),--(IFERROR(VALUE(LEFT(RIGHT($G$2:$G$99,7),4)),999)=IFERROR(VALUE(LEFT(RIGHT(G37,7),4)),999)),--($B$2:$B$99&lt;B37))+SUMPRODUCT(--ISNUMBER(SEARCH("WHEAT",$G$2:$G$99)),--($H$2:$H$99="OCCUPIED"),--($B$2:$B$99&lt;&gt;""),--(IFERROR(VALUE(LEFT(RIGHT($G$2:$G$99,7),4)),999)=IFERROR(VALUE(LEFT(RIGHT(G37,7),4)),999)),--($B$2:$B$99=B37),--(ROW($B$2:$B$99)&lt;=ROW())),""))</f>
        <v/>
      </c>
      <c r="R37" s="137">
        <f>IF(OR(B37="",G37="",H37&lt;&gt;"OCCUPIED"),"",IF(ISERROR(SEARCH("WHEAT",G37)),SUMPRODUCT(--ISERROR(SEARCH("WHEAT",$G$2:$G$99)),--($H$2:$H$99="OCCUPIED"),--($B$2:$B$99&lt;&gt;""),--(IFERROR(VALUE(LEFT(RIGHT($G$2:$G$99,7),4)),999)&lt;IFERROR(VALUE(LEFT(RIGHT(G37,7),4)),999)))+SUMPRODUCT(--ISERROR(SEARCH("WHEAT",$G$2:$G$99)),--($H$2:$H$99="OCCUPIED"),--($B$2:$B$99&lt;&gt;""),--(IFERROR(VALUE(LEFT(RIGHT($G$2:$G$99,7),4)),999)=IFERROR(VALUE(LEFT(RIGHT(G37,7),4)),999)),--($B$2:$B$99&lt;B37))+SUMPRODUCT(--ISERROR(SEARCH("WHEAT",$G$2:$G$99)),--($H$2:$H$99="OCCUPIED"),--($B$2:$B$99&lt;&gt;""),--(IFERROR(VALUE(LEFT(RIGHT($G$2:$G$99,7),4)),999)=IFERROR(VALUE(LEFT(RIGHT(G37,7),4)),999)),--($B$2:$B$99=B37),--(ROW($B$2:$B$99)&lt;=ROW())),""))</f>
        <v/>
      </c>
    </row>
    <row r="38" ht="15" customHeight="1" s="230">
      <c r="A38" s="138">
        <f>IF(D38="","",ROWS($D$2:D38))</f>
        <v/>
      </c>
      <c r="B38" s="139" t="n">
        <v>46112</v>
      </c>
      <c r="C38" s="140" t="n">
        <v>18</v>
      </c>
      <c r="D38" s="140" t="inlineStr">
        <is>
          <t>18A04</t>
        </is>
      </c>
      <c r="E38" s="140" t="n">
        <v>3501</v>
      </c>
      <c r="F38" s="141" t="n">
        <v>170.648875</v>
      </c>
      <c r="G38" s="140" t="inlineStr">
        <is>
          <t>FRK  RRA 2024-25</t>
        </is>
      </c>
      <c r="H38" s="142">
        <f>IF(AND(E38="",F38="",G38=""),"EMPTY","OCCUPIED")</f>
        <v/>
      </c>
      <c r="I38" s="143">
        <f>IF(B38="","",IF(ISNUMBER(B38),MAX(0,TODAY()-B38),""))</f>
        <v/>
      </c>
      <c r="J38" s="139" t="n"/>
      <c r="K38" s="139" t="n"/>
      <c r="L38" s="144" t="n"/>
      <c r="M38" s="135">
        <f>IF(AND(H38="OCCUPIED",ISNUMBER(J38),K38=""),1,0)</f>
        <v/>
      </c>
      <c r="N38" s="136">
        <f>IF(M38=1,COUNTIF($M$2:M38,1),"")</f>
        <v/>
      </c>
      <c r="O38" s="136">
        <f>IF(AND(H38="OCCUPIED",ISNUMBER(J38),K38=""),--(TODAY()-J38&gt;5),0)</f>
        <v/>
      </c>
      <c r="P38" s="136">
        <f>IF(O38=1,COUNTIF($O$2:O38,1),"")</f>
        <v/>
      </c>
      <c r="Q38" s="137">
        <f>IF(OR(B38="",G38="",H38&lt;&gt;"OCCUPIED"),"",IF(ISNUMBER(SEARCH("WHEAT",G38)),SUMPRODUCT(--ISNUMBER(SEARCH("WHEAT",$G$2:$G$99)),--($H$2:$H$99="OCCUPIED"),--($B$2:$B$99&lt;&gt;""),--(IFERROR(VALUE(LEFT(RIGHT($G$2:$G$99,7),4)),999)&lt;IFERROR(VALUE(LEFT(RIGHT(G38,7),4)),999)))+SUMPRODUCT(--ISNUMBER(SEARCH("WHEAT",$G$2:$G$99)),--($H$2:$H$99="OCCUPIED"),--($B$2:$B$99&lt;&gt;""),--(IFERROR(VALUE(LEFT(RIGHT($G$2:$G$99,7),4)),999)=IFERROR(VALUE(LEFT(RIGHT(G38,7),4)),999)),--($B$2:$B$99&lt;B38))+SUMPRODUCT(--ISNUMBER(SEARCH("WHEAT",$G$2:$G$99)),--($H$2:$H$99="OCCUPIED"),--($B$2:$B$99&lt;&gt;""),--(IFERROR(VALUE(LEFT(RIGHT($G$2:$G$99,7),4)),999)=IFERROR(VALUE(LEFT(RIGHT(G38,7),4)),999)),--($B$2:$B$99=B38),--(ROW($B$2:$B$99)&lt;=ROW())),""))</f>
        <v/>
      </c>
      <c r="R38" s="137">
        <f>IF(OR(B38="",G38="",H38&lt;&gt;"OCCUPIED"),"",IF(ISERROR(SEARCH("WHEAT",G38)),SUMPRODUCT(--ISERROR(SEARCH("WHEAT",$G$2:$G$99)),--($H$2:$H$99="OCCUPIED"),--($B$2:$B$99&lt;&gt;""),--(IFERROR(VALUE(LEFT(RIGHT($G$2:$G$99,7),4)),999)&lt;IFERROR(VALUE(LEFT(RIGHT(G38,7),4)),999)))+SUMPRODUCT(--ISERROR(SEARCH("WHEAT",$G$2:$G$99)),--($H$2:$H$99="OCCUPIED"),--($B$2:$B$99&lt;&gt;""),--(IFERROR(VALUE(LEFT(RIGHT($G$2:$G$99,7),4)),999)=IFERROR(VALUE(LEFT(RIGHT(G38,7),4)),999)),--($B$2:$B$99&lt;B38))+SUMPRODUCT(--ISERROR(SEARCH("WHEAT",$G$2:$G$99)),--($H$2:$H$99="OCCUPIED"),--($B$2:$B$99&lt;&gt;""),--(IFERROR(VALUE(LEFT(RIGHT($G$2:$G$99,7),4)),999)=IFERROR(VALUE(LEFT(RIGHT(G38,7),4)),999)),--($B$2:$B$99=B38),--(ROW($B$2:$B$99)&lt;=ROW())),""))</f>
        <v/>
      </c>
    </row>
    <row r="39" ht="15" customHeight="1" s="230">
      <c r="A39" s="138">
        <f>IF(D39="","",ROWS($D$2:D39))</f>
        <v/>
      </c>
      <c r="B39" s="139" t="n"/>
      <c r="C39" s="140" t="n">
        <v>18</v>
      </c>
      <c r="D39" s="140" t="inlineStr">
        <is>
          <t>18A05</t>
        </is>
      </c>
      <c r="E39" s="140" t="n"/>
      <c r="F39" s="141" t="n"/>
      <c r="G39" s="140" t="n"/>
      <c r="H39" s="142">
        <f>IF(AND(E39="",F39="",G39=""),"EMPTY","OCCUPIED")</f>
        <v/>
      </c>
      <c r="I39" s="143">
        <f>IF(B39="","",IF(ISNUMBER(B39),MAX(0,TODAY()-B39),""))</f>
        <v/>
      </c>
      <c r="J39" s="139" t="n"/>
      <c r="K39" s="139" t="n"/>
      <c r="L39" s="144" t="n"/>
      <c r="M39" s="135">
        <f>IF(AND(H39="OCCUPIED",ISNUMBER(J39),K39=""),1,0)</f>
        <v/>
      </c>
      <c r="N39" s="136">
        <f>IF(M39=1,COUNTIF($M$2:M39,1),"")</f>
        <v/>
      </c>
      <c r="O39" s="136">
        <f>IF(AND(H39="OCCUPIED",ISNUMBER(J39),K39=""),--(TODAY()-J39&gt;5),0)</f>
        <v/>
      </c>
      <c r="P39" s="136">
        <f>IF(O39=1,COUNTIF($O$2:O39,1),"")</f>
        <v/>
      </c>
      <c r="Q39" s="137">
        <f>IF(OR(B39="",G39="",H39&lt;&gt;"OCCUPIED"),"",IF(ISNUMBER(SEARCH("WHEAT",G39)),SUMPRODUCT(--ISNUMBER(SEARCH("WHEAT",$G$2:$G$99)),--($H$2:$H$99="OCCUPIED"),--($B$2:$B$99&lt;&gt;""),--(IFERROR(VALUE(LEFT(RIGHT($G$2:$G$99,7),4)),999)&lt;IFERROR(VALUE(LEFT(RIGHT(G39,7),4)),999)))+SUMPRODUCT(--ISNUMBER(SEARCH("WHEAT",$G$2:$G$99)),--($H$2:$H$99="OCCUPIED"),--($B$2:$B$99&lt;&gt;""),--(IFERROR(VALUE(LEFT(RIGHT($G$2:$G$99,7),4)),999)=IFERROR(VALUE(LEFT(RIGHT(G39,7),4)),999)),--($B$2:$B$99&lt;B39))+SUMPRODUCT(--ISNUMBER(SEARCH("WHEAT",$G$2:$G$99)),--($H$2:$H$99="OCCUPIED"),--($B$2:$B$99&lt;&gt;""),--(IFERROR(VALUE(LEFT(RIGHT($G$2:$G$99,7),4)),999)=IFERROR(VALUE(LEFT(RIGHT(G39,7),4)),999)),--($B$2:$B$99=B39),--(ROW($B$2:$B$99)&lt;=ROW())),""))</f>
        <v/>
      </c>
      <c r="R39" s="137">
        <f>IF(OR(B39="",G39="",H39&lt;&gt;"OCCUPIED"),"",IF(ISERROR(SEARCH("WHEAT",G39)),SUMPRODUCT(--ISERROR(SEARCH("WHEAT",$G$2:$G$99)),--($H$2:$H$99="OCCUPIED"),--($B$2:$B$99&lt;&gt;""),--(IFERROR(VALUE(LEFT(RIGHT($G$2:$G$99,7),4)),999)&lt;IFERROR(VALUE(LEFT(RIGHT(G39,7),4)),999)))+SUMPRODUCT(--ISERROR(SEARCH("WHEAT",$G$2:$G$99)),--($H$2:$H$99="OCCUPIED"),--($B$2:$B$99&lt;&gt;""),--(IFERROR(VALUE(LEFT(RIGHT($G$2:$G$99,7),4)),999)=IFERROR(VALUE(LEFT(RIGHT(G39,7),4)),999)),--($B$2:$B$99&lt;B39))+SUMPRODUCT(--ISERROR(SEARCH("WHEAT",$G$2:$G$99)),--($H$2:$H$99="OCCUPIED"),--($B$2:$B$99&lt;&gt;""),--(IFERROR(VALUE(LEFT(RIGHT($G$2:$G$99,7),4)),999)=IFERROR(VALUE(LEFT(RIGHT(G39,7),4)),999)),--($B$2:$B$99=B39),--(ROW($B$2:$B$99)&lt;=ROW())),""))</f>
        <v/>
      </c>
    </row>
    <row r="40" ht="15" customHeight="1" s="230">
      <c r="A40" s="138">
        <f>IF(D40="","",ROWS($D$2:D40))</f>
        <v/>
      </c>
      <c r="B40" s="139" t="n"/>
      <c r="C40" s="140" t="n">
        <v>18</v>
      </c>
      <c r="D40" s="140" t="inlineStr">
        <is>
          <t>18A06</t>
        </is>
      </c>
      <c r="E40" s="140" t="n"/>
      <c r="F40" s="141" t="n"/>
      <c r="G40" s="140" t="n"/>
      <c r="H40" s="142">
        <f>IF(AND(E40="",F40="",G40=""),"EMPTY","OCCUPIED")</f>
        <v/>
      </c>
      <c r="I40" s="143">
        <f>IF(B40="","",IF(ISNUMBER(B40),MAX(0,TODAY()-B40),""))</f>
        <v/>
      </c>
      <c r="J40" s="139" t="n"/>
      <c r="K40" s="139" t="n"/>
      <c r="L40" s="144" t="n"/>
      <c r="M40" s="135">
        <f>IF(AND(H40="OCCUPIED",ISNUMBER(J40),K40=""),1,0)</f>
        <v/>
      </c>
      <c r="N40" s="136">
        <f>IF(M40=1,COUNTIF($M$2:M40,1),"")</f>
        <v/>
      </c>
      <c r="O40" s="136">
        <f>IF(AND(H40="OCCUPIED",ISNUMBER(J40),K40=""),--(TODAY()-J40&gt;5),0)</f>
        <v/>
      </c>
      <c r="P40" s="136">
        <f>IF(O40=1,COUNTIF($O$2:O40,1),"")</f>
        <v/>
      </c>
      <c r="Q40" s="137">
        <f>IF(OR(B40="",G40="",H40&lt;&gt;"OCCUPIED"),"",IF(ISNUMBER(SEARCH("WHEAT",G40)),SUMPRODUCT(--ISNUMBER(SEARCH("WHEAT",$G$2:$G$99)),--($H$2:$H$99="OCCUPIED"),--($B$2:$B$99&lt;&gt;""),--(IFERROR(VALUE(LEFT(RIGHT($G$2:$G$99,7),4)),999)&lt;IFERROR(VALUE(LEFT(RIGHT(G40,7),4)),999)))+SUMPRODUCT(--ISNUMBER(SEARCH("WHEAT",$G$2:$G$99)),--($H$2:$H$99="OCCUPIED"),--($B$2:$B$99&lt;&gt;""),--(IFERROR(VALUE(LEFT(RIGHT($G$2:$G$99,7),4)),999)=IFERROR(VALUE(LEFT(RIGHT(G40,7),4)),999)),--($B$2:$B$99&lt;B40))+SUMPRODUCT(--ISNUMBER(SEARCH("WHEAT",$G$2:$G$99)),--($H$2:$H$99="OCCUPIED"),--($B$2:$B$99&lt;&gt;""),--(IFERROR(VALUE(LEFT(RIGHT($G$2:$G$99,7),4)),999)=IFERROR(VALUE(LEFT(RIGHT(G40,7),4)),999)),--($B$2:$B$99=B40),--(ROW($B$2:$B$99)&lt;=ROW())),""))</f>
        <v/>
      </c>
      <c r="R40" s="137">
        <f>IF(OR(B40="",G40="",H40&lt;&gt;"OCCUPIED"),"",IF(ISERROR(SEARCH("WHEAT",G40)),SUMPRODUCT(--ISERROR(SEARCH("WHEAT",$G$2:$G$99)),--($H$2:$H$99="OCCUPIED"),--($B$2:$B$99&lt;&gt;""),--(IFERROR(VALUE(LEFT(RIGHT($G$2:$G$99,7),4)),999)&lt;IFERROR(VALUE(LEFT(RIGHT(G40,7),4)),999)))+SUMPRODUCT(--ISERROR(SEARCH("WHEAT",$G$2:$G$99)),--($H$2:$H$99="OCCUPIED"),--($B$2:$B$99&lt;&gt;""),--(IFERROR(VALUE(LEFT(RIGHT($G$2:$G$99,7),4)),999)=IFERROR(VALUE(LEFT(RIGHT(G40,7),4)),999)),--($B$2:$B$99&lt;B40))+SUMPRODUCT(--ISERROR(SEARCH("WHEAT",$G$2:$G$99)),--($H$2:$H$99="OCCUPIED"),--($B$2:$B$99&lt;&gt;""),--(IFERROR(VALUE(LEFT(RIGHT($G$2:$G$99,7),4)),999)=IFERROR(VALUE(LEFT(RIGHT(G40,7),4)),999)),--($B$2:$B$99=B40),--(ROW($B$2:$B$99)&lt;=ROW())),""))</f>
        <v/>
      </c>
    </row>
    <row r="41" ht="15" customHeight="1" s="230">
      <c r="A41" s="138">
        <f>IF(D41="","",ROWS($D$2:D41))</f>
        <v/>
      </c>
      <c r="B41" s="139" t="n">
        <v>46209</v>
      </c>
      <c r="C41" s="140" t="n">
        <v>18</v>
      </c>
      <c r="D41" s="140" t="inlineStr">
        <is>
          <t>18A07</t>
        </is>
      </c>
      <c r="E41" s="140" t="n">
        <v>1897</v>
      </c>
      <c r="F41" s="141" t="n">
        <v>92.47653800000001</v>
      </c>
      <c r="G41" s="140" t="inlineStr">
        <is>
          <t>FRK  RRA 2024-25</t>
        </is>
      </c>
      <c r="H41" s="142">
        <f>IF(AND(E41="",F41="",G41=""),"EMPTY","OCCUPIED")</f>
        <v/>
      </c>
      <c r="I41" s="143">
        <f>IF(B41="","",IF(ISNUMBER(B41),MAX(0,TODAY()-B41),""))</f>
        <v/>
      </c>
      <c r="J41" s="139" t="n"/>
      <c r="K41" s="139" t="n"/>
      <c r="L41" s="144" t="n"/>
      <c r="M41" s="135">
        <f>IF(AND(H41="OCCUPIED",ISNUMBER(J41),K41=""),1,0)</f>
        <v/>
      </c>
      <c r="N41" s="136">
        <f>IF(M41=1,COUNTIF($M$2:M41,1),"")</f>
        <v/>
      </c>
      <c r="O41" s="136">
        <f>IF(AND(H41="OCCUPIED",ISNUMBER(J41),K41=""),--(TODAY()-J41&gt;5),0)</f>
        <v/>
      </c>
      <c r="P41" s="136">
        <f>IF(O41=1,COUNTIF($O$2:O41,1),"")</f>
        <v/>
      </c>
      <c r="Q41" s="137">
        <f>IF(OR(B41="",G41="",H41&lt;&gt;"OCCUPIED"),"",IF(ISNUMBER(SEARCH("WHEAT",G41)),SUMPRODUCT(--ISNUMBER(SEARCH("WHEAT",$G$2:$G$99)),--($H$2:$H$99="OCCUPIED"),--($B$2:$B$99&lt;&gt;""),--(IFERROR(VALUE(LEFT(RIGHT($G$2:$G$99,7),4)),999)&lt;IFERROR(VALUE(LEFT(RIGHT(G41,7),4)),999)))+SUMPRODUCT(--ISNUMBER(SEARCH("WHEAT",$G$2:$G$99)),--($H$2:$H$99="OCCUPIED"),--($B$2:$B$99&lt;&gt;""),--(IFERROR(VALUE(LEFT(RIGHT($G$2:$G$99,7),4)),999)=IFERROR(VALUE(LEFT(RIGHT(G41,7),4)),999)),--($B$2:$B$99&lt;B41))+SUMPRODUCT(--ISNUMBER(SEARCH("WHEAT",$G$2:$G$99)),--($H$2:$H$99="OCCUPIED"),--($B$2:$B$99&lt;&gt;""),--(IFERROR(VALUE(LEFT(RIGHT($G$2:$G$99,7),4)),999)=IFERROR(VALUE(LEFT(RIGHT(G41,7),4)),999)),--($B$2:$B$99=B41),--(ROW($B$2:$B$99)&lt;=ROW())),""))</f>
        <v/>
      </c>
      <c r="R41" s="137">
        <f>IF(OR(B41="",G41="",H41&lt;&gt;"OCCUPIED"),"",IF(ISERROR(SEARCH("WHEAT",G41)),SUMPRODUCT(--ISERROR(SEARCH("WHEAT",$G$2:$G$99)),--($H$2:$H$99="OCCUPIED"),--($B$2:$B$99&lt;&gt;""),--(IFERROR(VALUE(LEFT(RIGHT($G$2:$G$99,7),4)),999)&lt;IFERROR(VALUE(LEFT(RIGHT(G41,7),4)),999)))+SUMPRODUCT(--ISERROR(SEARCH("WHEAT",$G$2:$G$99)),--($H$2:$H$99="OCCUPIED"),--($B$2:$B$99&lt;&gt;""),--(IFERROR(VALUE(LEFT(RIGHT($G$2:$G$99,7),4)),999)=IFERROR(VALUE(LEFT(RIGHT(G41,7),4)),999)),--($B$2:$B$99&lt;B41))+SUMPRODUCT(--ISERROR(SEARCH("WHEAT",$G$2:$G$99)),--($H$2:$H$99="OCCUPIED"),--($B$2:$B$99&lt;&gt;""),--(IFERROR(VALUE(LEFT(RIGHT($G$2:$G$99,7),4)),999)=IFERROR(VALUE(LEFT(RIGHT(G41,7),4)),999)),--($B$2:$B$99=B41),--(ROW($B$2:$B$99)&lt;=ROW())),""))</f>
        <v/>
      </c>
    </row>
    <row r="42" ht="15" customHeight="1" s="230">
      <c r="A42" s="138">
        <f>IF(D42="","",ROWS($D$2:D42))</f>
        <v/>
      </c>
      <c r="B42" s="139" t="n">
        <v>45833</v>
      </c>
      <c r="C42" s="140" t="n">
        <v>18</v>
      </c>
      <c r="D42" s="140" t="inlineStr">
        <is>
          <t>18A08</t>
        </is>
      </c>
      <c r="E42" s="140" t="n">
        <v>3501</v>
      </c>
      <c r="F42" s="141" t="n">
        <v>174.481049</v>
      </c>
      <c r="G42" s="140" t="inlineStr">
        <is>
          <t>WHEAT FAQ 2025-26</t>
        </is>
      </c>
      <c r="H42" s="142">
        <f>IF(AND(E42="",F42="",G42=""),"EMPTY","OCCUPIED")</f>
        <v/>
      </c>
      <c r="I42" s="143">
        <f>IF(B42="","",IF(ISNUMBER(B42),MAX(0,TODAY()-B42),""))</f>
        <v/>
      </c>
      <c r="J42" s="139" t="n"/>
      <c r="K42" s="139" t="n"/>
      <c r="L42" s="144" t="n"/>
      <c r="M42" s="135">
        <f>IF(AND(H42="OCCUPIED",ISNUMBER(J42),K42=""),1,0)</f>
        <v/>
      </c>
      <c r="N42" s="136">
        <f>IF(M42=1,COUNTIF($M$2:M42,1),"")</f>
        <v/>
      </c>
      <c r="O42" s="136">
        <f>IF(AND(H42="OCCUPIED",ISNUMBER(J42),K42=""),--(TODAY()-J42&gt;5),0)</f>
        <v/>
      </c>
      <c r="P42" s="136">
        <f>IF(O42=1,COUNTIF($O$2:O42,1),"")</f>
        <v/>
      </c>
      <c r="Q42" s="137">
        <f>IF(OR(B42="",G42="",H42&lt;&gt;"OCCUPIED"),"",IF(ISNUMBER(SEARCH("WHEAT",G42)),SUMPRODUCT(--ISNUMBER(SEARCH("WHEAT",$G$2:$G$99)),--($H$2:$H$99="OCCUPIED"),--($B$2:$B$99&lt;&gt;""),--(IFERROR(VALUE(LEFT(RIGHT($G$2:$G$99,7),4)),999)&lt;IFERROR(VALUE(LEFT(RIGHT(G42,7),4)),999)))+SUMPRODUCT(--ISNUMBER(SEARCH("WHEAT",$G$2:$G$99)),--($H$2:$H$99="OCCUPIED"),--($B$2:$B$99&lt;&gt;""),--(IFERROR(VALUE(LEFT(RIGHT($G$2:$G$99,7),4)),999)=IFERROR(VALUE(LEFT(RIGHT(G42,7),4)),999)),--($B$2:$B$99&lt;B42))+SUMPRODUCT(--ISNUMBER(SEARCH("WHEAT",$G$2:$G$99)),--($H$2:$H$99="OCCUPIED"),--($B$2:$B$99&lt;&gt;""),--(IFERROR(VALUE(LEFT(RIGHT($G$2:$G$99,7),4)),999)=IFERROR(VALUE(LEFT(RIGHT(G42,7),4)),999)),--($B$2:$B$99=B42),--(ROW($B$2:$B$99)&lt;=ROW())),""))</f>
        <v/>
      </c>
      <c r="R42" s="137">
        <f>IF(OR(B42="",G42="",H42&lt;&gt;"OCCUPIED"),"",IF(ISERROR(SEARCH("WHEAT",G42)),SUMPRODUCT(--ISERROR(SEARCH("WHEAT",$G$2:$G$99)),--($H$2:$H$99="OCCUPIED"),--($B$2:$B$99&lt;&gt;""),--(IFERROR(VALUE(LEFT(RIGHT($G$2:$G$99,7),4)),999)&lt;IFERROR(VALUE(LEFT(RIGHT(G42,7),4)),999)))+SUMPRODUCT(--ISERROR(SEARCH("WHEAT",$G$2:$G$99)),--($H$2:$H$99="OCCUPIED"),--($B$2:$B$99&lt;&gt;""),--(IFERROR(VALUE(LEFT(RIGHT($G$2:$G$99,7),4)),999)=IFERROR(VALUE(LEFT(RIGHT(G42,7),4)),999)),--($B$2:$B$99&lt;B42))+SUMPRODUCT(--ISERROR(SEARCH("WHEAT",$G$2:$G$99)),--($H$2:$H$99="OCCUPIED"),--($B$2:$B$99&lt;&gt;""),--(IFERROR(VALUE(LEFT(RIGHT($G$2:$G$99,7),4)),999)=IFERROR(VALUE(LEFT(RIGHT(G42,7),4)),999)),--($B$2:$B$99=B42),--(ROW($B$2:$B$99)&lt;=ROW())),""))</f>
        <v/>
      </c>
    </row>
    <row r="43" ht="15" customHeight="1" s="230">
      <c r="A43" s="138">
        <f>IF(D43="","",ROWS($D$2:D43))</f>
        <v/>
      </c>
      <c r="B43" s="139" t="n">
        <v>46100</v>
      </c>
      <c r="C43" s="140" t="n">
        <v>18</v>
      </c>
      <c r="D43" s="140" t="inlineStr">
        <is>
          <t>18A09</t>
        </is>
      </c>
      <c r="E43" s="140" t="n">
        <v>3501</v>
      </c>
      <c r="F43" s="141" t="n">
        <v>173.324292</v>
      </c>
      <c r="G43" s="140" t="inlineStr">
        <is>
          <t>FRK  RRA 2024-25</t>
        </is>
      </c>
      <c r="H43" s="142">
        <f>IF(AND(E43="",F43="",G43=""),"EMPTY","OCCUPIED")</f>
        <v/>
      </c>
      <c r="I43" s="143">
        <f>IF(B43="","",IF(ISNUMBER(B43),MAX(0,TODAY()-B43),""))</f>
        <v/>
      </c>
      <c r="J43" s="139" t="n"/>
      <c r="K43" s="139" t="n"/>
      <c r="L43" s="144" t="n"/>
      <c r="M43" s="135">
        <f>IF(AND(H43="OCCUPIED",ISNUMBER(J43),K43=""),1,0)</f>
        <v/>
      </c>
      <c r="N43" s="136">
        <f>IF(M43=1,COUNTIF($M$2:M43,1),"")</f>
        <v/>
      </c>
      <c r="O43" s="136">
        <f>IF(AND(H43="OCCUPIED",ISNUMBER(J43),K43=""),--(TODAY()-J43&gt;5),0)</f>
        <v/>
      </c>
      <c r="P43" s="136">
        <f>IF(O43=1,COUNTIF($O$2:O43,1),"")</f>
        <v/>
      </c>
      <c r="Q43" s="137">
        <f>IF(OR(B43="",G43="",H43&lt;&gt;"OCCUPIED"),"",IF(ISNUMBER(SEARCH("WHEAT",G43)),SUMPRODUCT(--ISNUMBER(SEARCH("WHEAT",$G$2:$G$99)),--($H$2:$H$99="OCCUPIED"),--($B$2:$B$99&lt;&gt;""),--(IFERROR(VALUE(LEFT(RIGHT($G$2:$G$99,7),4)),999)&lt;IFERROR(VALUE(LEFT(RIGHT(G43,7),4)),999)))+SUMPRODUCT(--ISNUMBER(SEARCH("WHEAT",$G$2:$G$99)),--($H$2:$H$99="OCCUPIED"),--($B$2:$B$99&lt;&gt;""),--(IFERROR(VALUE(LEFT(RIGHT($G$2:$G$99,7),4)),999)=IFERROR(VALUE(LEFT(RIGHT(G43,7),4)),999)),--($B$2:$B$99&lt;B43))+SUMPRODUCT(--ISNUMBER(SEARCH("WHEAT",$G$2:$G$99)),--($H$2:$H$99="OCCUPIED"),--($B$2:$B$99&lt;&gt;""),--(IFERROR(VALUE(LEFT(RIGHT($G$2:$G$99,7),4)),999)=IFERROR(VALUE(LEFT(RIGHT(G43,7),4)),999)),--($B$2:$B$99=B43),--(ROW($B$2:$B$99)&lt;=ROW())),""))</f>
        <v/>
      </c>
      <c r="R43" s="137">
        <f>IF(OR(B43="",G43="",H43&lt;&gt;"OCCUPIED"),"",IF(ISERROR(SEARCH("WHEAT",G43)),SUMPRODUCT(--ISERROR(SEARCH("WHEAT",$G$2:$G$99)),--($H$2:$H$99="OCCUPIED"),--($B$2:$B$99&lt;&gt;""),--(IFERROR(VALUE(LEFT(RIGHT($G$2:$G$99,7),4)),999)&lt;IFERROR(VALUE(LEFT(RIGHT(G43,7),4)),999)))+SUMPRODUCT(--ISERROR(SEARCH("WHEAT",$G$2:$G$99)),--($H$2:$H$99="OCCUPIED"),--($B$2:$B$99&lt;&gt;""),--(IFERROR(VALUE(LEFT(RIGHT($G$2:$G$99,7),4)),999)=IFERROR(VALUE(LEFT(RIGHT(G43,7),4)),999)),--($B$2:$B$99&lt;B43))+SUMPRODUCT(--ISERROR(SEARCH("WHEAT",$G$2:$G$99)),--($H$2:$H$99="OCCUPIED"),--($B$2:$B$99&lt;&gt;""),--(IFERROR(VALUE(LEFT(RIGHT($G$2:$G$99,7),4)),999)=IFERROR(VALUE(LEFT(RIGHT(G43,7),4)),999)),--($B$2:$B$99=B43),--(ROW($B$2:$B$99)&lt;=ROW())),""))</f>
        <v/>
      </c>
    </row>
    <row r="44" ht="15" customHeight="1" s="230">
      <c r="A44" s="138">
        <f>IF(D44="","",ROWS($D$2:D44))</f>
        <v/>
      </c>
      <c r="B44" s="139" t="n">
        <v>46027</v>
      </c>
      <c r="C44" s="140" t="n">
        <v>20</v>
      </c>
      <c r="D44" s="140" t="inlineStr">
        <is>
          <t>M6A01</t>
        </is>
      </c>
      <c r="E44" s="140" t="n">
        <v>3456</v>
      </c>
      <c r="F44" s="141" t="n">
        <v>174.908</v>
      </c>
      <c r="G44" s="140" t="inlineStr">
        <is>
          <t>WHEAT FAQ 2025-26</t>
        </is>
      </c>
      <c r="H44" s="142">
        <f>IF(AND(E44="",F44="",G44=""),"EMPTY","OCCUPIED")</f>
        <v/>
      </c>
      <c r="I44" s="143">
        <f>IF(B44="","",IF(ISNUMBER(B44),MAX(0,TODAY()-B44),""))</f>
        <v/>
      </c>
      <c r="J44" s="139" t="n"/>
      <c r="K44" s="139" t="n"/>
      <c r="L44" s="144" t="n"/>
      <c r="M44" s="135">
        <f>IF(AND(H44="OCCUPIED",ISNUMBER(J44),K44=""),1,0)</f>
        <v/>
      </c>
      <c r="N44" s="136">
        <f>IF(M44=1,COUNTIF($M$2:M44,1),"")</f>
        <v/>
      </c>
      <c r="O44" s="136">
        <f>IF(AND(H44="OCCUPIED",ISNUMBER(J44),K44=""),--(TODAY()-J44&gt;5),0)</f>
        <v/>
      </c>
      <c r="P44" s="136">
        <f>IF(O44=1,COUNTIF($O$2:O44,1),"")</f>
        <v/>
      </c>
      <c r="Q44" s="137">
        <f>IF(OR(B44="",G44="",H44&lt;&gt;"OCCUPIED"),"",IF(ISNUMBER(SEARCH("WHEAT",G44)),SUMPRODUCT(--ISNUMBER(SEARCH("WHEAT",$G$2:$G$99)),--($H$2:$H$99="OCCUPIED"),--($B$2:$B$99&lt;&gt;""),--(IFERROR(VALUE(LEFT(RIGHT($G$2:$G$99,7),4)),999)&lt;IFERROR(VALUE(LEFT(RIGHT(G44,7),4)),999)))+SUMPRODUCT(--ISNUMBER(SEARCH("WHEAT",$G$2:$G$99)),--($H$2:$H$99="OCCUPIED"),--($B$2:$B$99&lt;&gt;""),--(IFERROR(VALUE(LEFT(RIGHT($G$2:$G$99,7),4)),999)=IFERROR(VALUE(LEFT(RIGHT(G44,7),4)),999)),--($B$2:$B$99&lt;B44))+SUMPRODUCT(--ISNUMBER(SEARCH("WHEAT",$G$2:$G$99)),--($H$2:$H$99="OCCUPIED"),--($B$2:$B$99&lt;&gt;""),--(IFERROR(VALUE(LEFT(RIGHT($G$2:$G$99,7),4)),999)=IFERROR(VALUE(LEFT(RIGHT(G44,7),4)),999)),--($B$2:$B$99=B44),--(ROW($B$2:$B$99)&lt;=ROW())),""))</f>
        <v/>
      </c>
      <c r="R44" s="137">
        <f>IF(OR(B44="",G44="",H44&lt;&gt;"OCCUPIED"),"",IF(ISERROR(SEARCH("WHEAT",G44)),SUMPRODUCT(--ISERROR(SEARCH("WHEAT",$G$2:$G$99)),--($H$2:$H$99="OCCUPIED"),--($B$2:$B$99&lt;&gt;""),--(IFERROR(VALUE(LEFT(RIGHT($G$2:$G$99,7),4)),999)&lt;IFERROR(VALUE(LEFT(RIGHT(G44,7),4)),999)))+SUMPRODUCT(--ISERROR(SEARCH("WHEAT",$G$2:$G$99)),--($H$2:$H$99="OCCUPIED"),--($B$2:$B$99&lt;&gt;""),--(IFERROR(VALUE(LEFT(RIGHT($G$2:$G$99,7),4)),999)=IFERROR(VALUE(LEFT(RIGHT(G44,7),4)),999)),--($B$2:$B$99&lt;B44))+SUMPRODUCT(--ISERROR(SEARCH("WHEAT",$G$2:$G$99)),--($H$2:$H$99="OCCUPIED"),--($B$2:$B$99&lt;&gt;""),--(IFERROR(VALUE(LEFT(RIGHT($G$2:$G$99,7),4)),999)=IFERROR(VALUE(LEFT(RIGHT(G44,7),4)),999)),--($B$2:$B$99=B44),--(ROW($B$2:$B$99)&lt;=ROW())),""))</f>
        <v/>
      </c>
    </row>
    <row r="45" ht="15" customHeight="1" s="230">
      <c r="A45" s="138">
        <f>IF(D45="","",ROWS($D$2:D45))</f>
        <v/>
      </c>
      <c r="B45" s="139" t="n"/>
      <c r="C45" s="140" t="n">
        <v>20</v>
      </c>
      <c r="D45" s="140" t="inlineStr">
        <is>
          <t>M6A02</t>
        </is>
      </c>
      <c r="E45" s="140" t="n"/>
      <c r="F45" s="141" t="n"/>
      <c r="G45" s="140" t="n"/>
      <c r="H45" s="142">
        <f>IF(AND(E45="",F45="",G45=""),"EMPTY","OCCUPIED")</f>
        <v/>
      </c>
      <c r="I45" s="143">
        <f>IF(B45="","",IF(ISNUMBER(B45),MAX(0,TODAY()-B45),""))</f>
        <v/>
      </c>
      <c r="J45" s="139" t="n"/>
      <c r="K45" s="139" t="n"/>
      <c r="L45" s="144" t="n"/>
      <c r="M45" s="135">
        <f>IF(AND(H45="OCCUPIED",ISNUMBER(J45),K45=""),1,0)</f>
        <v/>
      </c>
      <c r="N45" s="136">
        <f>IF(M45=1,COUNTIF($M$2:M45,1),"")</f>
        <v/>
      </c>
      <c r="O45" s="136">
        <f>IF(AND(H45="OCCUPIED",ISNUMBER(J45),K45=""),--(TODAY()-J45&gt;5),0)</f>
        <v/>
      </c>
      <c r="P45" s="136">
        <f>IF(O45=1,COUNTIF($O$2:O45,1),"")</f>
        <v/>
      </c>
      <c r="Q45" s="137">
        <f>IF(OR(B45="",G45="",H45&lt;&gt;"OCCUPIED"),"",IF(ISNUMBER(SEARCH("WHEAT",G45)),SUMPRODUCT(--ISNUMBER(SEARCH("WHEAT",$G$2:$G$99)),--($H$2:$H$99="OCCUPIED"),--($B$2:$B$99&lt;&gt;""),--(IFERROR(VALUE(LEFT(RIGHT($G$2:$G$99,7),4)),999)&lt;IFERROR(VALUE(LEFT(RIGHT(G45,7),4)),999)))+SUMPRODUCT(--ISNUMBER(SEARCH("WHEAT",$G$2:$G$99)),--($H$2:$H$99="OCCUPIED"),--($B$2:$B$99&lt;&gt;""),--(IFERROR(VALUE(LEFT(RIGHT($G$2:$G$99,7),4)),999)=IFERROR(VALUE(LEFT(RIGHT(G45,7),4)),999)),--($B$2:$B$99&lt;B45))+SUMPRODUCT(--ISNUMBER(SEARCH("WHEAT",$G$2:$G$99)),--($H$2:$H$99="OCCUPIED"),--($B$2:$B$99&lt;&gt;""),--(IFERROR(VALUE(LEFT(RIGHT($G$2:$G$99,7),4)),999)=IFERROR(VALUE(LEFT(RIGHT(G45,7),4)),999)),--($B$2:$B$99=B45),--(ROW($B$2:$B$99)&lt;=ROW())),""))</f>
        <v/>
      </c>
      <c r="R45" s="137">
        <f>IF(OR(B45="",G45="",H45&lt;&gt;"OCCUPIED"),"",IF(ISERROR(SEARCH("WHEAT",G45)),SUMPRODUCT(--ISERROR(SEARCH("WHEAT",$G$2:$G$99)),--($H$2:$H$99="OCCUPIED"),--($B$2:$B$99&lt;&gt;""),--(IFERROR(VALUE(LEFT(RIGHT($G$2:$G$99,7),4)),999)&lt;IFERROR(VALUE(LEFT(RIGHT(G45,7),4)),999)))+SUMPRODUCT(--ISERROR(SEARCH("WHEAT",$G$2:$G$99)),--($H$2:$H$99="OCCUPIED"),--($B$2:$B$99&lt;&gt;""),--(IFERROR(VALUE(LEFT(RIGHT($G$2:$G$99,7),4)),999)=IFERROR(VALUE(LEFT(RIGHT(G45,7),4)),999)),--($B$2:$B$99&lt;B45))+SUMPRODUCT(--ISERROR(SEARCH("WHEAT",$G$2:$G$99)),--($H$2:$H$99="OCCUPIED"),--($B$2:$B$99&lt;&gt;""),--(IFERROR(VALUE(LEFT(RIGHT($G$2:$G$99,7),4)),999)=IFERROR(VALUE(LEFT(RIGHT(G45,7),4)),999)),--($B$2:$B$99=B45),--(ROW($B$2:$B$99)&lt;=ROW())),""))</f>
        <v/>
      </c>
    </row>
    <row r="46" ht="15" customHeight="1" s="230">
      <c r="A46" s="146">
        <f>IF(D46="","",ROWS($D$2:D46))</f>
        <v/>
      </c>
      <c r="B46" s="147" t="n">
        <v>45978</v>
      </c>
      <c r="C46" s="148" t="n">
        <v>20</v>
      </c>
      <c r="D46" s="148" t="inlineStr">
        <is>
          <t>M6A03</t>
        </is>
      </c>
      <c r="E46" s="148" t="n">
        <v>3501</v>
      </c>
      <c r="F46" s="149" t="n">
        <v>177.099</v>
      </c>
      <c r="G46" s="148" t="inlineStr">
        <is>
          <t>WHEAT FAQ 2025-26</t>
        </is>
      </c>
      <c r="H46" s="150">
        <f>IF(AND(E46="",F46="",G46=""),"EMPTY","OCCUPIED")</f>
        <v/>
      </c>
      <c r="I46" s="151">
        <f>IF(B46="","",IF(ISNUMBER(B46),MAX(0,TODAY()-B46),""))</f>
        <v/>
      </c>
      <c r="J46" s="147" t="n"/>
      <c r="K46" s="147" t="n"/>
      <c r="L46" s="152" t="n"/>
      <c r="M46" s="135">
        <f>IF(AND(H46="OCCUPIED",ISNUMBER(J46),K46=""),1,0)</f>
        <v/>
      </c>
      <c r="N46" s="136">
        <f>IF(M46=1,COUNTIF($M$2:M46,1),"")</f>
        <v/>
      </c>
      <c r="O46" s="136">
        <f>IF(AND(H46="OCCUPIED",ISNUMBER(J46),K46=""),--(TODAY()-J46&gt;5),0)</f>
        <v/>
      </c>
      <c r="P46" s="136">
        <f>IF(O46=1,COUNTIF($O$2:O46,1),"")</f>
        <v/>
      </c>
      <c r="Q46" s="137">
        <f>IF(OR(B46="",G46="",H46&lt;&gt;"OCCUPIED"),"",IF(ISNUMBER(SEARCH("WHEAT",G46)),SUMPRODUCT(--ISNUMBER(SEARCH("WHEAT",$G$2:$G$99)),--($H$2:$H$99="OCCUPIED"),--($B$2:$B$99&lt;&gt;""),--(IFERROR(VALUE(LEFT(RIGHT($G$2:$G$99,7),4)),999)&lt;IFERROR(VALUE(LEFT(RIGHT(G46,7),4)),999)))+SUMPRODUCT(--ISNUMBER(SEARCH("WHEAT",$G$2:$G$99)),--($H$2:$H$99="OCCUPIED"),--($B$2:$B$99&lt;&gt;""),--(IFERROR(VALUE(LEFT(RIGHT($G$2:$G$99,7),4)),999)=IFERROR(VALUE(LEFT(RIGHT(G46,7),4)),999)),--($B$2:$B$99&lt;B46))+SUMPRODUCT(--ISNUMBER(SEARCH("WHEAT",$G$2:$G$99)),--($H$2:$H$99="OCCUPIED"),--($B$2:$B$99&lt;&gt;""),--(IFERROR(VALUE(LEFT(RIGHT($G$2:$G$99,7),4)),999)=IFERROR(VALUE(LEFT(RIGHT(G46,7),4)),999)),--($B$2:$B$99=B46),--(ROW($B$2:$B$99)&lt;=ROW())),""))</f>
        <v/>
      </c>
      <c r="R46" s="137">
        <f>IF(OR(B46="",G46="",H46&lt;&gt;"OCCUPIED"),"",IF(ISERROR(SEARCH("WHEAT",G46)),SUMPRODUCT(--ISERROR(SEARCH("WHEAT",$G$2:$G$99)),--($H$2:$H$99="OCCUPIED"),--($B$2:$B$99&lt;&gt;""),--(IFERROR(VALUE(LEFT(RIGHT($G$2:$G$99,7),4)),999)&lt;IFERROR(VALUE(LEFT(RIGHT(G46,7),4)),999)))+SUMPRODUCT(--ISERROR(SEARCH("WHEAT",$G$2:$G$99)),--($H$2:$H$99="OCCUPIED"),--($B$2:$B$99&lt;&gt;""),--(IFERROR(VALUE(LEFT(RIGHT($G$2:$G$99,7),4)),999)=IFERROR(VALUE(LEFT(RIGHT(G46,7),4)),999)),--($B$2:$B$99&lt;B46))+SUMPRODUCT(--ISERROR(SEARCH("WHEAT",$G$2:$G$99)),--($H$2:$H$99="OCCUPIED"),--($B$2:$B$99&lt;&gt;""),--(IFERROR(VALUE(LEFT(RIGHT($G$2:$G$99,7),4)),999)=IFERROR(VALUE(LEFT(RIGHT(G46,7),4)),999)),--($B$2:$B$99=B46),--(ROW($B$2:$B$99)&lt;=ROW())),""))</f>
        <v/>
      </c>
    </row>
    <row r="47" ht="15" customHeight="1" s="230">
      <c r="A47" s="153">
        <f>IF(D47="","",ROWS($D$2:D47))</f>
        <v/>
      </c>
      <c r="B47" s="154" t="n"/>
      <c r="C47" s="155" t="n"/>
      <c r="D47" s="155" t="n"/>
      <c r="E47" s="155" t="n"/>
      <c r="F47" s="156" t="n"/>
      <c r="G47" s="155" t="n"/>
      <c r="H47" s="157">
        <f>IF(AND(E47="",F47="",G47=""),"EMPTY","OCCUPIED")</f>
        <v/>
      </c>
      <c r="I47" s="158">
        <f>IF(B47="","",IF(ISNUMBER(B47),MAX(0,TODAY()-B47),""))</f>
        <v/>
      </c>
      <c r="J47" s="154" t="n"/>
      <c r="K47" s="154" t="n"/>
      <c r="L47" s="159" t="n"/>
      <c r="M47" s="135">
        <f>IF(AND(H47="OCCUPIED",ISNUMBER(J47),K47=""),1,0)</f>
        <v/>
      </c>
      <c r="N47" s="136">
        <f>IF(M47=1,COUNTIF($M$2:M47,1),"")</f>
        <v/>
      </c>
      <c r="O47" s="136">
        <f>IF(AND(H47="OCCUPIED",ISNUMBER(J47),K47=""),--(TODAY()-J47&gt;5),0)</f>
        <v/>
      </c>
      <c r="P47" s="136">
        <f>IF(O47=1,COUNTIF($O$2:O47,1),"")</f>
        <v/>
      </c>
      <c r="Q47" s="137">
        <f>IF(OR(B47="",G47="",H47&lt;&gt;"OCCUPIED"),"",IF(ISNUMBER(SEARCH("WHEAT",G47)),SUMPRODUCT(--ISNUMBER(SEARCH("WHEAT",$G$2:$G$99)),--($H$2:$H$99="OCCUPIED"),--($B$2:$B$99&lt;&gt;""),--(IFERROR(VALUE(LEFT(RIGHT($G$2:$G$99,7),4)),999)&lt;IFERROR(VALUE(LEFT(RIGHT(G47,7),4)),999)))+SUMPRODUCT(--ISNUMBER(SEARCH("WHEAT",$G$2:$G$99)),--($H$2:$H$99="OCCUPIED"),--($B$2:$B$99&lt;&gt;""),--(IFERROR(VALUE(LEFT(RIGHT($G$2:$G$99,7),4)),999)=IFERROR(VALUE(LEFT(RIGHT(G47,7),4)),999)),--($B$2:$B$99&lt;B47))+SUMPRODUCT(--ISNUMBER(SEARCH("WHEAT",$G$2:$G$99)),--($H$2:$H$99="OCCUPIED"),--($B$2:$B$99&lt;&gt;""),--(IFERROR(VALUE(LEFT(RIGHT($G$2:$G$99,7),4)),999)=IFERROR(VALUE(LEFT(RIGHT(G47,7),4)),999)),--($B$2:$B$99=B47),--(ROW($B$2:$B$99)&lt;=ROW())),""))</f>
        <v/>
      </c>
      <c r="R47" s="137">
        <f>IF(OR(B47="",G47="",H47&lt;&gt;"OCCUPIED"),"",IF(ISERROR(SEARCH("WHEAT",G47)),SUMPRODUCT(--ISERROR(SEARCH("WHEAT",$G$2:$G$99)),--($H$2:$H$99="OCCUPIED"),--($B$2:$B$99&lt;&gt;""),--(IFERROR(VALUE(LEFT(RIGHT($G$2:$G$99,7),4)),999)&lt;IFERROR(VALUE(LEFT(RIGHT(G47,7),4)),999)))+SUMPRODUCT(--ISERROR(SEARCH("WHEAT",$G$2:$G$99)),--($H$2:$H$99="OCCUPIED"),--($B$2:$B$99&lt;&gt;""),--(IFERROR(VALUE(LEFT(RIGHT($G$2:$G$99,7),4)),999)=IFERROR(VALUE(LEFT(RIGHT(G47,7),4)),999)),--($B$2:$B$99&lt;B47))+SUMPRODUCT(--ISERROR(SEARCH("WHEAT",$G$2:$G$99)),--($H$2:$H$99="OCCUPIED"),--($B$2:$B$99&lt;&gt;""),--(IFERROR(VALUE(LEFT(RIGHT($G$2:$G$99,7),4)),999)=IFERROR(VALUE(LEFT(RIGHT(G47,7),4)),999)),--($B$2:$B$99=B47),--(ROW($B$2:$B$99)&lt;=ROW())),""))</f>
        <v/>
      </c>
    </row>
    <row r="48" ht="15.75" customHeight="1" s="230">
      <c r="A48" s="160">
        <f>IF(D48="","",ROWS($D$2:D48))</f>
        <v/>
      </c>
      <c r="B48" s="139" t="n"/>
      <c r="C48" s="140" t="n"/>
      <c r="D48" s="140" t="n"/>
      <c r="E48" s="140" t="n"/>
      <c r="F48" s="141" t="n"/>
      <c r="G48" s="140" t="n"/>
      <c r="H48" s="142">
        <f>IF(AND(E48="",F48="",G48=""),"EMPTY","OCCUPIED")</f>
        <v/>
      </c>
      <c r="I48" s="143">
        <f>IF(B48="","",IF(ISNUMBER(B48),MAX(0,TODAY()-B48),""))</f>
        <v/>
      </c>
      <c r="J48" s="139" t="n"/>
      <c r="K48" s="139" t="n"/>
      <c r="L48" s="161" t="n"/>
      <c r="M48" s="135">
        <f>IF(AND(H48="OCCUPIED",ISNUMBER(J48),K48=""),1,0)</f>
        <v/>
      </c>
      <c r="N48" s="136">
        <f>IF(M48=1,COUNTIF($M$2:M48,1),"")</f>
        <v/>
      </c>
      <c r="O48" s="136">
        <f>IF(AND(H48="OCCUPIED",ISNUMBER(J48),K48=""),--(TODAY()-J48&gt;5),0)</f>
        <v/>
      </c>
      <c r="P48" s="136">
        <f>IF(O48=1,COUNTIF($O$2:O48,1),"")</f>
        <v/>
      </c>
      <c r="Q48" s="137">
        <f>IF(OR(B48="",G48="",H48&lt;&gt;"OCCUPIED"),"",IF(ISNUMBER(SEARCH("WHEAT",G48)),SUMPRODUCT(--ISNUMBER(SEARCH("WHEAT",$G$2:$G$99)),--($H$2:$H$99="OCCUPIED"),--($B$2:$B$99&lt;&gt;""),--(IFERROR(VALUE(LEFT(RIGHT($G$2:$G$99,7),4)),999)&lt;IFERROR(VALUE(LEFT(RIGHT(G48,7),4)),999)))+SUMPRODUCT(--ISNUMBER(SEARCH("WHEAT",$G$2:$G$99)),--($H$2:$H$99="OCCUPIED"),--($B$2:$B$99&lt;&gt;""),--(IFERROR(VALUE(LEFT(RIGHT($G$2:$G$99,7),4)),999)=IFERROR(VALUE(LEFT(RIGHT(G48,7),4)),999)),--($B$2:$B$99&lt;B48))+SUMPRODUCT(--ISNUMBER(SEARCH("WHEAT",$G$2:$G$99)),--($H$2:$H$99="OCCUPIED"),--($B$2:$B$99&lt;&gt;""),--(IFERROR(VALUE(LEFT(RIGHT($G$2:$G$99,7),4)),999)=IFERROR(VALUE(LEFT(RIGHT(G48,7),4)),999)),--($B$2:$B$99=B48),--(ROW($B$2:$B$99)&lt;=ROW())),""))</f>
        <v/>
      </c>
      <c r="R48" s="137">
        <f>IF(OR(B48="",G48="",H48&lt;&gt;"OCCUPIED"),"",IF(ISERROR(SEARCH("WHEAT",G48)),SUMPRODUCT(--ISERROR(SEARCH("WHEAT",$G$2:$G$99)),--($H$2:$H$99="OCCUPIED"),--($B$2:$B$99&lt;&gt;""),--(IFERROR(VALUE(LEFT(RIGHT($G$2:$G$99,7),4)),999)&lt;IFERROR(VALUE(LEFT(RIGHT(G48,7),4)),999)))+SUMPRODUCT(--ISERROR(SEARCH("WHEAT",$G$2:$G$99)),--($H$2:$H$99="OCCUPIED"),--($B$2:$B$99&lt;&gt;""),--(IFERROR(VALUE(LEFT(RIGHT($G$2:$G$99,7),4)),999)=IFERROR(VALUE(LEFT(RIGHT(G48,7),4)),999)),--($B$2:$B$99&lt;B48))+SUMPRODUCT(--ISERROR(SEARCH("WHEAT",$G$2:$G$99)),--($H$2:$H$99="OCCUPIED"),--($B$2:$B$99&lt;&gt;""),--(IFERROR(VALUE(LEFT(RIGHT($G$2:$G$99,7),4)),999)=IFERROR(VALUE(LEFT(RIGHT(G48,7),4)),999)),--($B$2:$B$99=B48),--(ROW($B$2:$B$99)&lt;=ROW())),""))</f>
        <v/>
      </c>
    </row>
    <row r="49" ht="15.75" customHeight="1" s="230">
      <c r="A49" s="160">
        <f>IF(D49="","",ROWS($D$2:D49))</f>
        <v/>
      </c>
      <c r="B49" s="139" t="n"/>
      <c r="C49" s="140" t="n"/>
      <c r="D49" s="140" t="n"/>
      <c r="E49" s="140" t="n"/>
      <c r="F49" s="141" t="n"/>
      <c r="G49" s="140" t="n"/>
      <c r="H49" s="142">
        <f>IF(AND(E49="",F49="",G49=""),"EMPTY","OCCUPIED")</f>
        <v/>
      </c>
      <c r="I49" s="143">
        <f>IF(B49="","",IF(ISNUMBER(B49),MAX(0,TODAY()-B49),""))</f>
        <v/>
      </c>
      <c r="J49" s="139" t="n"/>
      <c r="K49" s="139" t="n"/>
      <c r="L49" s="161" t="n"/>
      <c r="M49" s="135">
        <f>IF(AND(H49="OCCUPIED",ISNUMBER(J49),K49=""),1,0)</f>
        <v/>
      </c>
      <c r="N49" s="136">
        <f>IF(M49=1,COUNTIF($M$2:M49,1),"")</f>
        <v/>
      </c>
      <c r="O49" s="136">
        <f>IF(AND(H49="OCCUPIED",ISNUMBER(J49),K49=""),--(TODAY()-J49&gt;5),0)</f>
        <v/>
      </c>
      <c r="P49" s="136">
        <f>IF(O49=1,COUNTIF($O$2:O49,1),"")</f>
        <v/>
      </c>
      <c r="Q49" s="137">
        <f>IF(OR(B49="",G49="",H49&lt;&gt;"OCCUPIED"),"",IF(ISNUMBER(SEARCH("WHEAT",G49)),SUMPRODUCT(--ISNUMBER(SEARCH("WHEAT",$G$2:$G$99)),--($H$2:$H$99="OCCUPIED"),--($B$2:$B$99&lt;&gt;""),--(IFERROR(VALUE(LEFT(RIGHT($G$2:$G$99,7),4)),999)&lt;IFERROR(VALUE(LEFT(RIGHT(G49,7),4)),999)))+SUMPRODUCT(--ISNUMBER(SEARCH("WHEAT",$G$2:$G$99)),--($H$2:$H$99="OCCUPIED"),--($B$2:$B$99&lt;&gt;""),--(IFERROR(VALUE(LEFT(RIGHT($G$2:$G$99,7),4)),999)=IFERROR(VALUE(LEFT(RIGHT(G49,7),4)),999)),--($B$2:$B$99&lt;B49))+SUMPRODUCT(--ISNUMBER(SEARCH("WHEAT",$G$2:$G$99)),--($H$2:$H$99="OCCUPIED"),--($B$2:$B$99&lt;&gt;""),--(IFERROR(VALUE(LEFT(RIGHT($G$2:$G$99,7),4)),999)=IFERROR(VALUE(LEFT(RIGHT(G49,7),4)),999)),--($B$2:$B$99=B49),--(ROW($B$2:$B$99)&lt;=ROW())),""))</f>
        <v/>
      </c>
      <c r="R49" s="137">
        <f>IF(OR(B49="",G49="",H49&lt;&gt;"OCCUPIED"),"",IF(ISERROR(SEARCH("WHEAT",G49)),SUMPRODUCT(--ISERROR(SEARCH("WHEAT",$G$2:$G$99)),--($H$2:$H$99="OCCUPIED"),--($B$2:$B$99&lt;&gt;""),--(IFERROR(VALUE(LEFT(RIGHT($G$2:$G$99,7),4)),999)&lt;IFERROR(VALUE(LEFT(RIGHT(G49,7),4)),999)))+SUMPRODUCT(--ISERROR(SEARCH("WHEAT",$G$2:$G$99)),--($H$2:$H$99="OCCUPIED"),--($B$2:$B$99&lt;&gt;""),--(IFERROR(VALUE(LEFT(RIGHT($G$2:$G$99,7),4)),999)=IFERROR(VALUE(LEFT(RIGHT(G49,7),4)),999)),--($B$2:$B$99&lt;B49))+SUMPRODUCT(--ISERROR(SEARCH("WHEAT",$G$2:$G$99)),--($H$2:$H$99="OCCUPIED"),--($B$2:$B$99&lt;&gt;""),--(IFERROR(VALUE(LEFT(RIGHT($G$2:$G$99,7),4)),999)=IFERROR(VALUE(LEFT(RIGHT(G49,7),4)),999)),--($B$2:$B$99=B49),--(ROW($B$2:$B$99)&lt;=ROW())),""))</f>
        <v/>
      </c>
    </row>
    <row r="50" ht="15.75" customHeight="1" s="230">
      <c r="A50" s="162">
        <f>IF(D50="","",ROWS($D$2:D50))</f>
        <v/>
      </c>
      <c r="B50" s="163" t="n"/>
      <c r="C50" s="164" t="n"/>
      <c r="D50" s="164" t="n"/>
      <c r="E50" s="164" t="n"/>
      <c r="F50" s="165" t="n"/>
      <c r="G50" s="164" t="n"/>
      <c r="H50" s="166">
        <f>IF(AND(E50="",F50="",G50=""),"EMPTY","OCCUPIED")</f>
        <v/>
      </c>
      <c r="I50" s="167">
        <f>IF(B50="","",IF(ISNUMBER(B50),MAX(0,TODAY()-B50),""))</f>
        <v/>
      </c>
      <c r="J50" s="163" t="n"/>
      <c r="K50" s="163" t="n"/>
      <c r="L50" s="168" t="n"/>
      <c r="M50" s="135">
        <f>IF(AND(H50="OCCUPIED",ISNUMBER(J50),K50=""),1,0)</f>
        <v/>
      </c>
      <c r="N50" s="136">
        <f>IF(M50=1,COUNTIF($M$2:M50,1),"")</f>
        <v/>
      </c>
      <c r="O50" s="136">
        <f>IF(AND(H50="OCCUPIED",ISNUMBER(J50),K50=""),--(TODAY()-J50&gt;5),0)</f>
        <v/>
      </c>
      <c r="P50" s="136">
        <f>IF(O50=1,COUNTIF($O$2:O50,1),"")</f>
        <v/>
      </c>
      <c r="Q50" s="137">
        <f>IF(OR(B50="",G50="",H50&lt;&gt;"OCCUPIED"),"",IF(ISNUMBER(SEARCH("WHEAT",G50)),SUMPRODUCT(--ISNUMBER(SEARCH("WHEAT",$G$2:$G$99)),--($H$2:$H$99="OCCUPIED"),--($B$2:$B$99&lt;&gt;""),--(IFERROR(VALUE(LEFT(RIGHT($G$2:$G$99,7),4)),999)&lt;IFERROR(VALUE(LEFT(RIGHT(G50,7),4)),999)))+SUMPRODUCT(--ISNUMBER(SEARCH("WHEAT",$G$2:$G$99)),--($H$2:$H$99="OCCUPIED"),--($B$2:$B$99&lt;&gt;""),--(IFERROR(VALUE(LEFT(RIGHT($G$2:$G$99,7),4)),999)=IFERROR(VALUE(LEFT(RIGHT(G50,7),4)),999)),--($B$2:$B$99&lt;B50))+SUMPRODUCT(--ISNUMBER(SEARCH("WHEAT",$G$2:$G$99)),--($H$2:$H$99="OCCUPIED"),--($B$2:$B$99&lt;&gt;""),--(IFERROR(VALUE(LEFT(RIGHT($G$2:$G$99,7),4)),999)=IFERROR(VALUE(LEFT(RIGHT(G50,7),4)),999)),--($B$2:$B$99=B50),--(ROW($B$2:$B$99)&lt;=ROW())),""))</f>
        <v/>
      </c>
      <c r="R50" s="137">
        <f>IF(OR(B50="",G50="",H50&lt;&gt;"OCCUPIED"),"",IF(ISERROR(SEARCH("WHEAT",G50)),SUMPRODUCT(--ISERROR(SEARCH("WHEAT",$G$2:$G$99)),--($H$2:$H$99="OCCUPIED"),--($B$2:$B$99&lt;&gt;""),--(IFERROR(VALUE(LEFT(RIGHT($G$2:$G$99,7),4)),999)&lt;IFERROR(VALUE(LEFT(RIGHT(G50,7),4)),999)))+SUMPRODUCT(--ISERROR(SEARCH("WHEAT",$G$2:$G$99)),--($H$2:$H$99="OCCUPIED"),--($B$2:$B$99&lt;&gt;""),--(IFERROR(VALUE(LEFT(RIGHT($G$2:$G$99,7),4)),999)=IFERROR(VALUE(LEFT(RIGHT(G50,7),4)),999)),--($B$2:$B$99&lt;B50))+SUMPRODUCT(--ISERROR(SEARCH("WHEAT",$G$2:$G$99)),--($H$2:$H$99="OCCUPIED"),--($B$2:$B$99&lt;&gt;""),--(IFERROR(VALUE(LEFT(RIGHT($G$2:$G$99,7),4)),999)=IFERROR(VALUE(LEFT(RIGHT(G50,7),4)),999)),--($B$2:$B$99=B50),--(ROW($B$2:$B$99)&lt;=ROW())),""))</f>
        <v/>
      </c>
    </row>
    <row r="51" hidden="1" ht="15.75" customHeight="1" s="230">
      <c r="A51" s="169">
        <f>IF(D51="","",ROWS($D$2:D51))</f>
        <v/>
      </c>
      <c r="B51" s="170" t="n"/>
      <c r="C51" s="171" t="n"/>
      <c r="D51" s="171" t="n"/>
      <c r="E51" s="171" t="n"/>
      <c r="F51" s="172" t="n"/>
      <c r="G51" s="171" t="n"/>
      <c r="H51" s="169">
        <f>IF(AND(E51="",F51="",G51=""),"EMPTY","OCCUPIED")</f>
        <v/>
      </c>
      <c r="I51" s="173">
        <f>IF(B51="","",IF(ISNUMBER(B51),MAX(0,TODAY()-B51),""))</f>
        <v/>
      </c>
      <c r="J51" s="170" t="n"/>
      <c r="K51" s="170" t="n"/>
      <c r="L51" s="170" t="n"/>
      <c r="M51" s="136">
        <f>IF(AND(H51="OCCUPIED",ISNUMBER(J51),K51=""),1,0)</f>
        <v/>
      </c>
      <c r="N51" s="136">
        <f>IF(M51=1,COUNTIF($M$2:M51,1),"")</f>
        <v/>
      </c>
      <c r="O51" s="136">
        <f>IF(AND(H51="OCCUPIED",ISNUMBER(J51),K51=""),--(TODAY()-J51&gt;5),0)</f>
        <v/>
      </c>
      <c r="P51" s="136">
        <f>IF(O51=1,COUNTIF($O$2:O51,1),"")</f>
        <v/>
      </c>
      <c r="Q51" s="137">
        <f>IF(OR(B51="",G51="",H51&lt;&gt;"OCCUPIED"),"",IF(ISNUMBER(SEARCH("WHEAT",G51)),SUMPRODUCT(--ISNUMBER(SEARCH("WHEAT",$G$2:$G$99)),--($H$2:$H$99="OCCUPIED"),--($B$2:$B$99&lt;&gt;""),--(IFERROR(VALUE(LEFT(RIGHT($G$2:$G$99,7),4)),999)&lt;IFERROR(VALUE(LEFT(RIGHT(G51,7),4)),999)))+SUMPRODUCT(--ISNUMBER(SEARCH("WHEAT",$G$2:$G$99)),--($H$2:$H$99="OCCUPIED"),--($B$2:$B$99&lt;&gt;""),--(IFERROR(VALUE(LEFT(RIGHT($G$2:$G$99,7),4)),999)=IFERROR(VALUE(LEFT(RIGHT(G51,7),4)),999)),--($B$2:$B$99&lt;B51))+SUMPRODUCT(--ISNUMBER(SEARCH("WHEAT",$G$2:$G$99)),--($H$2:$H$99="OCCUPIED"),--($B$2:$B$99&lt;&gt;""),--(IFERROR(VALUE(LEFT(RIGHT($G$2:$G$99,7),4)),999)=IFERROR(VALUE(LEFT(RIGHT(G51,7),4)),999)),--($B$2:$B$99=B51),--(ROW($B$2:$B$99)&lt;=ROW())),""))</f>
        <v/>
      </c>
      <c r="R51" s="137">
        <f>IF(OR(B51="",G51="",H51&lt;&gt;"OCCUPIED"),"",IF(ISERROR(SEARCH("WHEAT",G51)),SUMPRODUCT(--ISERROR(SEARCH("WHEAT",$G$2:$G$99)),--($H$2:$H$99="OCCUPIED"),--($B$2:$B$99&lt;&gt;""),--(IFERROR(VALUE(LEFT(RIGHT($G$2:$G$99,7),4)),999)&lt;IFERROR(VALUE(LEFT(RIGHT(G51,7),4)),999)))+SUMPRODUCT(--ISERROR(SEARCH("WHEAT",$G$2:$G$99)),--($H$2:$H$99="OCCUPIED"),--($B$2:$B$99&lt;&gt;""),--(IFERROR(VALUE(LEFT(RIGHT($G$2:$G$99,7),4)),999)=IFERROR(VALUE(LEFT(RIGHT(G51,7),4)),999)),--($B$2:$B$99&lt;B51))+SUMPRODUCT(--ISERROR(SEARCH("WHEAT",$G$2:$G$99)),--($H$2:$H$99="OCCUPIED"),--($B$2:$B$99&lt;&gt;""),--(IFERROR(VALUE(LEFT(RIGHT($G$2:$G$99,7),4)),999)=IFERROR(VALUE(LEFT(RIGHT(G51,7),4)),999)),--($B$2:$B$99=B51),--(ROW($B$2:$B$99)&lt;=ROW())),""))</f>
        <v/>
      </c>
    </row>
    <row r="52" hidden="1" ht="15.75" customHeight="1" s="230">
      <c r="A52" s="174">
        <f>IF(D52="","",ROWS($D$2:D52))</f>
        <v/>
      </c>
      <c r="B52" s="175" t="n"/>
      <c r="C52" s="176" t="n"/>
      <c r="D52" s="176" t="n"/>
      <c r="E52" s="176" t="n"/>
      <c r="F52" s="177" t="n"/>
      <c r="G52" s="176" t="n"/>
      <c r="H52" s="174">
        <f>IF(AND(E52="",F52="",G52=""),"EMPTY","OCCUPIED")</f>
        <v/>
      </c>
      <c r="I52" s="136">
        <f>IF(B52="","",IF(ISNUMBER(B52),MAX(0,TODAY()-B52),""))</f>
        <v/>
      </c>
      <c r="J52" s="175" t="n"/>
      <c r="K52" s="175" t="n"/>
      <c r="L52" s="175" t="n"/>
      <c r="M52" s="136">
        <f>IF(AND(H52="OCCUPIED",ISNUMBER(J52),K52=""),1,0)</f>
        <v/>
      </c>
      <c r="N52" s="136">
        <f>IF(M52=1,COUNTIF($M$2:M52,1),"")</f>
        <v/>
      </c>
      <c r="O52" s="136">
        <f>IF(AND(H52="OCCUPIED",ISNUMBER(J52),K52=""),--(TODAY()-J52&gt;5),0)</f>
        <v/>
      </c>
      <c r="P52" s="136">
        <f>IF(O52=1,COUNTIF($O$2:O52,1),"")</f>
        <v/>
      </c>
      <c r="Q52" s="137">
        <f>IF(OR(B52="",G52="",H52&lt;&gt;"OCCUPIED"),"",IF(ISNUMBER(SEARCH("WHEAT",G52)),SUMPRODUCT(--ISNUMBER(SEARCH("WHEAT",$G$2:$G$99)),--($H$2:$H$99="OCCUPIED"),--($B$2:$B$99&lt;&gt;""),--(IFERROR(VALUE(LEFT(RIGHT($G$2:$G$99,7),4)),999)&lt;IFERROR(VALUE(LEFT(RIGHT(G52,7),4)),999)))+SUMPRODUCT(--ISNUMBER(SEARCH("WHEAT",$G$2:$G$99)),--($H$2:$H$99="OCCUPIED"),--($B$2:$B$99&lt;&gt;""),--(IFERROR(VALUE(LEFT(RIGHT($G$2:$G$99,7),4)),999)=IFERROR(VALUE(LEFT(RIGHT(G52,7),4)),999)),--($B$2:$B$99&lt;B52))+SUMPRODUCT(--ISNUMBER(SEARCH("WHEAT",$G$2:$G$99)),--($H$2:$H$99="OCCUPIED"),--($B$2:$B$99&lt;&gt;""),--(IFERROR(VALUE(LEFT(RIGHT($G$2:$G$99,7),4)),999)=IFERROR(VALUE(LEFT(RIGHT(G52,7),4)),999)),--($B$2:$B$99=B52),--(ROW($B$2:$B$99)&lt;=ROW())),""))</f>
        <v/>
      </c>
      <c r="R52" s="137">
        <f>IF(OR(B52="",G52="",H52&lt;&gt;"OCCUPIED"),"",IF(ISERROR(SEARCH("WHEAT",G52)),SUMPRODUCT(--ISERROR(SEARCH("WHEAT",$G$2:$G$99)),--($H$2:$H$99="OCCUPIED"),--($B$2:$B$99&lt;&gt;""),--(IFERROR(VALUE(LEFT(RIGHT($G$2:$G$99,7),4)),999)&lt;IFERROR(VALUE(LEFT(RIGHT(G52,7),4)),999)))+SUMPRODUCT(--ISERROR(SEARCH("WHEAT",$G$2:$G$99)),--($H$2:$H$99="OCCUPIED"),--($B$2:$B$99&lt;&gt;""),--(IFERROR(VALUE(LEFT(RIGHT($G$2:$G$99,7),4)),999)=IFERROR(VALUE(LEFT(RIGHT(G52,7),4)),999)),--($B$2:$B$99&lt;B52))+SUMPRODUCT(--ISERROR(SEARCH("WHEAT",$G$2:$G$99)),--($H$2:$H$99="OCCUPIED"),--($B$2:$B$99&lt;&gt;""),--(IFERROR(VALUE(LEFT(RIGHT($G$2:$G$99,7),4)),999)=IFERROR(VALUE(LEFT(RIGHT(G52,7),4)),999)),--($B$2:$B$99=B52),--(ROW($B$2:$B$99)&lt;=ROW())),""))</f>
        <v/>
      </c>
    </row>
    <row r="53" hidden="1" ht="15.75" customHeight="1" s="230">
      <c r="A53" s="174">
        <f>IF(D53="","",ROWS($D$2:D53))</f>
        <v/>
      </c>
      <c r="B53" s="175" t="n"/>
      <c r="C53" s="176" t="n"/>
      <c r="D53" s="176" t="n"/>
      <c r="E53" s="176" t="n"/>
      <c r="F53" s="177" t="n"/>
      <c r="G53" s="176" t="n"/>
      <c r="H53" s="174">
        <f>IF(AND(E53="",F53="",G53=""),"EMPTY","OCCUPIED")</f>
        <v/>
      </c>
      <c r="I53" s="136">
        <f>IF(B53="","",IF(ISNUMBER(B53),MAX(0,TODAY()-B53),""))</f>
        <v/>
      </c>
      <c r="J53" s="175" t="n"/>
      <c r="K53" s="175" t="n"/>
      <c r="L53" s="175" t="n"/>
      <c r="M53" s="136">
        <f>IF(AND(H53="OCCUPIED",ISNUMBER(J53),K53=""),1,0)</f>
        <v/>
      </c>
      <c r="N53" s="136">
        <f>IF(M53=1,COUNTIF($M$2:M53,1),"")</f>
        <v/>
      </c>
      <c r="O53" s="136">
        <f>IF(AND(H53="OCCUPIED",ISNUMBER(J53),K53=""),--(TODAY()-J53&gt;5),0)</f>
        <v/>
      </c>
      <c r="P53" s="136">
        <f>IF(O53=1,COUNTIF($O$2:O53,1),"")</f>
        <v/>
      </c>
      <c r="Q53" s="137">
        <f>IF(OR(B53="",G53="",H53&lt;&gt;"OCCUPIED"),"",IF(ISNUMBER(SEARCH("WHEAT",G53)),SUMPRODUCT(--ISNUMBER(SEARCH("WHEAT",$G$2:$G$99)),--($H$2:$H$99="OCCUPIED"),--($B$2:$B$99&lt;&gt;""),--(IFERROR(VALUE(LEFT(RIGHT($G$2:$G$99,7),4)),999)&lt;IFERROR(VALUE(LEFT(RIGHT(G53,7),4)),999)))+SUMPRODUCT(--ISNUMBER(SEARCH("WHEAT",$G$2:$G$99)),--($H$2:$H$99="OCCUPIED"),--($B$2:$B$99&lt;&gt;""),--(IFERROR(VALUE(LEFT(RIGHT($G$2:$G$99,7),4)),999)=IFERROR(VALUE(LEFT(RIGHT(G53,7),4)),999)),--($B$2:$B$99&lt;B53))+SUMPRODUCT(--ISNUMBER(SEARCH("WHEAT",$G$2:$G$99)),--($H$2:$H$99="OCCUPIED"),--($B$2:$B$99&lt;&gt;""),--(IFERROR(VALUE(LEFT(RIGHT($G$2:$G$99,7),4)),999)=IFERROR(VALUE(LEFT(RIGHT(G53,7),4)),999)),--($B$2:$B$99=B53),--(ROW($B$2:$B$99)&lt;=ROW())),""))</f>
        <v/>
      </c>
      <c r="R53" s="137">
        <f>IF(OR(B53="",G53="",H53&lt;&gt;"OCCUPIED"),"",IF(ISERROR(SEARCH("WHEAT",G53)),SUMPRODUCT(--ISERROR(SEARCH("WHEAT",$G$2:$G$99)),--($H$2:$H$99="OCCUPIED"),--($B$2:$B$99&lt;&gt;""),--(IFERROR(VALUE(LEFT(RIGHT($G$2:$G$99,7),4)),999)&lt;IFERROR(VALUE(LEFT(RIGHT(G53,7),4)),999)))+SUMPRODUCT(--ISERROR(SEARCH("WHEAT",$G$2:$G$99)),--($H$2:$H$99="OCCUPIED"),--($B$2:$B$99&lt;&gt;""),--(IFERROR(VALUE(LEFT(RIGHT($G$2:$G$99,7),4)),999)=IFERROR(VALUE(LEFT(RIGHT(G53,7),4)),999)),--($B$2:$B$99&lt;B53))+SUMPRODUCT(--ISERROR(SEARCH("WHEAT",$G$2:$G$99)),--($H$2:$H$99="OCCUPIED"),--($B$2:$B$99&lt;&gt;""),--(IFERROR(VALUE(LEFT(RIGHT($G$2:$G$99,7),4)),999)=IFERROR(VALUE(LEFT(RIGHT(G53,7),4)),999)),--($B$2:$B$99=B53),--(ROW($B$2:$B$99)&lt;=ROW())),""))</f>
        <v/>
      </c>
    </row>
    <row r="54" hidden="1" ht="15.75" customHeight="1" s="230">
      <c r="A54" s="174">
        <f>IF(D54="","",ROWS($D$2:D54))</f>
        <v/>
      </c>
      <c r="B54" s="175" t="n"/>
      <c r="C54" s="176" t="n"/>
      <c r="D54" s="176" t="n"/>
      <c r="E54" s="176" t="n"/>
      <c r="F54" s="177" t="n"/>
      <c r="G54" s="176" t="n"/>
      <c r="H54" s="174">
        <f>IF(AND(E54="",F54="",G54=""),"EMPTY","OCCUPIED")</f>
        <v/>
      </c>
      <c r="I54" s="136">
        <f>IF(B54="","",IF(ISNUMBER(B54),MAX(0,TODAY()-B54),""))</f>
        <v/>
      </c>
      <c r="J54" s="175" t="n"/>
      <c r="K54" s="175" t="n"/>
      <c r="L54" s="175" t="n"/>
      <c r="M54" s="136">
        <f>IF(AND(H54="OCCUPIED",ISNUMBER(J54),K54=""),1,0)</f>
        <v/>
      </c>
      <c r="N54" s="136">
        <f>IF(M54=1,COUNTIF($M$2:M54,1),"")</f>
        <v/>
      </c>
      <c r="O54" s="136">
        <f>IF(AND(H54="OCCUPIED",ISNUMBER(J54),K54=""),--(TODAY()-J54&gt;5),0)</f>
        <v/>
      </c>
      <c r="P54" s="136">
        <f>IF(O54=1,COUNTIF($O$2:O54,1),"")</f>
        <v/>
      </c>
      <c r="Q54" s="137">
        <f>IF(OR(B54="",G54="",H54&lt;&gt;"OCCUPIED"),"",IF(ISNUMBER(SEARCH("WHEAT",G54)),SUMPRODUCT(--ISNUMBER(SEARCH("WHEAT",$G$2:$G$99)),--($H$2:$H$99="OCCUPIED"),--($B$2:$B$99&lt;&gt;""),--(IFERROR(VALUE(LEFT(RIGHT($G$2:$G$99,7),4)),999)&lt;IFERROR(VALUE(LEFT(RIGHT(G54,7),4)),999)))+SUMPRODUCT(--ISNUMBER(SEARCH("WHEAT",$G$2:$G$99)),--($H$2:$H$99="OCCUPIED"),--($B$2:$B$99&lt;&gt;""),--(IFERROR(VALUE(LEFT(RIGHT($G$2:$G$99,7),4)),999)=IFERROR(VALUE(LEFT(RIGHT(G54,7),4)),999)),--($B$2:$B$99&lt;B54))+SUMPRODUCT(--ISNUMBER(SEARCH("WHEAT",$G$2:$G$99)),--($H$2:$H$99="OCCUPIED"),--($B$2:$B$99&lt;&gt;""),--(IFERROR(VALUE(LEFT(RIGHT($G$2:$G$99,7),4)),999)=IFERROR(VALUE(LEFT(RIGHT(G54,7),4)),999)),--($B$2:$B$99=B54),--(ROW($B$2:$B$99)&lt;=ROW())),""))</f>
        <v/>
      </c>
      <c r="R54" s="137">
        <f>IF(OR(B54="",G54="",H54&lt;&gt;"OCCUPIED"),"",IF(ISERROR(SEARCH("WHEAT",G54)),SUMPRODUCT(--ISERROR(SEARCH("WHEAT",$G$2:$G$99)),--($H$2:$H$99="OCCUPIED"),--($B$2:$B$99&lt;&gt;""),--(IFERROR(VALUE(LEFT(RIGHT($G$2:$G$99,7),4)),999)&lt;IFERROR(VALUE(LEFT(RIGHT(G54,7),4)),999)))+SUMPRODUCT(--ISERROR(SEARCH("WHEAT",$G$2:$G$99)),--($H$2:$H$99="OCCUPIED"),--($B$2:$B$99&lt;&gt;""),--(IFERROR(VALUE(LEFT(RIGHT($G$2:$G$99,7),4)),999)=IFERROR(VALUE(LEFT(RIGHT(G54,7),4)),999)),--($B$2:$B$99&lt;B54))+SUMPRODUCT(--ISERROR(SEARCH("WHEAT",$G$2:$G$99)),--($H$2:$H$99="OCCUPIED"),--($B$2:$B$99&lt;&gt;""),--(IFERROR(VALUE(LEFT(RIGHT($G$2:$G$99,7),4)),999)=IFERROR(VALUE(LEFT(RIGHT(G54,7),4)),999)),--($B$2:$B$99=B54),--(ROW($B$2:$B$99)&lt;=ROW())),""))</f>
        <v/>
      </c>
    </row>
    <row r="55" hidden="1" ht="15.75" customHeight="1" s="230">
      <c r="A55" s="174">
        <f>IF(D55="","",ROWS($D$2:D55))</f>
        <v/>
      </c>
      <c r="B55" s="175" t="n"/>
      <c r="C55" s="176" t="n"/>
      <c r="D55" s="176" t="n"/>
      <c r="E55" s="176" t="n"/>
      <c r="F55" s="177" t="n"/>
      <c r="G55" s="176" t="n"/>
      <c r="H55" s="174">
        <f>IF(AND(E55="",F55="",G55=""),"EMPTY","OCCUPIED")</f>
        <v/>
      </c>
      <c r="I55" s="136">
        <f>IF(B55="","",IF(ISNUMBER(B55),MAX(0,TODAY()-B55),""))</f>
        <v/>
      </c>
      <c r="J55" s="175" t="n"/>
      <c r="K55" s="175" t="n"/>
      <c r="L55" s="175" t="n"/>
      <c r="M55" s="136">
        <f>IF(AND(H55="OCCUPIED",ISNUMBER(J55),K55=""),1,0)</f>
        <v/>
      </c>
      <c r="N55" s="136">
        <f>IF(M55=1,COUNTIF($M$2:M55,1),"")</f>
        <v/>
      </c>
      <c r="O55" s="136">
        <f>IF(AND(H55="OCCUPIED",ISNUMBER(J55),K55=""),--(TODAY()-J55&gt;5),0)</f>
        <v/>
      </c>
      <c r="P55" s="136">
        <f>IF(O55=1,COUNTIF($O$2:O55,1),"")</f>
        <v/>
      </c>
      <c r="Q55" s="137">
        <f>IF(OR(B55="",G55="",H55&lt;&gt;"OCCUPIED"),"",IF(ISNUMBER(SEARCH("WHEAT",G55)),SUMPRODUCT(--ISNUMBER(SEARCH("WHEAT",$G$2:$G$99)),--($H$2:$H$99="OCCUPIED"),--($B$2:$B$99&lt;&gt;""),--(IFERROR(VALUE(LEFT(RIGHT($G$2:$G$99,7),4)),999)&lt;IFERROR(VALUE(LEFT(RIGHT(G55,7),4)),999)))+SUMPRODUCT(--ISNUMBER(SEARCH("WHEAT",$G$2:$G$99)),--($H$2:$H$99="OCCUPIED"),--($B$2:$B$99&lt;&gt;""),--(IFERROR(VALUE(LEFT(RIGHT($G$2:$G$99,7),4)),999)=IFERROR(VALUE(LEFT(RIGHT(G55,7),4)),999)),--($B$2:$B$99&lt;B55))+SUMPRODUCT(--ISNUMBER(SEARCH("WHEAT",$G$2:$G$99)),--($H$2:$H$99="OCCUPIED"),--($B$2:$B$99&lt;&gt;""),--(IFERROR(VALUE(LEFT(RIGHT($G$2:$G$99,7),4)),999)=IFERROR(VALUE(LEFT(RIGHT(G55,7),4)),999)),--($B$2:$B$99=B55),--(ROW($B$2:$B$99)&lt;=ROW())),""))</f>
        <v/>
      </c>
      <c r="R55" s="137">
        <f>IF(OR(B55="",G55="",H55&lt;&gt;"OCCUPIED"),"",IF(ISERROR(SEARCH("WHEAT",G55)),SUMPRODUCT(--ISERROR(SEARCH("WHEAT",$G$2:$G$99)),--($H$2:$H$99="OCCUPIED"),--($B$2:$B$99&lt;&gt;""),--(IFERROR(VALUE(LEFT(RIGHT($G$2:$G$99,7),4)),999)&lt;IFERROR(VALUE(LEFT(RIGHT(G55,7),4)),999)))+SUMPRODUCT(--ISERROR(SEARCH("WHEAT",$G$2:$G$99)),--($H$2:$H$99="OCCUPIED"),--($B$2:$B$99&lt;&gt;""),--(IFERROR(VALUE(LEFT(RIGHT($G$2:$G$99,7),4)),999)=IFERROR(VALUE(LEFT(RIGHT(G55,7),4)),999)),--($B$2:$B$99&lt;B55))+SUMPRODUCT(--ISERROR(SEARCH("WHEAT",$G$2:$G$99)),--($H$2:$H$99="OCCUPIED"),--($B$2:$B$99&lt;&gt;""),--(IFERROR(VALUE(LEFT(RIGHT($G$2:$G$99,7),4)),999)=IFERROR(VALUE(LEFT(RIGHT(G55,7),4)),999)),--($B$2:$B$99=B55),--(ROW($B$2:$B$99)&lt;=ROW())),""))</f>
        <v/>
      </c>
    </row>
    <row r="56" hidden="1" ht="15.75" customHeight="1" s="230">
      <c r="A56" s="174">
        <f>IF(D56="","",ROWS($D$2:D56))</f>
        <v/>
      </c>
      <c r="B56" s="175" t="n"/>
      <c r="C56" s="176" t="n"/>
      <c r="D56" s="176" t="n"/>
      <c r="E56" s="176" t="n"/>
      <c r="F56" s="177" t="n"/>
      <c r="G56" s="176" t="n"/>
      <c r="H56" s="174">
        <f>IF(AND(E56="",F56="",G56=""),"EMPTY","OCCUPIED")</f>
        <v/>
      </c>
      <c r="I56" s="136">
        <f>IF(B56="","",IF(ISNUMBER(B56),MAX(0,TODAY()-B56),""))</f>
        <v/>
      </c>
      <c r="J56" s="175" t="n"/>
      <c r="K56" s="175" t="n"/>
      <c r="L56" s="175" t="n"/>
      <c r="M56" s="136">
        <f>IF(AND(H56="OCCUPIED",ISNUMBER(J56),K56=""),1,0)</f>
        <v/>
      </c>
      <c r="N56" s="136">
        <f>IF(M56=1,COUNTIF($M$2:M56,1),"")</f>
        <v/>
      </c>
      <c r="O56" s="136">
        <f>IF(AND(H56="OCCUPIED",ISNUMBER(J56),K56=""),--(TODAY()-J56&gt;5),0)</f>
        <v/>
      </c>
      <c r="P56" s="136">
        <f>IF(O56=1,COUNTIF($O$2:O56,1),"")</f>
        <v/>
      </c>
      <c r="Q56" s="137">
        <f>IF(OR(B56="",G56="",H56&lt;&gt;"OCCUPIED"),"",IF(ISNUMBER(SEARCH("WHEAT",G56)),SUMPRODUCT(--ISNUMBER(SEARCH("WHEAT",$G$2:$G$99)),--($H$2:$H$99="OCCUPIED"),--($B$2:$B$99&lt;&gt;""),--(IFERROR(VALUE(LEFT(RIGHT($G$2:$G$99,7),4)),999)&lt;IFERROR(VALUE(LEFT(RIGHT(G56,7),4)),999)))+SUMPRODUCT(--ISNUMBER(SEARCH("WHEAT",$G$2:$G$99)),--($H$2:$H$99="OCCUPIED"),--($B$2:$B$99&lt;&gt;""),--(IFERROR(VALUE(LEFT(RIGHT($G$2:$G$99,7),4)),999)=IFERROR(VALUE(LEFT(RIGHT(G56,7),4)),999)),--($B$2:$B$99&lt;B56))+SUMPRODUCT(--ISNUMBER(SEARCH("WHEAT",$G$2:$G$99)),--($H$2:$H$99="OCCUPIED"),--($B$2:$B$99&lt;&gt;""),--(IFERROR(VALUE(LEFT(RIGHT($G$2:$G$99,7),4)),999)=IFERROR(VALUE(LEFT(RIGHT(G56,7),4)),999)),--($B$2:$B$99=B56),--(ROW($B$2:$B$99)&lt;=ROW())),""))</f>
        <v/>
      </c>
      <c r="R56" s="137">
        <f>IF(OR(B56="",G56="",H56&lt;&gt;"OCCUPIED"),"",IF(ISERROR(SEARCH("WHEAT",G56)),SUMPRODUCT(--ISERROR(SEARCH("WHEAT",$G$2:$G$99)),--($H$2:$H$99="OCCUPIED"),--($B$2:$B$99&lt;&gt;""),--(IFERROR(VALUE(LEFT(RIGHT($G$2:$G$99,7),4)),999)&lt;IFERROR(VALUE(LEFT(RIGHT(G56,7),4)),999)))+SUMPRODUCT(--ISERROR(SEARCH("WHEAT",$G$2:$G$99)),--($H$2:$H$99="OCCUPIED"),--($B$2:$B$99&lt;&gt;""),--(IFERROR(VALUE(LEFT(RIGHT($G$2:$G$99,7),4)),999)=IFERROR(VALUE(LEFT(RIGHT(G56,7),4)),999)),--($B$2:$B$99&lt;B56))+SUMPRODUCT(--ISERROR(SEARCH("WHEAT",$G$2:$G$99)),--($H$2:$H$99="OCCUPIED"),--($B$2:$B$99&lt;&gt;""),--(IFERROR(VALUE(LEFT(RIGHT($G$2:$G$99,7),4)),999)=IFERROR(VALUE(LEFT(RIGHT(G56,7),4)),999)),--($B$2:$B$99=B56),--(ROW($B$2:$B$99)&lt;=ROW())),""))</f>
        <v/>
      </c>
    </row>
    <row r="57" hidden="1" ht="15.75" customHeight="1" s="230">
      <c r="A57" s="174">
        <f>IF(D57="","",ROWS($D$2:D57))</f>
        <v/>
      </c>
      <c r="B57" s="175" t="n"/>
      <c r="C57" s="176" t="n"/>
      <c r="D57" s="176" t="n"/>
      <c r="E57" s="176" t="n"/>
      <c r="F57" s="177" t="n"/>
      <c r="G57" s="176" t="n"/>
      <c r="H57" s="174">
        <f>IF(AND(E57="",F57="",G57=""),"EMPTY","OCCUPIED")</f>
        <v/>
      </c>
      <c r="I57" s="136">
        <f>IF(B57="","",IF(ISNUMBER(B57),MAX(0,TODAY()-B57),""))</f>
        <v/>
      </c>
      <c r="J57" s="175" t="n"/>
      <c r="K57" s="175" t="n"/>
      <c r="L57" s="175" t="n"/>
      <c r="M57" s="136">
        <f>IF(AND(H57="OCCUPIED",ISNUMBER(J57),K57=""),1,0)</f>
        <v/>
      </c>
      <c r="N57" s="136">
        <f>IF(M57=1,COUNTIF($M$2:M57,1),"")</f>
        <v/>
      </c>
      <c r="O57" s="136">
        <f>IF(AND(H57="OCCUPIED",ISNUMBER(J57),K57=""),--(TODAY()-J57&gt;5),0)</f>
        <v/>
      </c>
      <c r="P57" s="136">
        <f>IF(O57=1,COUNTIF($O$2:O57,1),"")</f>
        <v/>
      </c>
      <c r="Q57" s="137">
        <f>IF(OR(B57="",G57="",H57&lt;&gt;"OCCUPIED"),"",IF(ISNUMBER(SEARCH("WHEAT",G57)),SUMPRODUCT(--ISNUMBER(SEARCH("WHEAT",$G$2:$G$99)),--($H$2:$H$99="OCCUPIED"),--($B$2:$B$99&lt;&gt;""),--(IFERROR(VALUE(LEFT(RIGHT($G$2:$G$99,7),4)),999)&lt;IFERROR(VALUE(LEFT(RIGHT(G57,7),4)),999)))+SUMPRODUCT(--ISNUMBER(SEARCH("WHEAT",$G$2:$G$99)),--($H$2:$H$99="OCCUPIED"),--($B$2:$B$99&lt;&gt;""),--(IFERROR(VALUE(LEFT(RIGHT($G$2:$G$99,7),4)),999)=IFERROR(VALUE(LEFT(RIGHT(G57,7),4)),999)),--($B$2:$B$99&lt;B57))+SUMPRODUCT(--ISNUMBER(SEARCH("WHEAT",$G$2:$G$99)),--($H$2:$H$99="OCCUPIED"),--($B$2:$B$99&lt;&gt;""),--(IFERROR(VALUE(LEFT(RIGHT($G$2:$G$99,7),4)),999)=IFERROR(VALUE(LEFT(RIGHT(G57,7),4)),999)),--($B$2:$B$99=B57),--(ROW($B$2:$B$99)&lt;=ROW())),""))</f>
        <v/>
      </c>
      <c r="R57" s="137">
        <f>IF(OR(B57="",G57="",H57&lt;&gt;"OCCUPIED"),"",IF(ISERROR(SEARCH("WHEAT",G57)),SUMPRODUCT(--ISERROR(SEARCH("WHEAT",$G$2:$G$99)),--($H$2:$H$99="OCCUPIED"),--($B$2:$B$99&lt;&gt;""),--(IFERROR(VALUE(LEFT(RIGHT($G$2:$G$99,7),4)),999)&lt;IFERROR(VALUE(LEFT(RIGHT(G57,7),4)),999)))+SUMPRODUCT(--ISERROR(SEARCH("WHEAT",$G$2:$G$99)),--($H$2:$H$99="OCCUPIED"),--($B$2:$B$99&lt;&gt;""),--(IFERROR(VALUE(LEFT(RIGHT($G$2:$G$99,7),4)),999)=IFERROR(VALUE(LEFT(RIGHT(G57,7),4)),999)),--($B$2:$B$99&lt;B57))+SUMPRODUCT(--ISERROR(SEARCH("WHEAT",$G$2:$G$99)),--($H$2:$H$99="OCCUPIED"),--($B$2:$B$99&lt;&gt;""),--(IFERROR(VALUE(LEFT(RIGHT($G$2:$G$99,7),4)),999)=IFERROR(VALUE(LEFT(RIGHT(G57,7),4)),999)),--($B$2:$B$99=B57),--(ROW($B$2:$B$99)&lt;=ROW())),""))</f>
        <v/>
      </c>
    </row>
    <row r="58" hidden="1" ht="15.75" customHeight="1" s="230">
      <c r="A58" s="174">
        <f>IF(D58="","",ROWS($D$2:D58))</f>
        <v/>
      </c>
      <c r="B58" s="175" t="n"/>
      <c r="C58" s="176" t="n"/>
      <c r="D58" s="176" t="n"/>
      <c r="E58" s="176" t="n"/>
      <c r="F58" s="177" t="n"/>
      <c r="G58" s="176" t="n"/>
      <c r="H58" s="174">
        <f>IF(AND(E58="",F58="",G58=""),"EMPTY","OCCUPIED")</f>
        <v/>
      </c>
      <c r="I58" s="136">
        <f>IF(B58="","",IF(ISNUMBER(B58),MAX(0,TODAY()-B58),""))</f>
        <v/>
      </c>
      <c r="J58" s="175" t="n"/>
      <c r="K58" s="175" t="n"/>
      <c r="L58" s="175" t="n"/>
      <c r="M58" s="136">
        <f>IF(AND(H58="OCCUPIED",ISNUMBER(J58),K58=""),1,0)</f>
        <v/>
      </c>
      <c r="N58" s="136">
        <f>IF(M58=1,COUNTIF($M$2:M58,1),"")</f>
        <v/>
      </c>
      <c r="O58" s="136">
        <f>IF(AND(H58="OCCUPIED",ISNUMBER(J58),K58=""),--(TODAY()-J58&gt;5),0)</f>
        <v/>
      </c>
      <c r="P58" s="136">
        <f>IF(O58=1,COUNTIF($O$2:O58,1),"")</f>
        <v/>
      </c>
      <c r="Q58" s="137">
        <f>IF(OR(B58="",G58="",H58&lt;&gt;"OCCUPIED"),"",IF(ISNUMBER(SEARCH("WHEAT",G58)),SUMPRODUCT(--ISNUMBER(SEARCH("WHEAT",$G$2:$G$99)),--($H$2:$H$99="OCCUPIED"),--($B$2:$B$99&lt;&gt;""),--(IFERROR(VALUE(LEFT(RIGHT($G$2:$G$99,7),4)),999)&lt;IFERROR(VALUE(LEFT(RIGHT(G58,7),4)),999)))+SUMPRODUCT(--ISNUMBER(SEARCH("WHEAT",$G$2:$G$99)),--($H$2:$H$99="OCCUPIED"),--($B$2:$B$99&lt;&gt;""),--(IFERROR(VALUE(LEFT(RIGHT($G$2:$G$99,7),4)),999)=IFERROR(VALUE(LEFT(RIGHT(G58,7),4)),999)),--($B$2:$B$99&lt;B58))+SUMPRODUCT(--ISNUMBER(SEARCH("WHEAT",$G$2:$G$99)),--($H$2:$H$99="OCCUPIED"),--($B$2:$B$99&lt;&gt;""),--(IFERROR(VALUE(LEFT(RIGHT($G$2:$G$99,7),4)),999)=IFERROR(VALUE(LEFT(RIGHT(G58,7),4)),999)),--($B$2:$B$99=B58),--(ROW($B$2:$B$99)&lt;=ROW())),""))</f>
        <v/>
      </c>
      <c r="R58" s="137">
        <f>IF(OR(B58="",G58="",H58&lt;&gt;"OCCUPIED"),"",IF(ISERROR(SEARCH("WHEAT",G58)),SUMPRODUCT(--ISERROR(SEARCH("WHEAT",$G$2:$G$99)),--($H$2:$H$99="OCCUPIED"),--($B$2:$B$99&lt;&gt;""),--(IFERROR(VALUE(LEFT(RIGHT($G$2:$G$99,7),4)),999)&lt;IFERROR(VALUE(LEFT(RIGHT(G58,7),4)),999)))+SUMPRODUCT(--ISERROR(SEARCH("WHEAT",$G$2:$G$99)),--($H$2:$H$99="OCCUPIED"),--($B$2:$B$99&lt;&gt;""),--(IFERROR(VALUE(LEFT(RIGHT($G$2:$G$99,7),4)),999)=IFERROR(VALUE(LEFT(RIGHT(G58,7),4)),999)),--($B$2:$B$99&lt;B58))+SUMPRODUCT(--ISERROR(SEARCH("WHEAT",$G$2:$G$99)),--($H$2:$H$99="OCCUPIED"),--($B$2:$B$99&lt;&gt;""),--(IFERROR(VALUE(LEFT(RIGHT($G$2:$G$99,7),4)),999)=IFERROR(VALUE(LEFT(RIGHT(G58,7),4)),999)),--($B$2:$B$99=B58),--(ROW($B$2:$B$99)&lt;=ROW())),""))</f>
        <v/>
      </c>
    </row>
    <row r="59" hidden="1" ht="15.75" customHeight="1" s="230">
      <c r="A59" s="174">
        <f>IF(D59="","",ROWS($D$2:D59))</f>
        <v/>
      </c>
      <c r="B59" s="175" t="n"/>
      <c r="C59" s="176" t="n"/>
      <c r="D59" s="176" t="n"/>
      <c r="E59" s="176" t="n"/>
      <c r="F59" s="177" t="n"/>
      <c r="G59" s="176" t="n"/>
      <c r="H59" s="174">
        <f>IF(AND(E59="",F59="",G59=""),"EMPTY","OCCUPIED")</f>
        <v/>
      </c>
      <c r="I59" s="136">
        <f>IF(B59="","",IF(ISNUMBER(B59),MAX(0,TODAY()-B59),""))</f>
        <v/>
      </c>
      <c r="J59" s="175" t="n"/>
      <c r="K59" s="175" t="n"/>
      <c r="L59" s="175" t="n"/>
      <c r="M59" s="136">
        <f>IF(AND(H59="OCCUPIED",ISNUMBER(J59),K59=""),1,0)</f>
        <v/>
      </c>
      <c r="N59" s="136">
        <f>IF(M59=1,COUNTIF($M$2:M59,1),"")</f>
        <v/>
      </c>
      <c r="O59" s="136">
        <f>IF(AND(H59="OCCUPIED",ISNUMBER(J59),K59=""),--(TODAY()-J59&gt;5),0)</f>
        <v/>
      </c>
      <c r="P59" s="136">
        <f>IF(O59=1,COUNTIF($O$2:O59,1),"")</f>
        <v/>
      </c>
      <c r="Q59" s="137">
        <f>IF(OR(B59="",G59="",H59&lt;&gt;"OCCUPIED"),"",IF(ISNUMBER(SEARCH("WHEAT",G59)),SUMPRODUCT(--ISNUMBER(SEARCH("WHEAT",$G$2:$G$99)),--($H$2:$H$99="OCCUPIED"),--($B$2:$B$99&lt;&gt;""),--(IFERROR(VALUE(LEFT(RIGHT($G$2:$G$99,7),4)),999)&lt;IFERROR(VALUE(LEFT(RIGHT(G59,7),4)),999)))+SUMPRODUCT(--ISNUMBER(SEARCH("WHEAT",$G$2:$G$99)),--($H$2:$H$99="OCCUPIED"),--($B$2:$B$99&lt;&gt;""),--(IFERROR(VALUE(LEFT(RIGHT($G$2:$G$99,7),4)),999)=IFERROR(VALUE(LEFT(RIGHT(G59,7),4)),999)),--($B$2:$B$99&lt;B59))+SUMPRODUCT(--ISNUMBER(SEARCH("WHEAT",$G$2:$G$99)),--($H$2:$H$99="OCCUPIED"),--($B$2:$B$99&lt;&gt;""),--(IFERROR(VALUE(LEFT(RIGHT($G$2:$G$99,7),4)),999)=IFERROR(VALUE(LEFT(RIGHT(G59,7),4)),999)),--($B$2:$B$99=B59),--(ROW($B$2:$B$99)&lt;=ROW())),""))</f>
        <v/>
      </c>
      <c r="R59" s="137">
        <f>IF(OR(B59="",G59="",H59&lt;&gt;"OCCUPIED"),"",IF(ISERROR(SEARCH("WHEAT",G59)),SUMPRODUCT(--ISERROR(SEARCH("WHEAT",$G$2:$G$99)),--($H$2:$H$99="OCCUPIED"),--($B$2:$B$99&lt;&gt;""),--(IFERROR(VALUE(LEFT(RIGHT($G$2:$G$99,7),4)),999)&lt;IFERROR(VALUE(LEFT(RIGHT(G59,7),4)),999)))+SUMPRODUCT(--ISERROR(SEARCH("WHEAT",$G$2:$G$99)),--($H$2:$H$99="OCCUPIED"),--($B$2:$B$99&lt;&gt;""),--(IFERROR(VALUE(LEFT(RIGHT($G$2:$G$99,7),4)),999)=IFERROR(VALUE(LEFT(RIGHT(G59,7),4)),999)),--($B$2:$B$99&lt;B59))+SUMPRODUCT(--ISERROR(SEARCH("WHEAT",$G$2:$G$99)),--($H$2:$H$99="OCCUPIED"),--($B$2:$B$99&lt;&gt;""),--(IFERROR(VALUE(LEFT(RIGHT($G$2:$G$99,7),4)),999)=IFERROR(VALUE(LEFT(RIGHT(G59,7),4)),999)),--($B$2:$B$99=B59),--(ROW($B$2:$B$99)&lt;=ROW())),""))</f>
        <v/>
      </c>
    </row>
    <row r="60" hidden="1" ht="15.75" customHeight="1" s="230">
      <c r="A60" s="174">
        <f>IF(D60="","",ROWS($D$2:D60))</f>
        <v/>
      </c>
      <c r="B60" s="175" t="n"/>
      <c r="C60" s="176" t="n"/>
      <c r="D60" s="176" t="n"/>
      <c r="E60" s="176" t="n"/>
      <c r="F60" s="177" t="n"/>
      <c r="G60" s="176" t="n"/>
      <c r="H60" s="174">
        <f>IF(AND(E60="",F60="",G60=""),"EMPTY","OCCUPIED")</f>
        <v/>
      </c>
      <c r="I60" s="136">
        <f>IF(B60="","",IF(ISNUMBER(B60),MAX(0,TODAY()-B60),""))</f>
        <v/>
      </c>
      <c r="J60" s="175" t="n"/>
      <c r="K60" s="175" t="n"/>
      <c r="L60" s="175" t="n"/>
      <c r="M60" s="136">
        <f>IF(AND(H60="OCCUPIED",ISNUMBER(J60),K60=""),1,0)</f>
        <v/>
      </c>
      <c r="N60" s="136">
        <f>IF(M60=1,COUNTIF($M$2:M60,1),"")</f>
        <v/>
      </c>
      <c r="O60" s="136">
        <f>IF(AND(H60="OCCUPIED",ISNUMBER(J60),K60=""),--(TODAY()-J60&gt;5),0)</f>
        <v/>
      </c>
      <c r="P60" s="136">
        <f>IF(O60=1,COUNTIF($O$2:O60,1),"")</f>
        <v/>
      </c>
      <c r="Q60" s="137">
        <f>IF(OR(B60="",G60="",H60&lt;&gt;"OCCUPIED"),"",IF(ISNUMBER(SEARCH("WHEAT",G60)),SUMPRODUCT(--ISNUMBER(SEARCH("WHEAT",$G$2:$G$99)),--($H$2:$H$99="OCCUPIED"),--($B$2:$B$99&lt;&gt;""),--(IFERROR(VALUE(LEFT(RIGHT($G$2:$G$99,7),4)),999)&lt;IFERROR(VALUE(LEFT(RIGHT(G60,7),4)),999)))+SUMPRODUCT(--ISNUMBER(SEARCH("WHEAT",$G$2:$G$99)),--($H$2:$H$99="OCCUPIED"),--($B$2:$B$99&lt;&gt;""),--(IFERROR(VALUE(LEFT(RIGHT($G$2:$G$99,7),4)),999)=IFERROR(VALUE(LEFT(RIGHT(G60,7),4)),999)),--($B$2:$B$99&lt;B60))+SUMPRODUCT(--ISNUMBER(SEARCH("WHEAT",$G$2:$G$99)),--($H$2:$H$99="OCCUPIED"),--($B$2:$B$99&lt;&gt;""),--(IFERROR(VALUE(LEFT(RIGHT($G$2:$G$99,7),4)),999)=IFERROR(VALUE(LEFT(RIGHT(G60,7),4)),999)),--($B$2:$B$99=B60),--(ROW($B$2:$B$99)&lt;=ROW())),""))</f>
        <v/>
      </c>
      <c r="R60" s="137">
        <f>IF(OR(B60="",G60="",H60&lt;&gt;"OCCUPIED"),"",IF(ISERROR(SEARCH("WHEAT",G60)),SUMPRODUCT(--ISERROR(SEARCH("WHEAT",$G$2:$G$99)),--($H$2:$H$99="OCCUPIED"),--($B$2:$B$99&lt;&gt;""),--(IFERROR(VALUE(LEFT(RIGHT($G$2:$G$99,7),4)),999)&lt;IFERROR(VALUE(LEFT(RIGHT(G60,7),4)),999)))+SUMPRODUCT(--ISERROR(SEARCH("WHEAT",$G$2:$G$99)),--($H$2:$H$99="OCCUPIED"),--($B$2:$B$99&lt;&gt;""),--(IFERROR(VALUE(LEFT(RIGHT($G$2:$G$99,7),4)),999)=IFERROR(VALUE(LEFT(RIGHT(G60,7),4)),999)),--($B$2:$B$99&lt;B60))+SUMPRODUCT(--ISERROR(SEARCH("WHEAT",$G$2:$G$99)),--($H$2:$H$99="OCCUPIED"),--($B$2:$B$99&lt;&gt;""),--(IFERROR(VALUE(LEFT(RIGHT($G$2:$G$99,7),4)),999)=IFERROR(VALUE(LEFT(RIGHT(G60,7),4)),999)),--($B$2:$B$99=B60),--(ROW($B$2:$B$99)&lt;=ROW())),""))</f>
        <v/>
      </c>
    </row>
    <row r="61" hidden="1" ht="15.75" customHeight="1" s="230">
      <c r="A61" s="174">
        <f>IF(D61="","",ROWS($D$2:D61))</f>
        <v/>
      </c>
      <c r="B61" s="175" t="n"/>
      <c r="C61" s="176" t="n"/>
      <c r="D61" s="176" t="n"/>
      <c r="E61" s="176" t="n"/>
      <c r="F61" s="177" t="n"/>
      <c r="G61" s="176" t="n"/>
      <c r="H61" s="174">
        <f>IF(AND(E61="",F61="",G61=""),"EMPTY","OCCUPIED")</f>
        <v/>
      </c>
      <c r="I61" s="136">
        <f>IF(B61="","",IF(ISNUMBER(B61),MAX(0,TODAY()-B61),""))</f>
        <v/>
      </c>
      <c r="J61" s="175" t="n"/>
      <c r="K61" s="175" t="n"/>
      <c r="L61" s="175" t="n"/>
      <c r="M61" s="136">
        <f>IF(AND(H61="OCCUPIED",ISNUMBER(J61),K61=""),1,0)</f>
        <v/>
      </c>
      <c r="N61" s="136">
        <f>IF(M61=1,COUNTIF($M$2:M61,1),"")</f>
        <v/>
      </c>
      <c r="O61" s="136">
        <f>IF(AND(H61="OCCUPIED",ISNUMBER(J61),K61=""),--(TODAY()-J61&gt;5),0)</f>
        <v/>
      </c>
      <c r="P61" s="136">
        <f>IF(O61=1,COUNTIF($O$2:O61,1),"")</f>
        <v/>
      </c>
      <c r="Q61" s="137">
        <f>IF(OR(B61="",G61="",H61&lt;&gt;"OCCUPIED"),"",IF(ISNUMBER(SEARCH("WHEAT",G61)),SUMPRODUCT(--ISNUMBER(SEARCH("WHEAT",$G$2:$G$99)),--($H$2:$H$99="OCCUPIED"),--($B$2:$B$99&lt;&gt;""),--(IFERROR(VALUE(LEFT(RIGHT($G$2:$G$99,7),4)),999)&lt;IFERROR(VALUE(LEFT(RIGHT(G61,7),4)),999)))+SUMPRODUCT(--ISNUMBER(SEARCH("WHEAT",$G$2:$G$99)),--($H$2:$H$99="OCCUPIED"),--($B$2:$B$99&lt;&gt;""),--(IFERROR(VALUE(LEFT(RIGHT($G$2:$G$99,7),4)),999)=IFERROR(VALUE(LEFT(RIGHT(G61,7),4)),999)),--($B$2:$B$99&lt;B61))+SUMPRODUCT(--ISNUMBER(SEARCH("WHEAT",$G$2:$G$99)),--($H$2:$H$99="OCCUPIED"),--($B$2:$B$99&lt;&gt;""),--(IFERROR(VALUE(LEFT(RIGHT($G$2:$G$99,7),4)),999)=IFERROR(VALUE(LEFT(RIGHT(G61,7),4)),999)),--($B$2:$B$99=B61),--(ROW($B$2:$B$99)&lt;=ROW())),""))</f>
        <v/>
      </c>
      <c r="R61" s="137">
        <f>IF(OR(B61="",G61="",H61&lt;&gt;"OCCUPIED"),"",IF(ISERROR(SEARCH("WHEAT",G61)),SUMPRODUCT(--ISERROR(SEARCH("WHEAT",$G$2:$G$99)),--($H$2:$H$99="OCCUPIED"),--($B$2:$B$99&lt;&gt;""),--(IFERROR(VALUE(LEFT(RIGHT($G$2:$G$99,7),4)),999)&lt;IFERROR(VALUE(LEFT(RIGHT(G61,7),4)),999)))+SUMPRODUCT(--ISERROR(SEARCH("WHEAT",$G$2:$G$99)),--($H$2:$H$99="OCCUPIED"),--($B$2:$B$99&lt;&gt;""),--(IFERROR(VALUE(LEFT(RIGHT($G$2:$G$99,7),4)),999)=IFERROR(VALUE(LEFT(RIGHT(G61,7),4)),999)),--($B$2:$B$99&lt;B61))+SUMPRODUCT(--ISERROR(SEARCH("WHEAT",$G$2:$G$99)),--($H$2:$H$99="OCCUPIED"),--($B$2:$B$99&lt;&gt;""),--(IFERROR(VALUE(LEFT(RIGHT($G$2:$G$99,7),4)),999)=IFERROR(VALUE(LEFT(RIGHT(G61,7),4)),999)),--($B$2:$B$99=B61),--(ROW($B$2:$B$99)&lt;=ROW())),""))</f>
        <v/>
      </c>
    </row>
    <row r="62" hidden="1" ht="15.75" customHeight="1" s="230">
      <c r="A62" s="174">
        <f>IF(D62="","",ROWS($D$2:D62))</f>
        <v/>
      </c>
      <c r="B62" s="175" t="n"/>
      <c r="C62" s="176" t="n"/>
      <c r="D62" s="176" t="n"/>
      <c r="E62" s="176" t="n"/>
      <c r="F62" s="177" t="n"/>
      <c r="G62" s="176" t="n"/>
      <c r="H62" s="174">
        <f>IF(AND(E62="",F62="",G62=""),"EMPTY","OCCUPIED")</f>
        <v/>
      </c>
      <c r="I62" s="136">
        <f>IF(B62="","",IF(ISNUMBER(B62),MAX(0,TODAY()-B62),""))</f>
        <v/>
      </c>
      <c r="J62" s="175" t="n"/>
      <c r="K62" s="175" t="n"/>
      <c r="L62" s="175" t="n"/>
      <c r="M62" s="136">
        <f>IF(AND(H62="OCCUPIED",ISNUMBER(J62),K62=""),1,0)</f>
        <v/>
      </c>
      <c r="N62" s="136">
        <f>IF(M62=1,COUNTIF($M$2:M62,1),"")</f>
        <v/>
      </c>
      <c r="O62" s="136">
        <f>IF(AND(H62="OCCUPIED",ISNUMBER(J62),K62=""),--(TODAY()-J62&gt;5),0)</f>
        <v/>
      </c>
      <c r="P62" s="136">
        <f>IF(O62=1,COUNTIF($O$2:O62,1),"")</f>
        <v/>
      </c>
      <c r="Q62" s="137">
        <f>IF(OR(B62="",G62="",H62&lt;&gt;"OCCUPIED"),"",IF(ISNUMBER(SEARCH("WHEAT",G62)),SUMPRODUCT(--ISNUMBER(SEARCH("WHEAT",$G$2:$G$99)),--($H$2:$H$99="OCCUPIED"),--($B$2:$B$99&lt;&gt;""),--(IFERROR(VALUE(LEFT(RIGHT($G$2:$G$99,7),4)),999)&lt;IFERROR(VALUE(LEFT(RIGHT(G62,7),4)),999)))+SUMPRODUCT(--ISNUMBER(SEARCH("WHEAT",$G$2:$G$99)),--($H$2:$H$99="OCCUPIED"),--($B$2:$B$99&lt;&gt;""),--(IFERROR(VALUE(LEFT(RIGHT($G$2:$G$99,7),4)),999)=IFERROR(VALUE(LEFT(RIGHT(G62,7),4)),999)),--($B$2:$B$99&lt;B62))+SUMPRODUCT(--ISNUMBER(SEARCH("WHEAT",$G$2:$G$99)),--($H$2:$H$99="OCCUPIED"),--($B$2:$B$99&lt;&gt;""),--(IFERROR(VALUE(LEFT(RIGHT($G$2:$G$99,7),4)),999)=IFERROR(VALUE(LEFT(RIGHT(G62,7),4)),999)),--($B$2:$B$99=B62),--(ROW($B$2:$B$99)&lt;=ROW())),""))</f>
        <v/>
      </c>
      <c r="R62" s="137">
        <f>IF(OR(B62="",G62="",H62&lt;&gt;"OCCUPIED"),"",IF(ISERROR(SEARCH("WHEAT",G62)),SUMPRODUCT(--ISERROR(SEARCH("WHEAT",$G$2:$G$99)),--($H$2:$H$99="OCCUPIED"),--($B$2:$B$99&lt;&gt;""),--(IFERROR(VALUE(LEFT(RIGHT($G$2:$G$99,7),4)),999)&lt;IFERROR(VALUE(LEFT(RIGHT(G62,7),4)),999)))+SUMPRODUCT(--ISERROR(SEARCH("WHEAT",$G$2:$G$99)),--($H$2:$H$99="OCCUPIED"),--($B$2:$B$99&lt;&gt;""),--(IFERROR(VALUE(LEFT(RIGHT($G$2:$G$99,7),4)),999)=IFERROR(VALUE(LEFT(RIGHT(G62,7),4)),999)),--($B$2:$B$99&lt;B62))+SUMPRODUCT(--ISERROR(SEARCH("WHEAT",$G$2:$G$99)),--($H$2:$H$99="OCCUPIED"),--($B$2:$B$99&lt;&gt;""),--(IFERROR(VALUE(LEFT(RIGHT($G$2:$G$99,7),4)),999)=IFERROR(VALUE(LEFT(RIGHT(G62,7),4)),999)),--($B$2:$B$99=B62),--(ROW($B$2:$B$99)&lt;=ROW())),""))</f>
        <v/>
      </c>
    </row>
    <row r="63" hidden="1" ht="15.75" customHeight="1" s="230">
      <c r="A63" s="174">
        <f>IF(D63="","",ROWS($D$2:D63))</f>
        <v/>
      </c>
      <c r="B63" s="175" t="n"/>
      <c r="C63" s="176" t="n"/>
      <c r="D63" s="176" t="n"/>
      <c r="E63" s="176" t="n"/>
      <c r="F63" s="177" t="n"/>
      <c r="G63" s="176" t="n"/>
      <c r="H63" s="174">
        <f>IF(AND(E63="",F63="",G63=""),"EMPTY","OCCUPIED")</f>
        <v/>
      </c>
      <c r="I63" s="136">
        <f>IF(B63="","",IF(ISNUMBER(B63),MAX(0,TODAY()-B63),""))</f>
        <v/>
      </c>
      <c r="J63" s="175" t="n"/>
      <c r="K63" s="175" t="n"/>
      <c r="L63" s="175" t="n"/>
      <c r="M63" s="136">
        <f>IF(AND(H63="OCCUPIED",ISNUMBER(J63),K63=""),1,0)</f>
        <v/>
      </c>
      <c r="N63" s="136">
        <f>IF(M63=1,COUNTIF($M$2:M63,1),"")</f>
        <v/>
      </c>
      <c r="O63" s="136">
        <f>IF(AND(H63="OCCUPIED",ISNUMBER(J63),K63=""),--(TODAY()-J63&gt;5),0)</f>
        <v/>
      </c>
      <c r="P63" s="136">
        <f>IF(O63=1,COUNTIF($O$2:O63,1),"")</f>
        <v/>
      </c>
      <c r="Q63" s="137">
        <f>IF(OR(B63="",G63="",H63&lt;&gt;"OCCUPIED"),"",IF(ISNUMBER(SEARCH("WHEAT",G63)),SUMPRODUCT(--ISNUMBER(SEARCH("WHEAT",$G$2:$G$99)),--($H$2:$H$99="OCCUPIED"),--($B$2:$B$99&lt;&gt;""),--(IFERROR(VALUE(LEFT(RIGHT($G$2:$G$99,7),4)),999)&lt;IFERROR(VALUE(LEFT(RIGHT(G63,7),4)),999)))+SUMPRODUCT(--ISNUMBER(SEARCH("WHEAT",$G$2:$G$99)),--($H$2:$H$99="OCCUPIED"),--($B$2:$B$99&lt;&gt;""),--(IFERROR(VALUE(LEFT(RIGHT($G$2:$G$99,7),4)),999)=IFERROR(VALUE(LEFT(RIGHT(G63,7),4)),999)),--($B$2:$B$99&lt;B63))+SUMPRODUCT(--ISNUMBER(SEARCH("WHEAT",$G$2:$G$99)),--($H$2:$H$99="OCCUPIED"),--($B$2:$B$99&lt;&gt;""),--(IFERROR(VALUE(LEFT(RIGHT($G$2:$G$99,7),4)),999)=IFERROR(VALUE(LEFT(RIGHT(G63,7),4)),999)),--($B$2:$B$99=B63),--(ROW($B$2:$B$99)&lt;=ROW())),""))</f>
        <v/>
      </c>
      <c r="R63" s="137">
        <f>IF(OR(B63="",G63="",H63&lt;&gt;"OCCUPIED"),"",IF(ISERROR(SEARCH("WHEAT",G63)),SUMPRODUCT(--ISERROR(SEARCH("WHEAT",$G$2:$G$99)),--($H$2:$H$99="OCCUPIED"),--($B$2:$B$99&lt;&gt;""),--(IFERROR(VALUE(LEFT(RIGHT($G$2:$G$99,7),4)),999)&lt;IFERROR(VALUE(LEFT(RIGHT(G63,7),4)),999)))+SUMPRODUCT(--ISERROR(SEARCH("WHEAT",$G$2:$G$99)),--($H$2:$H$99="OCCUPIED"),--($B$2:$B$99&lt;&gt;""),--(IFERROR(VALUE(LEFT(RIGHT($G$2:$G$99,7),4)),999)=IFERROR(VALUE(LEFT(RIGHT(G63,7),4)),999)),--($B$2:$B$99&lt;B63))+SUMPRODUCT(--ISERROR(SEARCH("WHEAT",$G$2:$G$99)),--($H$2:$H$99="OCCUPIED"),--($B$2:$B$99&lt;&gt;""),--(IFERROR(VALUE(LEFT(RIGHT($G$2:$G$99,7),4)),999)=IFERROR(VALUE(LEFT(RIGHT(G63,7),4)),999)),--($B$2:$B$99=B63),--(ROW($B$2:$B$99)&lt;=ROW())),""))</f>
        <v/>
      </c>
    </row>
    <row r="64" hidden="1" ht="15.75" customHeight="1" s="230">
      <c r="A64" s="174">
        <f>IF(D64="","",ROWS($D$2:D64))</f>
        <v/>
      </c>
      <c r="B64" s="175" t="n"/>
      <c r="C64" s="176" t="n"/>
      <c r="D64" s="176" t="n"/>
      <c r="E64" s="176" t="n"/>
      <c r="F64" s="177" t="n"/>
      <c r="G64" s="176" t="n"/>
      <c r="H64" s="174">
        <f>IF(AND(E64="",F64="",G64=""),"EMPTY","OCCUPIED")</f>
        <v/>
      </c>
      <c r="I64" s="136">
        <f>IF(B64="","",IF(ISNUMBER(B64),MAX(0,TODAY()-B64),""))</f>
        <v/>
      </c>
      <c r="J64" s="175" t="n"/>
      <c r="K64" s="175" t="n"/>
      <c r="L64" s="175" t="n"/>
      <c r="M64" s="136">
        <f>IF(AND(H64="OCCUPIED",ISNUMBER(J64),K64=""),1,0)</f>
        <v/>
      </c>
      <c r="N64" s="136">
        <f>IF(M64=1,COUNTIF($M$2:M64,1),"")</f>
        <v/>
      </c>
      <c r="O64" s="136">
        <f>IF(AND(H64="OCCUPIED",ISNUMBER(J64),K64=""),--(TODAY()-J64&gt;5),0)</f>
        <v/>
      </c>
      <c r="P64" s="136">
        <f>IF(O64=1,COUNTIF($O$2:O64,1),"")</f>
        <v/>
      </c>
      <c r="Q64" s="137">
        <f>IF(OR(B64="",G64="",H64&lt;&gt;"OCCUPIED"),"",IF(ISNUMBER(SEARCH("WHEAT",G64)),SUMPRODUCT(--ISNUMBER(SEARCH("WHEAT",$G$2:$G$99)),--($H$2:$H$99="OCCUPIED"),--($B$2:$B$99&lt;&gt;""),--(IFERROR(VALUE(LEFT(RIGHT($G$2:$G$99,7),4)),999)&lt;IFERROR(VALUE(LEFT(RIGHT(G64,7),4)),999)))+SUMPRODUCT(--ISNUMBER(SEARCH("WHEAT",$G$2:$G$99)),--($H$2:$H$99="OCCUPIED"),--($B$2:$B$99&lt;&gt;""),--(IFERROR(VALUE(LEFT(RIGHT($G$2:$G$99,7),4)),999)=IFERROR(VALUE(LEFT(RIGHT(G64,7),4)),999)),--($B$2:$B$99&lt;B64))+SUMPRODUCT(--ISNUMBER(SEARCH("WHEAT",$G$2:$G$99)),--($H$2:$H$99="OCCUPIED"),--($B$2:$B$99&lt;&gt;""),--(IFERROR(VALUE(LEFT(RIGHT($G$2:$G$99,7),4)),999)=IFERROR(VALUE(LEFT(RIGHT(G64,7),4)),999)),--($B$2:$B$99=B64),--(ROW($B$2:$B$99)&lt;=ROW())),""))</f>
        <v/>
      </c>
      <c r="R64" s="137">
        <f>IF(OR(B64="",G64="",H64&lt;&gt;"OCCUPIED"),"",IF(ISERROR(SEARCH("WHEAT",G64)),SUMPRODUCT(--ISERROR(SEARCH("WHEAT",$G$2:$G$99)),--($H$2:$H$99="OCCUPIED"),--($B$2:$B$99&lt;&gt;""),--(IFERROR(VALUE(LEFT(RIGHT($G$2:$G$99,7),4)),999)&lt;IFERROR(VALUE(LEFT(RIGHT(G64,7),4)),999)))+SUMPRODUCT(--ISERROR(SEARCH("WHEAT",$G$2:$G$99)),--($H$2:$H$99="OCCUPIED"),--($B$2:$B$99&lt;&gt;""),--(IFERROR(VALUE(LEFT(RIGHT($G$2:$G$99,7),4)),999)=IFERROR(VALUE(LEFT(RIGHT(G64,7),4)),999)),--($B$2:$B$99&lt;B64))+SUMPRODUCT(--ISERROR(SEARCH("WHEAT",$G$2:$G$99)),--($H$2:$H$99="OCCUPIED"),--($B$2:$B$99&lt;&gt;""),--(IFERROR(VALUE(LEFT(RIGHT($G$2:$G$99,7),4)),999)=IFERROR(VALUE(LEFT(RIGHT(G64,7),4)),999)),--($B$2:$B$99=B64),--(ROW($B$2:$B$99)&lt;=ROW())),""))</f>
        <v/>
      </c>
    </row>
    <row r="65" hidden="1" ht="15.75" customHeight="1" s="230">
      <c r="A65" s="174">
        <f>IF(D65="","",ROWS($D$2:D65))</f>
        <v/>
      </c>
      <c r="B65" s="175" t="n"/>
      <c r="C65" s="176" t="n"/>
      <c r="D65" s="176" t="n"/>
      <c r="E65" s="176" t="n"/>
      <c r="F65" s="177" t="n"/>
      <c r="G65" s="176" t="n"/>
      <c r="H65" s="174">
        <f>IF(AND(E65="",F65="",G65=""),"EMPTY","OCCUPIED")</f>
        <v/>
      </c>
      <c r="I65" s="136">
        <f>IF(B65="","",IF(ISNUMBER(B65),MAX(0,TODAY()-B65),""))</f>
        <v/>
      </c>
      <c r="J65" s="175" t="n"/>
      <c r="K65" s="175" t="n"/>
      <c r="L65" s="175" t="n"/>
      <c r="M65" s="136">
        <f>IF(AND(H65="OCCUPIED",ISNUMBER(J65),K65=""),1,0)</f>
        <v/>
      </c>
      <c r="N65" s="136">
        <f>IF(M65=1,COUNTIF($M$2:M65,1),"")</f>
        <v/>
      </c>
      <c r="O65" s="136">
        <f>IF(AND(H65="OCCUPIED",ISNUMBER(J65),K65=""),--(TODAY()-J65&gt;5),0)</f>
        <v/>
      </c>
      <c r="P65" s="136">
        <f>IF(O65=1,COUNTIF($O$2:O65,1),"")</f>
        <v/>
      </c>
      <c r="Q65" s="137">
        <f>IF(OR(B65="",G65="",H65&lt;&gt;"OCCUPIED"),"",IF(ISNUMBER(SEARCH("WHEAT",G65)),SUMPRODUCT(--ISNUMBER(SEARCH("WHEAT",$G$2:$G$99)),--($H$2:$H$99="OCCUPIED"),--($B$2:$B$99&lt;&gt;""),--(IFERROR(VALUE(LEFT(RIGHT($G$2:$G$99,7),4)),999)&lt;IFERROR(VALUE(LEFT(RIGHT(G65,7),4)),999)))+SUMPRODUCT(--ISNUMBER(SEARCH("WHEAT",$G$2:$G$99)),--($H$2:$H$99="OCCUPIED"),--($B$2:$B$99&lt;&gt;""),--(IFERROR(VALUE(LEFT(RIGHT($G$2:$G$99,7),4)),999)=IFERROR(VALUE(LEFT(RIGHT(G65,7),4)),999)),--($B$2:$B$99&lt;B65))+SUMPRODUCT(--ISNUMBER(SEARCH("WHEAT",$G$2:$G$99)),--($H$2:$H$99="OCCUPIED"),--($B$2:$B$99&lt;&gt;""),--(IFERROR(VALUE(LEFT(RIGHT($G$2:$G$99,7),4)),999)=IFERROR(VALUE(LEFT(RIGHT(G65,7),4)),999)),--($B$2:$B$99=B65),--(ROW($B$2:$B$99)&lt;=ROW())),""))</f>
        <v/>
      </c>
      <c r="R65" s="137">
        <f>IF(OR(B65="",G65="",H65&lt;&gt;"OCCUPIED"),"",IF(ISERROR(SEARCH("WHEAT",G65)),SUMPRODUCT(--ISERROR(SEARCH("WHEAT",$G$2:$G$99)),--($H$2:$H$99="OCCUPIED"),--($B$2:$B$99&lt;&gt;""),--(IFERROR(VALUE(LEFT(RIGHT($G$2:$G$99,7),4)),999)&lt;IFERROR(VALUE(LEFT(RIGHT(G65,7),4)),999)))+SUMPRODUCT(--ISERROR(SEARCH("WHEAT",$G$2:$G$99)),--($H$2:$H$99="OCCUPIED"),--($B$2:$B$99&lt;&gt;""),--(IFERROR(VALUE(LEFT(RIGHT($G$2:$G$99,7),4)),999)=IFERROR(VALUE(LEFT(RIGHT(G65,7),4)),999)),--($B$2:$B$99&lt;B65))+SUMPRODUCT(--ISERROR(SEARCH("WHEAT",$G$2:$G$99)),--($H$2:$H$99="OCCUPIED"),--($B$2:$B$99&lt;&gt;""),--(IFERROR(VALUE(LEFT(RIGHT($G$2:$G$99,7),4)),999)=IFERROR(VALUE(LEFT(RIGHT(G65,7),4)),999)),--($B$2:$B$99=B65),--(ROW($B$2:$B$99)&lt;=ROW())),""))</f>
        <v/>
      </c>
    </row>
    <row r="66" hidden="1" ht="15.75" customHeight="1" s="230">
      <c r="A66" s="174">
        <f>IF(D66="","",ROWS($D$2:D66))</f>
        <v/>
      </c>
      <c r="B66" s="175" t="n"/>
      <c r="C66" s="176" t="n"/>
      <c r="D66" s="176" t="n"/>
      <c r="E66" s="176" t="n"/>
      <c r="F66" s="177" t="n"/>
      <c r="G66" s="176" t="n"/>
      <c r="H66" s="174">
        <f>IF(AND(E66="",F66="",G66=""),"EMPTY","OCCUPIED")</f>
        <v/>
      </c>
      <c r="I66" s="136">
        <f>IF(B66="","",IF(ISNUMBER(B66),MAX(0,TODAY()-B66),""))</f>
        <v/>
      </c>
      <c r="J66" s="175" t="n"/>
      <c r="K66" s="175" t="n"/>
      <c r="L66" s="175" t="n"/>
      <c r="M66" s="136">
        <f>IF(AND(H66="OCCUPIED",ISNUMBER(J66),K66=""),1,0)</f>
        <v/>
      </c>
      <c r="N66" s="136">
        <f>IF(M66=1,COUNTIF($M$2:M66,1),"")</f>
        <v/>
      </c>
      <c r="O66" s="136">
        <f>IF(AND(H66="OCCUPIED",ISNUMBER(J66),K66=""),--(TODAY()-J66&gt;5),0)</f>
        <v/>
      </c>
      <c r="P66" s="136">
        <f>IF(O66=1,COUNTIF($O$2:O66,1),"")</f>
        <v/>
      </c>
      <c r="Q66" s="137">
        <f>IF(OR(B66="",G66="",H66&lt;&gt;"OCCUPIED"),"",IF(ISNUMBER(SEARCH("WHEAT",G66)),SUMPRODUCT(--ISNUMBER(SEARCH("WHEAT",$G$2:$G$99)),--($H$2:$H$99="OCCUPIED"),--($B$2:$B$99&lt;&gt;""),--(IFERROR(VALUE(LEFT(RIGHT($G$2:$G$99,7),4)),999)&lt;IFERROR(VALUE(LEFT(RIGHT(G66,7),4)),999)))+SUMPRODUCT(--ISNUMBER(SEARCH("WHEAT",$G$2:$G$99)),--($H$2:$H$99="OCCUPIED"),--($B$2:$B$99&lt;&gt;""),--(IFERROR(VALUE(LEFT(RIGHT($G$2:$G$99,7),4)),999)=IFERROR(VALUE(LEFT(RIGHT(G66,7),4)),999)),--($B$2:$B$99&lt;B66))+SUMPRODUCT(--ISNUMBER(SEARCH("WHEAT",$G$2:$G$99)),--($H$2:$H$99="OCCUPIED"),--($B$2:$B$99&lt;&gt;""),--(IFERROR(VALUE(LEFT(RIGHT($G$2:$G$99,7),4)),999)=IFERROR(VALUE(LEFT(RIGHT(G66,7),4)),999)),--($B$2:$B$99=B66),--(ROW($B$2:$B$99)&lt;=ROW())),""))</f>
        <v/>
      </c>
      <c r="R66" s="137">
        <f>IF(OR(B66="",G66="",H66&lt;&gt;"OCCUPIED"),"",IF(ISERROR(SEARCH("WHEAT",G66)),SUMPRODUCT(--ISERROR(SEARCH("WHEAT",$G$2:$G$99)),--($H$2:$H$99="OCCUPIED"),--($B$2:$B$99&lt;&gt;""),--(IFERROR(VALUE(LEFT(RIGHT($G$2:$G$99,7),4)),999)&lt;IFERROR(VALUE(LEFT(RIGHT(G66,7),4)),999)))+SUMPRODUCT(--ISERROR(SEARCH("WHEAT",$G$2:$G$99)),--($H$2:$H$99="OCCUPIED"),--($B$2:$B$99&lt;&gt;""),--(IFERROR(VALUE(LEFT(RIGHT($G$2:$G$99,7),4)),999)=IFERROR(VALUE(LEFT(RIGHT(G66,7),4)),999)),--($B$2:$B$99&lt;B66))+SUMPRODUCT(--ISERROR(SEARCH("WHEAT",$G$2:$G$99)),--($H$2:$H$99="OCCUPIED"),--($B$2:$B$99&lt;&gt;""),--(IFERROR(VALUE(LEFT(RIGHT($G$2:$G$99,7),4)),999)=IFERROR(VALUE(LEFT(RIGHT(G66,7),4)),999)),--($B$2:$B$99=B66),--(ROW($B$2:$B$99)&lt;=ROW())),""))</f>
        <v/>
      </c>
    </row>
    <row r="67" hidden="1" ht="15.75" customHeight="1" s="230">
      <c r="A67" s="174">
        <f>IF(D67="","",ROWS($D$2:D67))</f>
        <v/>
      </c>
      <c r="B67" s="175" t="n"/>
      <c r="C67" s="176" t="n"/>
      <c r="D67" s="176" t="n"/>
      <c r="E67" s="176" t="n"/>
      <c r="F67" s="177" t="n"/>
      <c r="G67" s="176" t="n"/>
      <c r="H67" s="174">
        <f>IF(AND(E67="",F67="",G67=""),"EMPTY","OCCUPIED")</f>
        <v/>
      </c>
      <c r="I67" s="136">
        <f>IF(B67="","",IF(ISNUMBER(B67),MAX(0,TODAY()-B67),""))</f>
        <v/>
      </c>
      <c r="J67" s="175" t="n"/>
      <c r="K67" s="175" t="n"/>
      <c r="L67" s="175" t="n"/>
      <c r="M67" s="136">
        <f>IF(AND(H67="OCCUPIED",ISNUMBER(J67),K67=""),1,0)</f>
        <v/>
      </c>
      <c r="N67" s="136">
        <f>IF(M67=1,COUNTIF($M$2:M67,1),"")</f>
        <v/>
      </c>
      <c r="O67" s="136">
        <f>IF(AND(H67="OCCUPIED",ISNUMBER(J67),K67=""),--(TODAY()-J67&gt;5),0)</f>
        <v/>
      </c>
      <c r="P67" s="136">
        <f>IF(O67=1,COUNTIF($O$2:O67,1),"")</f>
        <v/>
      </c>
      <c r="Q67" s="137">
        <f>IF(OR(B67="",G67="",H67&lt;&gt;"OCCUPIED"),"",IF(ISNUMBER(SEARCH("WHEAT",G67)),SUMPRODUCT(--ISNUMBER(SEARCH("WHEAT",$G$2:$G$99)),--($H$2:$H$99="OCCUPIED"),--($B$2:$B$99&lt;&gt;""),--(IFERROR(VALUE(LEFT(RIGHT($G$2:$G$99,7),4)),999)&lt;IFERROR(VALUE(LEFT(RIGHT(G67,7),4)),999)))+SUMPRODUCT(--ISNUMBER(SEARCH("WHEAT",$G$2:$G$99)),--($H$2:$H$99="OCCUPIED"),--($B$2:$B$99&lt;&gt;""),--(IFERROR(VALUE(LEFT(RIGHT($G$2:$G$99,7),4)),999)=IFERROR(VALUE(LEFT(RIGHT(G67,7),4)),999)),--($B$2:$B$99&lt;B67))+SUMPRODUCT(--ISNUMBER(SEARCH("WHEAT",$G$2:$G$99)),--($H$2:$H$99="OCCUPIED"),--($B$2:$B$99&lt;&gt;""),--(IFERROR(VALUE(LEFT(RIGHT($G$2:$G$99,7),4)),999)=IFERROR(VALUE(LEFT(RIGHT(G67,7),4)),999)),--($B$2:$B$99=B67),--(ROW($B$2:$B$99)&lt;=ROW())),""))</f>
        <v/>
      </c>
      <c r="R67" s="137">
        <f>IF(OR(B67="",G67="",H67&lt;&gt;"OCCUPIED"),"",IF(ISERROR(SEARCH("WHEAT",G67)),SUMPRODUCT(--ISERROR(SEARCH("WHEAT",$G$2:$G$99)),--($H$2:$H$99="OCCUPIED"),--($B$2:$B$99&lt;&gt;""),--(IFERROR(VALUE(LEFT(RIGHT($G$2:$G$99,7),4)),999)&lt;IFERROR(VALUE(LEFT(RIGHT(G67,7),4)),999)))+SUMPRODUCT(--ISERROR(SEARCH("WHEAT",$G$2:$G$99)),--($H$2:$H$99="OCCUPIED"),--($B$2:$B$99&lt;&gt;""),--(IFERROR(VALUE(LEFT(RIGHT($G$2:$G$99,7),4)),999)=IFERROR(VALUE(LEFT(RIGHT(G67,7),4)),999)),--($B$2:$B$99&lt;B67))+SUMPRODUCT(--ISERROR(SEARCH("WHEAT",$G$2:$G$99)),--($H$2:$H$99="OCCUPIED"),--($B$2:$B$99&lt;&gt;""),--(IFERROR(VALUE(LEFT(RIGHT($G$2:$G$99,7),4)),999)=IFERROR(VALUE(LEFT(RIGHT(G67,7),4)),999)),--($B$2:$B$99=B67),--(ROW($B$2:$B$99)&lt;=ROW())),""))</f>
        <v/>
      </c>
    </row>
    <row r="68" hidden="1" ht="15.75" customHeight="1" s="230">
      <c r="A68" s="174">
        <f>IF(D68="","",ROWS($D$2:D68))</f>
        <v/>
      </c>
      <c r="B68" s="175" t="n"/>
      <c r="C68" s="176" t="n"/>
      <c r="D68" s="176" t="n"/>
      <c r="E68" s="176" t="n"/>
      <c r="F68" s="177" t="n"/>
      <c r="G68" s="176" t="n"/>
      <c r="H68" s="174">
        <f>IF(AND(E68="",F68="",G68=""),"EMPTY","OCCUPIED")</f>
        <v/>
      </c>
      <c r="I68" s="136">
        <f>IF(B68="","",IF(ISNUMBER(B68),MAX(0,TODAY()-B68),""))</f>
        <v/>
      </c>
      <c r="J68" s="175" t="n"/>
      <c r="K68" s="175" t="n"/>
      <c r="L68" s="175" t="n"/>
      <c r="M68" s="136">
        <f>IF(AND(H68="OCCUPIED",ISNUMBER(J68),K68=""),1,0)</f>
        <v/>
      </c>
      <c r="N68" s="136">
        <f>IF(M68=1,COUNTIF($M$2:M68,1),"")</f>
        <v/>
      </c>
      <c r="O68" s="136">
        <f>IF(AND(H68="OCCUPIED",ISNUMBER(J68),K68=""),--(TODAY()-J68&gt;5),0)</f>
        <v/>
      </c>
      <c r="P68" s="136">
        <f>IF(O68=1,COUNTIF($O$2:O68,1),"")</f>
        <v/>
      </c>
      <c r="Q68" s="137">
        <f>IF(OR(B68="",G68="",H68&lt;&gt;"OCCUPIED"),"",IF(ISNUMBER(SEARCH("WHEAT",G68)),SUMPRODUCT(--ISNUMBER(SEARCH("WHEAT",$G$2:$G$99)),--($H$2:$H$99="OCCUPIED"),--($B$2:$B$99&lt;&gt;""),--(IFERROR(VALUE(LEFT(RIGHT($G$2:$G$99,7),4)),999)&lt;IFERROR(VALUE(LEFT(RIGHT(G68,7),4)),999)))+SUMPRODUCT(--ISNUMBER(SEARCH("WHEAT",$G$2:$G$99)),--($H$2:$H$99="OCCUPIED"),--($B$2:$B$99&lt;&gt;""),--(IFERROR(VALUE(LEFT(RIGHT($G$2:$G$99,7),4)),999)=IFERROR(VALUE(LEFT(RIGHT(G68,7),4)),999)),--($B$2:$B$99&lt;B68))+SUMPRODUCT(--ISNUMBER(SEARCH("WHEAT",$G$2:$G$99)),--($H$2:$H$99="OCCUPIED"),--($B$2:$B$99&lt;&gt;""),--(IFERROR(VALUE(LEFT(RIGHT($G$2:$G$99,7),4)),999)=IFERROR(VALUE(LEFT(RIGHT(G68,7),4)),999)),--($B$2:$B$99=B68),--(ROW($B$2:$B$99)&lt;=ROW())),""))</f>
        <v/>
      </c>
      <c r="R68" s="137">
        <f>IF(OR(B68="",G68="",H68&lt;&gt;"OCCUPIED"),"",IF(ISERROR(SEARCH("WHEAT",G68)),SUMPRODUCT(--ISERROR(SEARCH("WHEAT",$G$2:$G$99)),--($H$2:$H$99="OCCUPIED"),--($B$2:$B$99&lt;&gt;""),--(IFERROR(VALUE(LEFT(RIGHT($G$2:$G$99,7),4)),999)&lt;IFERROR(VALUE(LEFT(RIGHT(G68,7),4)),999)))+SUMPRODUCT(--ISERROR(SEARCH("WHEAT",$G$2:$G$99)),--($H$2:$H$99="OCCUPIED"),--($B$2:$B$99&lt;&gt;""),--(IFERROR(VALUE(LEFT(RIGHT($G$2:$G$99,7),4)),999)=IFERROR(VALUE(LEFT(RIGHT(G68,7),4)),999)),--($B$2:$B$99&lt;B68))+SUMPRODUCT(--ISERROR(SEARCH("WHEAT",$G$2:$G$99)),--($H$2:$H$99="OCCUPIED"),--($B$2:$B$99&lt;&gt;""),--(IFERROR(VALUE(LEFT(RIGHT($G$2:$G$99,7),4)),999)=IFERROR(VALUE(LEFT(RIGHT(G68,7),4)),999)),--($B$2:$B$99=B68),--(ROW($B$2:$B$99)&lt;=ROW())),""))</f>
        <v/>
      </c>
    </row>
    <row r="69" hidden="1" ht="15.75" customHeight="1" s="230">
      <c r="A69" s="174">
        <f>IF(D69="","",ROWS($D$2:D69))</f>
        <v/>
      </c>
      <c r="B69" s="175" t="n"/>
      <c r="C69" s="176" t="n"/>
      <c r="D69" s="176" t="n"/>
      <c r="E69" s="176" t="n"/>
      <c r="F69" s="177" t="n"/>
      <c r="G69" s="176" t="n"/>
      <c r="H69" s="174">
        <f>IF(AND(E69="",F69="",G69=""),"EMPTY","OCCUPIED")</f>
        <v/>
      </c>
      <c r="I69" s="136">
        <f>IF(B69="","",IF(ISNUMBER(B69),MAX(0,TODAY()-B69),""))</f>
        <v/>
      </c>
      <c r="J69" s="175" t="n"/>
      <c r="K69" s="175" t="n"/>
      <c r="L69" s="175" t="n"/>
      <c r="M69" s="136">
        <f>IF(AND(H69="OCCUPIED",ISNUMBER(J69),K69=""),1,0)</f>
        <v/>
      </c>
      <c r="N69" s="136">
        <f>IF(M69=1,COUNTIF($M$2:M69,1),"")</f>
        <v/>
      </c>
      <c r="O69" s="136">
        <f>IF(AND(H69="OCCUPIED",ISNUMBER(J69),K69=""),--(TODAY()-J69&gt;5),0)</f>
        <v/>
      </c>
      <c r="P69" s="136">
        <f>IF(O69=1,COUNTIF($O$2:O69,1),"")</f>
        <v/>
      </c>
      <c r="Q69" s="137">
        <f>IF(OR(B69="",G69="",H69&lt;&gt;"OCCUPIED"),"",IF(ISNUMBER(SEARCH("WHEAT",G69)),SUMPRODUCT(--ISNUMBER(SEARCH("WHEAT",$G$2:$G$99)),--($H$2:$H$99="OCCUPIED"),--($B$2:$B$99&lt;&gt;""),--(IFERROR(VALUE(LEFT(RIGHT($G$2:$G$99,7),4)),999)&lt;IFERROR(VALUE(LEFT(RIGHT(G69,7),4)),999)))+SUMPRODUCT(--ISNUMBER(SEARCH("WHEAT",$G$2:$G$99)),--($H$2:$H$99="OCCUPIED"),--($B$2:$B$99&lt;&gt;""),--(IFERROR(VALUE(LEFT(RIGHT($G$2:$G$99,7),4)),999)=IFERROR(VALUE(LEFT(RIGHT(G69,7),4)),999)),--($B$2:$B$99&lt;B69))+SUMPRODUCT(--ISNUMBER(SEARCH("WHEAT",$G$2:$G$99)),--($H$2:$H$99="OCCUPIED"),--($B$2:$B$99&lt;&gt;""),--(IFERROR(VALUE(LEFT(RIGHT($G$2:$G$99,7),4)),999)=IFERROR(VALUE(LEFT(RIGHT(G69,7),4)),999)),--($B$2:$B$99=B69),--(ROW($B$2:$B$99)&lt;=ROW())),""))</f>
        <v/>
      </c>
      <c r="R69" s="137">
        <f>IF(OR(B69="",G69="",H69&lt;&gt;"OCCUPIED"),"",IF(ISERROR(SEARCH("WHEAT",G69)),SUMPRODUCT(--ISERROR(SEARCH("WHEAT",$G$2:$G$99)),--($H$2:$H$99="OCCUPIED"),--($B$2:$B$99&lt;&gt;""),--(IFERROR(VALUE(LEFT(RIGHT($G$2:$G$99,7),4)),999)&lt;IFERROR(VALUE(LEFT(RIGHT(G69,7),4)),999)))+SUMPRODUCT(--ISERROR(SEARCH("WHEAT",$G$2:$G$99)),--($H$2:$H$99="OCCUPIED"),--($B$2:$B$99&lt;&gt;""),--(IFERROR(VALUE(LEFT(RIGHT($G$2:$G$99,7),4)),999)=IFERROR(VALUE(LEFT(RIGHT(G69,7),4)),999)),--($B$2:$B$99&lt;B69))+SUMPRODUCT(--ISERROR(SEARCH("WHEAT",$G$2:$G$99)),--($H$2:$H$99="OCCUPIED"),--($B$2:$B$99&lt;&gt;""),--(IFERROR(VALUE(LEFT(RIGHT($G$2:$G$99,7),4)),999)=IFERROR(VALUE(LEFT(RIGHT(G69,7),4)),999)),--($B$2:$B$99=B69),--(ROW($B$2:$B$99)&lt;=ROW())),""))</f>
        <v/>
      </c>
    </row>
    <row r="70" hidden="1" ht="15.75" customHeight="1" s="230">
      <c r="A70" s="174">
        <f>IF(D70="","",ROWS($D$2:D70))</f>
        <v/>
      </c>
      <c r="B70" s="175" t="n"/>
      <c r="C70" s="176" t="n"/>
      <c r="D70" s="176" t="n"/>
      <c r="E70" s="176" t="n"/>
      <c r="F70" s="177" t="n"/>
      <c r="G70" s="176" t="n"/>
      <c r="H70" s="174">
        <f>IF(AND(E70="",F70="",G70=""),"EMPTY","OCCUPIED")</f>
        <v/>
      </c>
      <c r="I70" s="136">
        <f>IF(B70="","",IF(ISNUMBER(B70),MAX(0,TODAY()-B70),""))</f>
        <v/>
      </c>
      <c r="J70" s="175" t="n"/>
      <c r="K70" s="175" t="n"/>
      <c r="L70" s="175" t="n"/>
      <c r="M70" s="136">
        <f>IF(AND(H70="OCCUPIED",ISNUMBER(J70),K70=""),1,0)</f>
        <v/>
      </c>
      <c r="N70" s="136">
        <f>IF(M70=1,COUNTIF($M$2:M70,1),"")</f>
        <v/>
      </c>
      <c r="O70" s="136">
        <f>IF(AND(H70="OCCUPIED",ISNUMBER(J70),K70=""),--(TODAY()-J70&gt;5),0)</f>
        <v/>
      </c>
      <c r="P70" s="136">
        <f>IF(O70=1,COUNTIF($O$2:O70,1),"")</f>
        <v/>
      </c>
      <c r="Q70" s="137">
        <f>IF(OR(B70="",G70="",H70&lt;&gt;"OCCUPIED"),"",IF(ISNUMBER(SEARCH("WHEAT",G70)),SUMPRODUCT(--ISNUMBER(SEARCH("WHEAT",$G$2:$G$99)),--($H$2:$H$99="OCCUPIED"),--($B$2:$B$99&lt;&gt;""),--(IFERROR(VALUE(LEFT(RIGHT($G$2:$G$99,7),4)),999)&lt;IFERROR(VALUE(LEFT(RIGHT(G70,7),4)),999)))+SUMPRODUCT(--ISNUMBER(SEARCH("WHEAT",$G$2:$G$99)),--($H$2:$H$99="OCCUPIED"),--($B$2:$B$99&lt;&gt;""),--(IFERROR(VALUE(LEFT(RIGHT($G$2:$G$99,7),4)),999)=IFERROR(VALUE(LEFT(RIGHT(G70,7),4)),999)),--($B$2:$B$99&lt;B70))+SUMPRODUCT(--ISNUMBER(SEARCH("WHEAT",$G$2:$G$99)),--($H$2:$H$99="OCCUPIED"),--($B$2:$B$99&lt;&gt;""),--(IFERROR(VALUE(LEFT(RIGHT($G$2:$G$99,7),4)),999)=IFERROR(VALUE(LEFT(RIGHT(G70,7),4)),999)),--($B$2:$B$99=B70),--(ROW($B$2:$B$99)&lt;=ROW())),""))</f>
        <v/>
      </c>
      <c r="R70" s="137">
        <f>IF(OR(B70="",G70="",H70&lt;&gt;"OCCUPIED"),"",IF(ISERROR(SEARCH("WHEAT",G70)),SUMPRODUCT(--ISERROR(SEARCH("WHEAT",$G$2:$G$99)),--($H$2:$H$99="OCCUPIED"),--($B$2:$B$99&lt;&gt;""),--(IFERROR(VALUE(LEFT(RIGHT($G$2:$G$99,7),4)),999)&lt;IFERROR(VALUE(LEFT(RIGHT(G70,7),4)),999)))+SUMPRODUCT(--ISERROR(SEARCH("WHEAT",$G$2:$G$99)),--($H$2:$H$99="OCCUPIED"),--($B$2:$B$99&lt;&gt;""),--(IFERROR(VALUE(LEFT(RIGHT($G$2:$G$99,7),4)),999)=IFERROR(VALUE(LEFT(RIGHT(G70,7),4)),999)),--($B$2:$B$99&lt;B70))+SUMPRODUCT(--ISERROR(SEARCH("WHEAT",$G$2:$G$99)),--($H$2:$H$99="OCCUPIED"),--($B$2:$B$99&lt;&gt;""),--(IFERROR(VALUE(LEFT(RIGHT($G$2:$G$99,7),4)),999)=IFERROR(VALUE(LEFT(RIGHT(G70,7),4)),999)),--($B$2:$B$99=B70),--(ROW($B$2:$B$99)&lt;=ROW())),""))</f>
        <v/>
      </c>
    </row>
    <row r="71" hidden="1" ht="15.75" customHeight="1" s="230">
      <c r="A71" s="174">
        <f>IF(D71="","",ROWS($D$2:D71))</f>
        <v/>
      </c>
      <c r="B71" s="175" t="n"/>
      <c r="C71" s="176" t="n"/>
      <c r="D71" s="176" t="n"/>
      <c r="E71" s="176" t="n"/>
      <c r="F71" s="177" t="n"/>
      <c r="G71" s="176" t="n"/>
      <c r="H71" s="174">
        <f>IF(AND(E71="",F71="",G71=""),"EMPTY","OCCUPIED")</f>
        <v/>
      </c>
      <c r="I71" s="136">
        <f>IF(B71="","",IF(ISNUMBER(B71),MAX(0,TODAY()-B71),""))</f>
        <v/>
      </c>
      <c r="J71" s="175" t="n"/>
      <c r="K71" s="175" t="n"/>
      <c r="L71" s="175" t="n"/>
      <c r="M71" s="136">
        <f>IF(AND(H71="OCCUPIED",ISNUMBER(J71),K71=""),1,0)</f>
        <v/>
      </c>
      <c r="N71" s="136">
        <f>IF(M71=1,COUNTIF($M$2:M71,1),"")</f>
        <v/>
      </c>
      <c r="O71" s="136">
        <f>IF(AND(H71="OCCUPIED",ISNUMBER(J71),K71=""),--(TODAY()-J71&gt;5),0)</f>
        <v/>
      </c>
      <c r="P71" s="136">
        <f>IF(O71=1,COUNTIF($O$2:O71,1),"")</f>
        <v/>
      </c>
      <c r="Q71" s="137">
        <f>IF(OR(B71="",G71="",H71&lt;&gt;"OCCUPIED"),"",IF(ISNUMBER(SEARCH("WHEAT",G71)),SUMPRODUCT(--ISNUMBER(SEARCH("WHEAT",$G$2:$G$99)),--($H$2:$H$99="OCCUPIED"),--($B$2:$B$99&lt;&gt;""),--(IFERROR(VALUE(LEFT(RIGHT($G$2:$G$99,7),4)),999)&lt;IFERROR(VALUE(LEFT(RIGHT(G71,7),4)),999)))+SUMPRODUCT(--ISNUMBER(SEARCH("WHEAT",$G$2:$G$99)),--($H$2:$H$99="OCCUPIED"),--($B$2:$B$99&lt;&gt;""),--(IFERROR(VALUE(LEFT(RIGHT($G$2:$G$99,7),4)),999)=IFERROR(VALUE(LEFT(RIGHT(G71,7),4)),999)),--($B$2:$B$99&lt;B71))+SUMPRODUCT(--ISNUMBER(SEARCH("WHEAT",$G$2:$G$99)),--($H$2:$H$99="OCCUPIED"),--($B$2:$B$99&lt;&gt;""),--(IFERROR(VALUE(LEFT(RIGHT($G$2:$G$99,7),4)),999)=IFERROR(VALUE(LEFT(RIGHT(G71,7),4)),999)),--($B$2:$B$99=B71),--(ROW($B$2:$B$99)&lt;=ROW())),""))</f>
        <v/>
      </c>
      <c r="R71" s="137">
        <f>IF(OR(B71="",G71="",H71&lt;&gt;"OCCUPIED"),"",IF(ISERROR(SEARCH("WHEAT",G71)),SUMPRODUCT(--ISERROR(SEARCH("WHEAT",$G$2:$G$99)),--($H$2:$H$99="OCCUPIED"),--($B$2:$B$99&lt;&gt;""),--(IFERROR(VALUE(LEFT(RIGHT($G$2:$G$99,7),4)),999)&lt;IFERROR(VALUE(LEFT(RIGHT(G71,7),4)),999)))+SUMPRODUCT(--ISERROR(SEARCH("WHEAT",$G$2:$G$99)),--($H$2:$H$99="OCCUPIED"),--($B$2:$B$99&lt;&gt;""),--(IFERROR(VALUE(LEFT(RIGHT($G$2:$G$99,7),4)),999)=IFERROR(VALUE(LEFT(RIGHT(G71,7),4)),999)),--($B$2:$B$99&lt;B71))+SUMPRODUCT(--ISERROR(SEARCH("WHEAT",$G$2:$G$99)),--($H$2:$H$99="OCCUPIED"),--($B$2:$B$99&lt;&gt;""),--(IFERROR(VALUE(LEFT(RIGHT($G$2:$G$99,7),4)),999)=IFERROR(VALUE(LEFT(RIGHT(G71,7),4)),999)),--($B$2:$B$99=B71),--(ROW($B$2:$B$99)&lt;=ROW())),""))</f>
        <v/>
      </c>
    </row>
    <row r="72" hidden="1" ht="15.75" customHeight="1" s="230">
      <c r="A72" s="174">
        <f>IF(D72="","",ROWS($D$2:D72))</f>
        <v/>
      </c>
      <c r="B72" s="175" t="n"/>
      <c r="C72" s="176" t="n"/>
      <c r="D72" s="176" t="n"/>
      <c r="E72" s="176" t="n"/>
      <c r="F72" s="177" t="n"/>
      <c r="G72" s="176" t="n"/>
      <c r="H72" s="174">
        <f>IF(AND(E72="",F72="",G72=""),"EMPTY","OCCUPIED")</f>
        <v/>
      </c>
      <c r="I72" s="136">
        <f>IF(B72="","",IF(ISNUMBER(B72),MAX(0,TODAY()-B72),""))</f>
        <v/>
      </c>
      <c r="J72" s="175" t="n"/>
      <c r="K72" s="175" t="n"/>
      <c r="L72" s="175" t="n"/>
      <c r="M72" s="136">
        <f>IF(AND(H72="OCCUPIED",ISNUMBER(J72),K72=""),1,0)</f>
        <v/>
      </c>
      <c r="N72" s="136">
        <f>IF(M72=1,COUNTIF($M$2:M72,1),"")</f>
        <v/>
      </c>
      <c r="O72" s="136">
        <f>IF(AND(H72="OCCUPIED",ISNUMBER(J72),K72=""),--(TODAY()-J72&gt;5),0)</f>
        <v/>
      </c>
      <c r="P72" s="136">
        <f>IF(O72=1,COUNTIF($O$2:O72,1),"")</f>
        <v/>
      </c>
      <c r="Q72" s="137">
        <f>IF(OR(B72="",G72="",H72&lt;&gt;"OCCUPIED"),"",IF(ISNUMBER(SEARCH("WHEAT",G72)),SUMPRODUCT(--ISNUMBER(SEARCH("WHEAT",$G$2:$G$99)),--($H$2:$H$99="OCCUPIED"),--($B$2:$B$99&lt;&gt;""),--(IFERROR(VALUE(LEFT(RIGHT($G$2:$G$99,7),4)),999)&lt;IFERROR(VALUE(LEFT(RIGHT(G72,7),4)),999)))+SUMPRODUCT(--ISNUMBER(SEARCH("WHEAT",$G$2:$G$99)),--($H$2:$H$99="OCCUPIED"),--($B$2:$B$99&lt;&gt;""),--(IFERROR(VALUE(LEFT(RIGHT($G$2:$G$99,7),4)),999)=IFERROR(VALUE(LEFT(RIGHT(G72,7),4)),999)),--($B$2:$B$99&lt;B72))+SUMPRODUCT(--ISNUMBER(SEARCH("WHEAT",$G$2:$G$99)),--($H$2:$H$99="OCCUPIED"),--($B$2:$B$99&lt;&gt;""),--(IFERROR(VALUE(LEFT(RIGHT($G$2:$G$99,7),4)),999)=IFERROR(VALUE(LEFT(RIGHT(G72,7),4)),999)),--($B$2:$B$99=B72),--(ROW($B$2:$B$99)&lt;=ROW())),""))</f>
        <v/>
      </c>
      <c r="R72" s="137">
        <f>IF(OR(B72="",G72="",H72&lt;&gt;"OCCUPIED"),"",IF(ISERROR(SEARCH("WHEAT",G72)),SUMPRODUCT(--ISERROR(SEARCH("WHEAT",$G$2:$G$99)),--($H$2:$H$99="OCCUPIED"),--($B$2:$B$99&lt;&gt;""),--(IFERROR(VALUE(LEFT(RIGHT($G$2:$G$99,7),4)),999)&lt;IFERROR(VALUE(LEFT(RIGHT(G72,7),4)),999)))+SUMPRODUCT(--ISERROR(SEARCH("WHEAT",$G$2:$G$99)),--($H$2:$H$99="OCCUPIED"),--($B$2:$B$99&lt;&gt;""),--(IFERROR(VALUE(LEFT(RIGHT($G$2:$G$99,7),4)),999)=IFERROR(VALUE(LEFT(RIGHT(G72,7),4)),999)),--($B$2:$B$99&lt;B72))+SUMPRODUCT(--ISERROR(SEARCH("WHEAT",$G$2:$G$99)),--($H$2:$H$99="OCCUPIED"),--($B$2:$B$99&lt;&gt;""),--(IFERROR(VALUE(LEFT(RIGHT($G$2:$G$99,7),4)),999)=IFERROR(VALUE(LEFT(RIGHT(G72,7),4)),999)),--($B$2:$B$99=B72),--(ROW($B$2:$B$99)&lt;=ROW())),""))</f>
        <v/>
      </c>
    </row>
    <row r="73" hidden="1" ht="15.75" customHeight="1" s="230">
      <c r="A73" s="174">
        <f>IF(D73="","",ROWS($D$2:D73))</f>
        <v/>
      </c>
      <c r="B73" s="175" t="n"/>
      <c r="C73" s="176" t="n"/>
      <c r="D73" s="176" t="n"/>
      <c r="E73" s="176" t="n"/>
      <c r="F73" s="177" t="n"/>
      <c r="G73" s="176" t="n"/>
      <c r="H73" s="174">
        <f>IF(AND(E73="",F73="",G73=""),"EMPTY","OCCUPIED")</f>
        <v/>
      </c>
      <c r="I73" s="136">
        <f>IF(B73="","",IF(ISNUMBER(B73),MAX(0,TODAY()-B73),""))</f>
        <v/>
      </c>
      <c r="J73" s="175" t="n"/>
      <c r="K73" s="175" t="n"/>
      <c r="L73" s="175" t="n"/>
      <c r="M73" s="136">
        <f>IF(AND(H73="OCCUPIED",ISNUMBER(J73),K73=""),1,0)</f>
        <v/>
      </c>
      <c r="N73" s="136">
        <f>IF(M73=1,COUNTIF($M$2:M73,1),"")</f>
        <v/>
      </c>
      <c r="O73" s="136">
        <f>IF(AND(H73="OCCUPIED",ISNUMBER(J73),K73=""),--(TODAY()-J73&gt;5),0)</f>
        <v/>
      </c>
      <c r="P73" s="136">
        <f>IF(O73=1,COUNTIF($O$2:O73,1),"")</f>
        <v/>
      </c>
      <c r="Q73" s="137">
        <f>IF(OR(B73="",G73="",H73&lt;&gt;"OCCUPIED"),"",IF(ISNUMBER(SEARCH("WHEAT",G73)),SUMPRODUCT(--ISNUMBER(SEARCH("WHEAT",$G$2:$G$99)),--($H$2:$H$99="OCCUPIED"),--($B$2:$B$99&lt;&gt;""),--(IFERROR(VALUE(LEFT(RIGHT($G$2:$G$99,7),4)),999)&lt;IFERROR(VALUE(LEFT(RIGHT(G73,7),4)),999)))+SUMPRODUCT(--ISNUMBER(SEARCH("WHEAT",$G$2:$G$99)),--($H$2:$H$99="OCCUPIED"),--($B$2:$B$99&lt;&gt;""),--(IFERROR(VALUE(LEFT(RIGHT($G$2:$G$99,7),4)),999)=IFERROR(VALUE(LEFT(RIGHT(G73,7),4)),999)),--($B$2:$B$99&lt;B73))+SUMPRODUCT(--ISNUMBER(SEARCH("WHEAT",$G$2:$G$99)),--($H$2:$H$99="OCCUPIED"),--($B$2:$B$99&lt;&gt;""),--(IFERROR(VALUE(LEFT(RIGHT($G$2:$G$99,7),4)),999)=IFERROR(VALUE(LEFT(RIGHT(G73,7),4)),999)),--($B$2:$B$99=B73),--(ROW($B$2:$B$99)&lt;=ROW())),""))</f>
        <v/>
      </c>
      <c r="R73" s="137">
        <f>IF(OR(B73="",G73="",H73&lt;&gt;"OCCUPIED"),"",IF(ISERROR(SEARCH("WHEAT",G73)),SUMPRODUCT(--ISERROR(SEARCH("WHEAT",$G$2:$G$99)),--($H$2:$H$99="OCCUPIED"),--($B$2:$B$99&lt;&gt;""),--(IFERROR(VALUE(LEFT(RIGHT($G$2:$G$99,7),4)),999)&lt;IFERROR(VALUE(LEFT(RIGHT(G73,7),4)),999)))+SUMPRODUCT(--ISERROR(SEARCH("WHEAT",$G$2:$G$99)),--($H$2:$H$99="OCCUPIED"),--($B$2:$B$99&lt;&gt;""),--(IFERROR(VALUE(LEFT(RIGHT($G$2:$G$99,7),4)),999)=IFERROR(VALUE(LEFT(RIGHT(G73,7),4)),999)),--($B$2:$B$99&lt;B73))+SUMPRODUCT(--ISERROR(SEARCH("WHEAT",$G$2:$G$99)),--($H$2:$H$99="OCCUPIED"),--($B$2:$B$99&lt;&gt;""),--(IFERROR(VALUE(LEFT(RIGHT($G$2:$G$99,7),4)),999)=IFERROR(VALUE(LEFT(RIGHT(G73,7),4)),999)),--($B$2:$B$99=B73),--(ROW($B$2:$B$99)&lt;=ROW())),""))</f>
        <v/>
      </c>
    </row>
    <row r="74" hidden="1" ht="15.75" customHeight="1" s="230">
      <c r="A74" s="174">
        <f>IF(D74="","",ROWS($D$2:D74))</f>
        <v/>
      </c>
      <c r="B74" s="175" t="n"/>
      <c r="C74" s="176" t="n"/>
      <c r="D74" s="176" t="n"/>
      <c r="E74" s="176" t="n"/>
      <c r="F74" s="177" t="n"/>
      <c r="G74" s="176" t="n"/>
      <c r="H74" s="174">
        <f>IF(AND(E74="",F74="",G74=""),"EMPTY","OCCUPIED")</f>
        <v/>
      </c>
      <c r="I74" s="136">
        <f>IF(B74="","",IF(ISNUMBER(B74),MAX(0,TODAY()-B74),""))</f>
        <v/>
      </c>
      <c r="J74" s="175" t="n"/>
      <c r="K74" s="175" t="n"/>
      <c r="L74" s="175" t="n"/>
      <c r="M74" s="136">
        <f>IF(AND(H74="OCCUPIED",ISNUMBER(J74),K74=""),1,0)</f>
        <v/>
      </c>
      <c r="N74" s="136">
        <f>IF(M74=1,COUNTIF($M$2:M74,1),"")</f>
        <v/>
      </c>
      <c r="O74" s="136">
        <f>IF(AND(H74="OCCUPIED",ISNUMBER(J74),K74=""),--(TODAY()-J74&gt;5),0)</f>
        <v/>
      </c>
      <c r="P74" s="136">
        <f>IF(O74=1,COUNTIF($O$2:O74,1),"")</f>
        <v/>
      </c>
      <c r="Q74" s="137">
        <f>IF(OR(B74="",G74="",H74&lt;&gt;"OCCUPIED"),"",IF(ISNUMBER(SEARCH("WHEAT",G74)),SUMPRODUCT(--ISNUMBER(SEARCH("WHEAT",$G$2:$G$99)),--($H$2:$H$99="OCCUPIED"),--($B$2:$B$99&lt;&gt;""),--(IFERROR(VALUE(LEFT(RIGHT($G$2:$G$99,7),4)),999)&lt;IFERROR(VALUE(LEFT(RIGHT(G74,7),4)),999)))+SUMPRODUCT(--ISNUMBER(SEARCH("WHEAT",$G$2:$G$99)),--($H$2:$H$99="OCCUPIED"),--($B$2:$B$99&lt;&gt;""),--(IFERROR(VALUE(LEFT(RIGHT($G$2:$G$99,7),4)),999)=IFERROR(VALUE(LEFT(RIGHT(G74,7),4)),999)),--($B$2:$B$99&lt;B74))+SUMPRODUCT(--ISNUMBER(SEARCH("WHEAT",$G$2:$G$99)),--($H$2:$H$99="OCCUPIED"),--($B$2:$B$99&lt;&gt;""),--(IFERROR(VALUE(LEFT(RIGHT($G$2:$G$99,7),4)),999)=IFERROR(VALUE(LEFT(RIGHT(G74,7),4)),999)),--($B$2:$B$99=B74),--(ROW($B$2:$B$99)&lt;=ROW())),""))</f>
        <v/>
      </c>
      <c r="R74" s="137">
        <f>IF(OR(B74="",G74="",H74&lt;&gt;"OCCUPIED"),"",IF(ISERROR(SEARCH("WHEAT",G74)),SUMPRODUCT(--ISERROR(SEARCH("WHEAT",$G$2:$G$99)),--($H$2:$H$99="OCCUPIED"),--($B$2:$B$99&lt;&gt;""),--(IFERROR(VALUE(LEFT(RIGHT($G$2:$G$99,7),4)),999)&lt;IFERROR(VALUE(LEFT(RIGHT(G74,7),4)),999)))+SUMPRODUCT(--ISERROR(SEARCH("WHEAT",$G$2:$G$99)),--($H$2:$H$99="OCCUPIED"),--($B$2:$B$99&lt;&gt;""),--(IFERROR(VALUE(LEFT(RIGHT($G$2:$G$99,7),4)),999)=IFERROR(VALUE(LEFT(RIGHT(G74,7),4)),999)),--($B$2:$B$99&lt;B74))+SUMPRODUCT(--ISERROR(SEARCH("WHEAT",$G$2:$G$99)),--($H$2:$H$99="OCCUPIED"),--($B$2:$B$99&lt;&gt;""),--(IFERROR(VALUE(LEFT(RIGHT($G$2:$G$99,7),4)),999)=IFERROR(VALUE(LEFT(RIGHT(G74,7),4)),999)),--($B$2:$B$99=B74),--(ROW($B$2:$B$99)&lt;=ROW())),""))</f>
        <v/>
      </c>
    </row>
    <row r="75" hidden="1" ht="15.75" customHeight="1" s="230">
      <c r="A75" s="174">
        <f>IF(D75="","",ROWS($D$2:D75))</f>
        <v/>
      </c>
      <c r="B75" s="175" t="n"/>
      <c r="C75" s="176" t="n"/>
      <c r="D75" s="176" t="n"/>
      <c r="E75" s="176" t="n"/>
      <c r="F75" s="177" t="n"/>
      <c r="G75" s="176" t="n"/>
      <c r="H75" s="174">
        <f>IF(AND(E75="",F75="",G75=""),"EMPTY","OCCUPIED")</f>
        <v/>
      </c>
      <c r="I75" s="136">
        <f>IF(B75="","",IF(ISNUMBER(B75),MAX(0,TODAY()-B75),""))</f>
        <v/>
      </c>
      <c r="J75" s="175" t="n"/>
      <c r="K75" s="175" t="n"/>
      <c r="L75" s="175" t="n"/>
      <c r="M75" s="136">
        <f>IF(AND(H75="OCCUPIED",ISNUMBER(J75),K75=""),1,0)</f>
        <v/>
      </c>
      <c r="N75" s="136">
        <f>IF(M75=1,COUNTIF($M$2:M75,1),"")</f>
        <v/>
      </c>
      <c r="O75" s="136">
        <f>IF(AND(H75="OCCUPIED",ISNUMBER(J75),K75=""),--(TODAY()-J75&gt;5),0)</f>
        <v/>
      </c>
      <c r="P75" s="136">
        <f>IF(O75=1,COUNTIF($O$2:O75,1),"")</f>
        <v/>
      </c>
      <c r="Q75" s="137">
        <f>IF(OR(B75="",G75="",H75&lt;&gt;"OCCUPIED"),"",IF(ISNUMBER(SEARCH("WHEAT",G75)),SUMPRODUCT(--ISNUMBER(SEARCH("WHEAT",$G$2:$G$99)),--($H$2:$H$99="OCCUPIED"),--($B$2:$B$99&lt;&gt;""),--(IFERROR(VALUE(LEFT(RIGHT($G$2:$G$99,7),4)),999)&lt;IFERROR(VALUE(LEFT(RIGHT(G75,7),4)),999)))+SUMPRODUCT(--ISNUMBER(SEARCH("WHEAT",$G$2:$G$99)),--($H$2:$H$99="OCCUPIED"),--($B$2:$B$99&lt;&gt;""),--(IFERROR(VALUE(LEFT(RIGHT($G$2:$G$99,7),4)),999)=IFERROR(VALUE(LEFT(RIGHT(G75,7),4)),999)),--($B$2:$B$99&lt;B75))+SUMPRODUCT(--ISNUMBER(SEARCH("WHEAT",$G$2:$G$99)),--($H$2:$H$99="OCCUPIED"),--($B$2:$B$99&lt;&gt;""),--(IFERROR(VALUE(LEFT(RIGHT($G$2:$G$99,7),4)),999)=IFERROR(VALUE(LEFT(RIGHT(G75,7),4)),999)),--($B$2:$B$99=B75),--(ROW($B$2:$B$99)&lt;=ROW())),""))</f>
        <v/>
      </c>
      <c r="R75" s="137">
        <f>IF(OR(B75="",G75="",H75&lt;&gt;"OCCUPIED"),"",IF(ISERROR(SEARCH("WHEAT",G75)),SUMPRODUCT(--ISERROR(SEARCH("WHEAT",$G$2:$G$99)),--($H$2:$H$99="OCCUPIED"),--($B$2:$B$99&lt;&gt;""),--(IFERROR(VALUE(LEFT(RIGHT($G$2:$G$99,7),4)),999)&lt;IFERROR(VALUE(LEFT(RIGHT(G75,7),4)),999)))+SUMPRODUCT(--ISERROR(SEARCH("WHEAT",$G$2:$G$99)),--($H$2:$H$99="OCCUPIED"),--($B$2:$B$99&lt;&gt;""),--(IFERROR(VALUE(LEFT(RIGHT($G$2:$G$99,7),4)),999)=IFERROR(VALUE(LEFT(RIGHT(G75,7),4)),999)),--($B$2:$B$99&lt;B75))+SUMPRODUCT(--ISERROR(SEARCH("WHEAT",$G$2:$G$99)),--($H$2:$H$99="OCCUPIED"),--($B$2:$B$99&lt;&gt;""),--(IFERROR(VALUE(LEFT(RIGHT($G$2:$G$99,7),4)),999)=IFERROR(VALUE(LEFT(RIGHT(G75,7),4)),999)),--($B$2:$B$99=B75),--(ROW($B$2:$B$99)&lt;=ROW())),""))</f>
        <v/>
      </c>
    </row>
    <row r="76" hidden="1" ht="15.75" customHeight="1" s="230">
      <c r="A76" s="174">
        <f>IF(D76="","",ROWS($D$2:D76))</f>
        <v/>
      </c>
      <c r="B76" s="175" t="n"/>
      <c r="C76" s="176" t="n"/>
      <c r="D76" s="176" t="n"/>
      <c r="E76" s="176" t="n"/>
      <c r="F76" s="177" t="n"/>
      <c r="G76" s="176" t="n"/>
      <c r="H76" s="174">
        <f>IF(AND(E76="",F76="",G76=""),"EMPTY","OCCUPIED")</f>
        <v/>
      </c>
      <c r="I76" s="136">
        <f>IF(B76="","",IF(ISNUMBER(B76),MAX(0,TODAY()-B76),""))</f>
        <v/>
      </c>
      <c r="J76" s="175" t="n"/>
      <c r="K76" s="175" t="n"/>
      <c r="L76" s="175" t="n"/>
      <c r="M76" s="136">
        <f>IF(AND(H76="OCCUPIED",ISNUMBER(J76),K76=""),1,0)</f>
        <v/>
      </c>
      <c r="N76" s="136">
        <f>IF(M76=1,COUNTIF($M$2:M76,1),"")</f>
        <v/>
      </c>
      <c r="O76" s="136">
        <f>IF(AND(H76="OCCUPIED",ISNUMBER(J76),K76=""),--(TODAY()-J76&gt;5),0)</f>
        <v/>
      </c>
      <c r="P76" s="136">
        <f>IF(O76=1,COUNTIF($O$2:O76,1),"")</f>
        <v/>
      </c>
      <c r="Q76" s="137">
        <f>IF(OR(B76="",G76="",H76&lt;&gt;"OCCUPIED"),"",IF(ISNUMBER(SEARCH("WHEAT",G76)),SUMPRODUCT(--ISNUMBER(SEARCH("WHEAT",$G$2:$G$99)),--($H$2:$H$99="OCCUPIED"),--($B$2:$B$99&lt;&gt;""),--(IFERROR(VALUE(LEFT(RIGHT($G$2:$G$99,7),4)),999)&lt;IFERROR(VALUE(LEFT(RIGHT(G76,7),4)),999)))+SUMPRODUCT(--ISNUMBER(SEARCH("WHEAT",$G$2:$G$99)),--($H$2:$H$99="OCCUPIED"),--($B$2:$B$99&lt;&gt;""),--(IFERROR(VALUE(LEFT(RIGHT($G$2:$G$99,7),4)),999)=IFERROR(VALUE(LEFT(RIGHT(G76,7),4)),999)),--($B$2:$B$99&lt;B76))+SUMPRODUCT(--ISNUMBER(SEARCH("WHEAT",$G$2:$G$99)),--($H$2:$H$99="OCCUPIED"),--($B$2:$B$99&lt;&gt;""),--(IFERROR(VALUE(LEFT(RIGHT($G$2:$G$99,7),4)),999)=IFERROR(VALUE(LEFT(RIGHT(G76,7),4)),999)),--($B$2:$B$99=B76),--(ROW($B$2:$B$99)&lt;=ROW())),""))</f>
        <v/>
      </c>
      <c r="R76" s="137">
        <f>IF(OR(B76="",G76="",H76&lt;&gt;"OCCUPIED"),"",IF(ISERROR(SEARCH("WHEAT",G76)),SUMPRODUCT(--ISERROR(SEARCH("WHEAT",$G$2:$G$99)),--($H$2:$H$99="OCCUPIED"),--($B$2:$B$99&lt;&gt;""),--(IFERROR(VALUE(LEFT(RIGHT($G$2:$G$99,7),4)),999)&lt;IFERROR(VALUE(LEFT(RIGHT(G76,7),4)),999)))+SUMPRODUCT(--ISERROR(SEARCH("WHEAT",$G$2:$G$99)),--($H$2:$H$99="OCCUPIED"),--($B$2:$B$99&lt;&gt;""),--(IFERROR(VALUE(LEFT(RIGHT($G$2:$G$99,7),4)),999)=IFERROR(VALUE(LEFT(RIGHT(G76,7),4)),999)),--($B$2:$B$99&lt;B76))+SUMPRODUCT(--ISERROR(SEARCH("WHEAT",$G$2:$G$99)),--($H$2:$H$99="OCCUPIED"),--($B$2:$B$99&lt;&gt;""),--(IFERROR(VALUE(LEFT(RIGHT($G$2:$G$99,7),4)),999)=IFERROR(VALUE(LEFT(RIGHT(G76,7),4)),999)),--($B$2:$B$99=B76),--(ROW($B$2:$B$99)&lt;=ROW())),""))</f>
        <v/>
      </c>
    </row>
    <row r="77" hidden="1" ht="15.75" customHeight="1" s="230">
      <c r="A77" s="174">
        <f>IF(D77="","",ROWS($D$2:D77))</f>
        <v/>
      </c>
      <c r="B77" s="175" t="n"/>
      <c r="C77" s="176" t="n"/>
      <c r="D77" s="176" t="n"/>
      <c r="E77" s="176" t="n"/>
      <c r="F77" s="177" t="n"/>
      <c r="G77" s="176" t="n"/>
      <c r="H77" s="174">
        <f>IF(AND(E77="",F77="",G77=""),"EMPTY","OCCUPIED")</f>
        <v/>
      </c>
      <c r="I77" s="136">
        <f>IF(B77="","",IF(ISNUMBER(B77),MAX(0,TODAY()-B77),""))</f>
        <v/>
      </c>
      <c r="J77" s="175" t="n"/>
      <c r="K77" s="175" t="n"/>
      <c r="L77" s="175" t="n"/>
      <c r="M77" s="136">
        <f>IF(AND(H77="OCCUPIED",ISNUMBER(J77),K77=""),1,0)</f>
        <v/>
      </c>
      <c r="N77" s="136">
        <f>IF(M77=1,COUNTIF($M$2:M77,1),"")</f>
        <v/>
      </c>
      <c r="O77" s="136">
        <f>IF(AND(H77="OCCUPIED",ISNUMBER(J77),K77=""),--(TODAY()-J77&gt;5),0)</f>
        <v/>
      </c>
      <c r="P77" s="136">
        <f>IF(O77=1,COUNTIF($O$2:O77,1),"")</f>
        <v/>
      </c>
      <c r="Q77" s="137">
        <f>IF(OR(B77="",G77="",H77&lt;&gt;"OCCUPIED"),"",IF(ISNUMBER(SEARCH("WHEAT",G77)),SUMPRODUCT(--ISNUMBER(SEARCH("WHEAT",$G$2:$G$99)),--($H$2:$H$99="OCCUPIED"),--($B$2:$B$99&lt;&gt;""),--(IFERROR(VALUE(LEFT(RIGHT($G$2:$G$99,7),4)),999)&lt;IFERROR(VALUE(LEFT(RIGHT(G77,7),4)),999)))+SUMPRODUCT(--ISNUMBER(SEARCH("WHEAT",$G$2:$G$99)),--($H$2:$H$99="OCCUPIED"),--($B$2:$B$99&lt;&gt;""),--(IFERROR(VALUE(LEFT(RIGHT($G$2:$G$99,7),4)),999)=IFERROR(VALUE(LEFT(RIGHT(G77,7),4)),999)),--($B$2:$B$99&lt;B77))+SUMPRODUCT(--ISNUMBER(SEARCH("WHEAT",$G$2:$G$99)),--($H$2:$H$99="OCCUPIED"),--($B$2:$B$99&lt;&gt;""),--(IFERROR(VALUE(LEFT(RIGHT($G$2:$G$99,7),4)),999)=IFERROR(VALUE(LEFT(RIGHT(G77,7),4)),999)),--($B$2:$B$99=B77),--(ROW($B$2:$B$99)&lt;=ROW())),""))</f>
        <v/>
      </c>
      <c r="R77" s="137">
        <f>IF(OR(B77="",G77="",H77&lt;&gt;"OCCUPIED"),"",IF(ISERROR(SEARCH("WHEAT",G77)),SUMPRODUCT(--ISERROR(SEARCH("WHEAT",$G$2:$G$99)),--($H$2:$H$99="OCCUPIED"),--($B$2:$B$99&lt;&gt;""),--(IFERROR(VALUE(LEFT(RIGHT($G$2:$G$99,7),4)),999)&lt;IFERROR(VALUE(LEFT(RIGHT(G77,7),4)),999)))+SUMPRODUCT(--ISERROR(SEARCH("WHEAT",$G$2:$G$99)),--($H$2:$H$99="OCCUPIED"),--($B$2:$B$99&lt;&gt;""),--(IFERROR(VALUE(LEFT(RIGHT($G$2:$G$99,7),4)),999)=IFERROR(VALUE(LEFT(RIGHT(G77,7),4)),999)),--($B$2:$B$99&lt;B77))+SUMPRODUCT(--ISERROR(SEARCH("WHEAT",$G$2:$G$99)),--($H$2:$H$99="OCCUPIED"),--($B$2:$B$99&lt;&gt;""),--(IFERROR(VALUE(LEFT(RIGHT($G$2:$G$99,7),4)),999)=IFERROR(VALUE(LEFT(RIGHT(G77,7),4)),999)),--($B$2:$B$99=B77),--(ROW($B$2:$B$99)&lt;=ROW())),""))</f>
        <v/>
      </c>
    </row>
    <row r="78" hidden="1" ht="15.75" customHeight="1" s="230">
      <c r="A78" s="174">
        <f>IF(D78="","",ROWS($D$2:D78))</f>
        <v/>
      </c>
      <c r="B78" s="175" t="n"/>
      <c r="C78" s="176" t="n"/>
      <c r="D78" s="176" t="n"/>
      <c r="E78" s="176" t="n"/>
      <c r="F78" s="177" t="n"/>
      <c r="G78" s="176" t="n"/>
      <c r="H78" s="174">
        <f>IF(AND(E78="",F78="",G78=""),"EMPTY","OCCUPIED")</f>
        <v/>
      </c>
      <c r="I78" s="136">
        <f>IF(B78="","",IF(ISNUMBER(B78),MAX(0,TODAY()-B78),""))</f>
        <v/>
      </c>
      <c r="J78" s="175" t="n"/>
      <c r="K78" s="175" t="n"/>
      <c r="L78" s="175" t="n"/>
      <c r="M78" s="136">
        <f>IF(AND(H78="OCCUPIED",ISNUMBER(J78),K78=""),1,0)</f>
        <v/>
      </c>
      <c r="N78" s="136">
        <f>IF(M78=1,COUNTIF($M$2:M78,1),"")</f>
        <v/>
      </c>
      <c r="O78" s="136">
        <f>IF(AND(H78="OCCUPIED",ISNUMBER(J78),K78=""),--(TODAY()-J78&gt;5),0)</f>
        <v/>
      </c>
      <c r="P78" s="136">
        <f>IF(O78=1,COUNTIF($O$2:O78,1),"")</f>
        <v/>
      </c>
      <c r="Q78" s="137">
        <f>IF(OR(B78="",G78="",H78&lt;&gt;"OCCUPIED"),"",IF(ISNUMBER(SEARCH("WHEAT",G78)),SUMPRODUCT(--ISNUMBER(SEARCH("WHEAT",$G$2:$G$99)),--($H$2:$H$99="OCCUPIED"),--($B$2:$B$99&lt;&gt;""),--(IFERROR(VALUE(LEFT(RIGHT($G$2:$G$99,7),4)),999)&lt;IFERROR(VALUE(LEFT(RIGHT(G78,7),4)),999)))+SUMPRODUCT(--ISNUMBER(SEARCH("WHEAT",$G$2:$G$99)),--($H$2:$H$99="OCCUPIED"),--($B$2:$B$99&lt;&gt;""),--(IFERROR(VALUE(LEFT(RIGHT($G$2:$G$99,7),4)),999)=IFERROR(VALUE(LEFT(RIGHT(G78,7),4)),999)),--($B$2:$B$99&lt;B78))+SUMPRODUCT(--ISNUMBER(SEARCH("WHEAT",$G$2:$G$99)),--($H$2:$H$99="OCCUPIED"),--($B$2:$B$99&lt;&gt;""),--(IFERROR(VALUE(LEFT(RIGHT($G$2:$G$99,7),4)),999)=IFERROR(VALUE(LEFT(RIGHT(G78,7),4)),999)),--($B$2:$B$99=B78),--(ROW($B$2:$B$99)&lt;=ROW())),""))</f>
        <v/>
      </c>
      <c r="R78" s="137">
        <f>IF(OR(B78="",G78="",H78&lt;&gt;"OCCUPIED"),"",IF(ISERROR(SEARCH("WHEAT",G78)),SUMPRODUCT(--ISERROR(SEARCH("WHEAT",$G$2:$G$99)),--($H$2:$H$99="OCCUPIED"),--($B$2:$B$99&lt;&gt;""),--(IFERROR(VALUE(LEFT(RIGHT($G$2:$G$99,7),4)),999)&lt;IFERROR(VALUE(LEFT(RIGHT(G78,7),4)),999)))+SUMPRODUCT(--ISERROR(SEARCH("WHEAT",$G$2:$G$99)),--($H$2:$H$99="OCCUPIED"),--($B$2:$B$99&lt;&gt;""),--(IFERROR(VALUE(LEFT(RIGHT($G$2:$G$99,7),4)),999)=IFERROR(VALUE(LEFT(RIGHT(G78,7),4)),999)),--($B$2:$B$99&lt;B78))+SUMPRODUCT(--ISERROR(SEARCH("WHEAT",$G$2:$G$99)),--($H$2:$H$99="OCCUPIED"),--($B$2:$B$99&lt;&gt;""),--(IFERROR(VALUE(LEFT(RIGHT($G$2:$G$99,7),4)),999)=IFERROR(VALUE(LEFT(RIGHT(G78,7),4)),999)),--($B$2:$B$99=B78),--(ROW($B$2:$B$99)&lt;=ROW())),""))</f>
        <v/>
      </c>
    </row>
    <row r="79" hidden="1" ht="15.75" customHeight="1" s="230">
      <c r="A79" s="174">
        <f>IF(D79="","",ROWS($D$2:D79))</f>
        <v/>
      </c>
      <c r="B79" s="175" t="n"/>
      <c r="C79" s="176" t="n"/>
      <c r="D79" s="176" t="n"/>
      <c r="E79" s="176" t="n"/>
      <c r="F79" s="177" t="n"/>
      <c r="G79" s="176" t="n"/>
      <c r="H79" s="174">
        <f>IF(AND(E79="",F79="",G79=""),"EMPTY","OCCUPIED")</f>
        <v/>
      </c>
      <c r="I79" s="136">
        <f>IF(B79="","",IF(ISNUMBER(B79),MAX(0,TODAY()-B79),""))</f>
        <v/>
      </c>
      <c r="J79" s="175" t="n"/>
      <c r="K79" s="175" t="n"/>
      <c r="L79" s="175" t="n"/>
      <c r="M79" s="136">
        <f>IF(AND(H79="OCCUPIED",ISNUMBER(J79),K79=""),1,0)</f>
        <v/>
      </c>
      <c r="N79" s="136">
        <f>IF(M79=1,COUNTIF($M$2:M79,1),"")</f>
        <v/>
      </c>
      <c r="O79" s="136">
        <f>IF(AND(H79="OCCUPIED",ISNUMBER(J79),K79=""),--(TODAY()-J79&gt;5),0)</f>
        <v/>
      </c>
      <c r="P79" s="136">
        <f>IF(O79=1,COUNTIF($O$2:O79,1),"")</f>
        <v/>
      </c>
      <c r="Q79" s="137">
        <f>IF(OR(B79="",G79="",H79&lt;&gt;"OCCUPIED"),"",IF(ISNUMBER(SEARCH("WHEAT",G79)),SUMPRODUCT(--ISNUMBER(SEARCH("WHEAT",$G$2:$G$99)),--($H$2:$H$99="OCCUPIED"),--($B$2:$B$99&lt;&gt;""),--(IFERROR(VALUE(LEFT(RIGHT($G$2:$G$99,7),4)),999)&lt;IFERROR(VALUE(LEFT(RIGHT(G79,7),4)),999)))+SUMPRODUCT(--ISNUMBER(SEARCH("WHEAT",$G$2:$G$99)),--($H$2:$H$99="OCCUPIED"),--($B$2:$B$99&lt;&gt;""),--(IFERROR(VALUE(LEFT(RIGHT($G$2:$G$99,7),4)),999)=IFERROR(VALUE(LEFT(RIGHT(G79,7),4)),999)),--($B$2:$B$99&lt;B79))+SUMPRODUCT(--ISNUMBER(SEARCH("WHEAT",$G$2:$G$99)),--($H$2:$H$99="OCCUPIED"),--($B$2:$B$99&lt;&gt;""),--(IFERROR(VALUE(LEFT(RIGHT($G$2:$G$99,7),4)),999)=IFERROR(VALUE(LEFT(RIGHT(G79,7),4)),999)),--($B$2:$B$99=B79),--(ROW($B$2:$B$99)&lt;=ROW())),""))</f>
        <v/>
      </c>
      <c r="R79" s="137">
        <f>IF(OR(B79="",G79="",H79&lt;&gt;"OCCUPIED"),"",IF(ISERROR(SEARCH("WHEAT",G79)),SUMPRODUCT(--ISERROR(SEARCH("WHEAT",$G$2:$G$99)),--($H$2:$H$99="OCCUPIED"),--($B$2:$B$99&lt;&gt;""),--(IFERROR(VALUE(LEFT(RIGHT($G$2:$G$99,7),4)),999)&lt;IFERROR(VALUE(LEFT(RIGHT(G79,7),4)),999)))+SUMPRODUCT(--ISERROR(SEARCH("WHEAT",$G$2:$G$99)),--($H$2:$H$99="OCCUPIED"),--($B$2:$B$99&lt;&gt;""),--(IFERROR(VALUE(LEFT(RIGHT($G$2:$G$99,7),4)),999)=IFERROR(VALUE(LEFT(RIGHT(G79,7),4)),999)),--($B$2:$B$99&lt;B79))+SUMPRODUCT(--ISERROR(SEARCH("WHEAT",$G$2:$G$99)),--($H$2:$H$99="OCCUPIED"),--($B$2:$B$99&lt;&gt;""),--(IFERROR(VALUE(LEFT(RIGHT($G$2:$G$99,7),4)),999)=IFERROR(VALUE(LEFT(RIGHT(G79,7),4)),999)),--($B$2:$B$99=B79),--(ROW($B$2:$B$99)&lt;=ROW())),""))</f>
        <v/>
      </c>
    </row>
    <row r="80" hidden="1" ht="15.75" customHeight="1" s="230">
      <c r="A80" s="174">
        <f>IF(D80="","",ROWS($D$2:D80))</f>
        <v/>
      </c>
      <c r="B80" s="175" t="n"/>
      <c r="C80" s="176" t="n"/>
      <c r="D80" s="176" t="n"/>
      <c r="E80" s="176" t="n"/>
      <c r="F80" s="177" t="n"/>
      <c r="G80" s="176" t="n"/>
      <c r="H80" s="174">
        <f>IF(AND(E80="",F80="",G80=""),"EMPTY","OCCUPIED")</f>
        <v/>
      </c>
      <c r="I80" s="136">
        <f>IF(B80="","",IF(ISNUMBER(B80),MAX(0,TODAY()-B80),""))</f>
        <v/>
      </c>
      <c r="J80" s="175" t="n"/>
      <c r="K80" s="175" t="n"/>
      <c r="L80" s="175" t="n"/>
      <c r="M80" s="136">
        <f>IF(AND(H80="OCCUPIED",ISNUMBER(J80),K80=""),1,0)</f>
        <v/>
      </c>
      <c r="N80" s="136">
        <f>IF(M80=1,COUNTIF($M$2:M80,1),"")</f>
        <v/>
      </c>
      <c r="O80" s="136">
        <f>IF(AND(H80="OCCUPIED",ISNUMBER(J80),K80=""),--(TODAY()-J80&gt;5),0)</f>
        <v/>
      </c>
      <c r="P80" s="136">
        <f>IF(O80=1,COUNTIF($O$2:O80,1),"")</f>
        <v/>
      </c>
      <c r="Q80" s="137">
        <f>IF(OR(B80="",G80="",H80&lt;&gt;"OCCUPIED"),"",IF(ISNUMBER(SEARCH("WHEAT",G80)),SUMPRODUCT(--ISNUMBER(SEARCH("WHEAT",$G$2:$G$99)),--($H$2:$H$99="OCCUPIED"),--($B$2:$B$99&lt;&gt;""),--(IFERROR(VALUE(LEFT(RIGHT($G$2:$G$99,7),4)),999)&lt;IFERROR(VALUE(LEFT(RIGHT(G80,7),4)),999)))+SUMPRODUCT(--ISNUMBER(SEARCH("WHEAT",$G$2:$G$99)),--($H$2:$H$99="OCCUPIED"),--($B$2:$B$99&lt;&gt;""),--(IFERROR(VALUE(LEFT(RIGHT($G$2:$G$99,7),4)),999)=IFERROR(VALUE(LEFT(RIGHT(G80,7),4)),999)),--($B$2:$B$99&lt;B80))+SUMPRODUCT(--ISNUMBER(SEARCH("WHEAT",$G$2:$G$99)),--($H$2:$H$99="OCCUPIED"),--($B$2:$B$99&lt;&gt;""),--(IFERROR(VALUE(LEFT(RIGHT($G$2:$G$99,7),4)),999)=IFERROR(VALUE(LEFT(RIGHT(G80,7),4)),999)),--($B$2:$B$99=B80),--(ROW($B$2:$B$99)&lt;=ROW())),""))</f>
        <v/>
      </c>
      <c r="R80" s="137">
        <f>IF(OR(B80="",G80="",H80&lt;&gt;"OCCUPIED"),"",IF(ISERROR(SEARCH("WHEAT",G80)),SUMPRODUCT(--ISERROR(SEARCH("WHEAT",$G$2:$G$99)),--($H$2:$H$99="OCCUPIED"),--($B$2:$B$99&lt;&gt;""),--(IFERROR(VALUE(LEFT(RIGHT($G$2:$G$99,7),4)),999)&lt;IFERROR(VALUE(LEFT(RIGHT(G80,7),4)),999)))+SUMPRODUCT(--ISERROR(SEARCH("WHEAT",$G$2:$G$99)),--($H$2:$H$99="OCCUPIED"),--($B$2:$B$99&lt;&gt;""),--(IFERROR(VALUE(LEFT(RIGHT($G$2:$G$99,7),4)),999)=IFERROR(VALUE(LEFT(RIGHT(G80,7),4)),999)),--($B$2:$B$99&lt;B80))+SUMPRODUCT(--ISERROR(SEARCH("WHEAT",$G$2:$G$99)),--($H$2:$H$99="OCCUPIED"),--($B$2:$B$99&lt;&gt;""),--(IFERROR(VALUE(LEFT(RIGHT($G$2:$G$99,7),4)),999)=IFERROR(VALUE(LEFT(RIGHT(G80,7),4)),999)),--($B$2:$B$99=B80),--(ROW($B$2:$B$99)&lt;=ROW())),""))</f>
        <v/>
      </c>
    </row>
    <row r="81" hidden="1" ht="15.75" customHeight="1" s="230">
      <c r="A81" s="174">
        <f>IF(D81="","",ROWS($D$2:D81))</f>
        <v/>
      </c>
      <c r="B81" s="175" t="n"/>
      <c r="C81" s="176" t="n"/>
      <c r="D81" s="176" t="n"/>
      <c r="E81" s="176" t="n"/>
      <c r="F81" s="177" t="n"/>
      <c r="G81" s="176" t="n"/>
      <c r="H81" s="174">
        <f>IF(AND(E81="",F81="",G81=""),"EMPTY","OCCUPIED")</f>
        <v/>
      </c>
      <c r="I81" s="136">
        <f>IF(B81="","",IF(ISNUMBER(B81),MAX(0,TODAY()-B81),""))</f>
        <v/>
      </c>
      <c r="J81" s="175" t="n"/>
      <c r="K81" s="175" t="n"/>
      <c r="L81" s="175" t="n"/>
      <c r="M81" s="136">
        <f>IF(AND(H81="OCCUPIED",ISNUMBER(J81),K81=""),1,0)</f>
        <v/>
      </c>
      <c r="N81" s="136">
        <f>IF(M81=1,COUNTIF($M$2:M81,1),"")</f>
        <v/>
      </c>
      <c r="O81" s="136">
        <f>IF(AND(H81="OCCUPIED",ISNUMBER(J81),K81=""),--(TODAY()-J81&gt;5),0)</f>
        <v/>
      </c>
      <c r="P81" s="136">
        <f>IF(O81=1,COUNTIF($O$2:O81,1),"")</f>
        <v/>
      </c>
      <c r="Q81" s="137">
        <f>IF(OR(B81="",G81="",H81&lt;&gt;"OCCUPIED"),"",IF(ISNUMBER(SEARCH("WHEAT",G81)),SUMPRODUCT(--ISNUMBER(SEARCH("WHEAT",$G$2:$G$99)),--($H$2:$H$99="OCCUPIED"),--($B$2:$B$99&lt;&gt;""),--(IFERROR(VALUE(LEFT(RIGHT($G$2:$G$99,7),4)),999)&lt;IFERROR(VALUE(LEFT(RIGHT(G81,7),4)),999)))+SUMPRODUCT(--ISNUMBER(SEARCH("WHEAT",$G$2:$G$99)),--($H$2:$H$99="OCCUPIED"),--($B$2:$B$99&lt;&gt;""),--(IFERROR(VALUE(LEFT(RIGHT($G$2:$G$99,7),4)),999)=IFERROR(VALUE(LEFT(RIGHT(G81,7),4)),999)),--($B$2:$B$99&lt;B81))+SUMPRODUCT(--ISNUMBER(SEARCH("WHEAT",$G$2:$G$99)),--($H$2:$H$99="OCCUPIED"),--($B$2:$B$99&lt;&gt;""),--(IFERROR(VALUE(LEFT(RIGHT($G$2:$G$99,7),4)),999)=IFERROR(VALUE(LEFT(RIGHT(G81,7),4)),999)),--($B$2:$B$99=B81),--(ROW($B$2:$B$99)&lt;=ROW())),""))</f>
        <v/>
      </c>
      <c r="R81" s="137">
        <f>IF(OR(B81="",G81="",H81&lt;&gt;"OCCUPIED"),"",IF(ISERROR(SEARCH("WHEAT",G81)),SUMPRODUCT(--ISERROR(SEARCH("WHEAT",$G$2:$G$99)),--($H$2:$H$99="OCCUPIED"),--($B$2:$B$99&lt;&gt;""),--(IFERROR(VALUE(LEFT(RIGHT($G$2:$G$99,7),4)),999)&lt;IFERROR(VALUE(LEFT(RIGHT(G81,7),4)),999)))+SUMPRODUCT(--ISERROR(SEARCH("WHEAT",$G$2:$G$99)),--($H$2:$H$99="OCCUPIED"),--($B$2:$B$99&lt;&gt;""),--(IFERROR(VALUE(LEFT(RIGHT($G$2:$G$99,7),4)),999)=IFERROR(VALUE(LEFT(RIGHT(G81,7),4)),999)),--($B$2:$B$99&lt;B81))+SUMPRODUCT(--ISERROR(SEARCH("WHEAT",$G$2:$G$99)),--($H$2:$H$99="OCCUPIED"),--($B$2:$B$99&lt;&gt;""),--(IFERROR(VALUE(LEFT(RIGHT($G$2:$G$99,7),4)),999)=IFERROR(VALUE(LEFT(RIGHT(G81,7),4)),999)),--($B$2:$B$99=B81),--(ROW($B$2:$B$99)&lt;=ROW())),""))</f>
        <v/>
      </c>
    </row>
    <row r="82" hidden="1" ht="15.75" customHeight="1" s="230">
      <c r="A82" s="174">
        <f>IF(D82="","",ROWS($D$2:D82))</f>
        <v/>
      </c>
      <c r="B82" s="175" t="n"/>
      <c r="C82" s="176" t="n"/>
      <c r="D82" s="176" t="n"/>
      <c r="E82" s="176" t="n"/>
      <c r="F82" s="177" t="n"/>
      <c r="G82" s="176" t="n"/>
      <c r="H82" s="174">
        <f>IF(AND(E82="",F82="",G82=""),"EMPTY","OCCUPIED")</f>
        <v/>
      </c>
      <c r="I82" s="136">
        <f>IF(B82="","",IF(ISNUMBER(B82),MAX(0,TODAY()-B82),""))</f>
        <v/>
      </c>
      <c r="J82" s="175" t="n"/>
      <c r="K82" s="175" t="n"/>
      <c r="L82" s="175" t="n"/>
      <c r="M82" s="136">
        <f>IF(AND(H82="OCCUPIED",ISNUMBER(J82),K82=""),1,0)</f>
        <v/>
      </c>
      <c r="N82" s="136">
        <f>IF(M82=1,COUNTIF($M$2:M82,1),"")</f>
        <v/>
      </c>
      <c r="O82" s="136">
        <f>IF(AND(H82="OCCUPIED",ISNUMBER(J82),K82=""),--(TODAY()-J82&gt;5),0)</f>
        <v/>
      </c>
      <c r="P82" s="136">
        <f>IF(O82=1,COUNTIF($O$2:O82,1),"")</f>
        <v/>
      </c>
      <c r="Q82" s="137">
        <f>IF(OR(B82="",G82="",H82&lt;&gt;"OCCUPIED"),"",IF(ISNUMBER(SEARCH("WHEAT",G82)),SUMPRODUCT(--ISNUMBER(SEARCH("WHEAT",$G$2:$G$99)),--($H$2:$H$99="OCCUPIED"),--($B$2:$B$99&lt;&gt;""),--(IFERROR(VALUE(LEFT(RIGHT($G$2:$G$99,7),4)),999)&lt;IFERROR(VALUE(LEFT(RIGHT(G82,7),4)),999)))+SUMPRODUCT(--ISNUMBER(SEARCH("WHEAT",$G$2:$G$99)),--($H$2:$H$99="OCCUPIED"),--($B$2:$B$99&lt;&gt;""),--(IFERROR(VALUE(LEFT(RIGHT($G$2:$G$99,7),4)),999)=IFERROR(VALUE(LEFT(RIGHT(G82,7),4)),999)),--($B$2:$B$99&lt;B82))+SUMPRODUCT(--ISNUMBER(SEARCH("WHEAT",$G$2:$G$99)),--($H$2:$H$99="OCCUPIED"),--($B$2:$B$99&lt;&gt;""),--(IFERROR(VALUE(LEFT(RIGHT($G$2:$G$99,7),4)),999)=IFERROR(VALUE(LEFT(RIGHT(G82,7),4)),999)),--($B$2:$B$99=B82),--(ROW($B$2:$B$99)&lt;=ROW())),""))</f>
        <v/>
      </c>
      <c r="R82" s="137">
        <f>IF(OR(B82="",G82="",H82&lt;&gt;"OCCUPIED"),"",IF(ISERROR(SEARCH("WHEAT",G82)),SUMPRODUCT(--ISERROR(SEARCH("WHEAT",$G$2:$G$99)),--($H$2:$H$99="OCCUPIED"),--($B$2:$B$99&lt;&gt;""),--(IFERROR(VALUE(LEFT(RIGHT($G$2:$G$99,7),4)),999)&lt;IFERROR(VALUE(LEFT(RIGHT(G82,7),4)),999)))+SUMPRODUCT(--ISERROR(SEARCH("WHEAT",$G$2:$G$99)),--($H$2:$H$99="OCCUPIED"),--($B$2:$B$99&lt;&gt;""),--(IFERROR(VALUE(LEFT(RIGHT($G$2:$G$99,7),4)),999)=IFERROR(VALUE(LEFT(RIGHT(G82,7),4)),999)),--($B$2:$B$99&lt;B82))+SUMPRODUCT(--ISERROR(SEARCH("WHEAT",$G$2:$G$99)),--($H$2:$H$99="OCCUPIED"),--($B$2:$B$99&lt;&gt;""),--(IFERROR(VALUE(LEFT(RIGHT($G$2:$G$99,7),4)),999)=IFERROR(VALUE(LEFT(RIGHT(G82,7),4)),999)),--($B$2:$B$99=B82),--(ROW($B$2:$B$99)&lt;=ROW())),""))</f>
        <v/>
      </c>
    </row>
    <row r="83" hidden="1" ht="15.75" customHeight="1" s="230">
      <c r="A83" s="174">
        <f>IF(D83="","",ROWS($D$2:D83))</f>
        <v/>
      </c>
      <c r="B83" s="175" t="n"/>
      <c r="C83" s="176" t="n"/>
      <c r="D83" s="176" t="n"/>
      <c r="E83" s="176" t="n"/>
      <c r="F83" s="177" t="n"/>
      <c r="G83" s="176" t="n"/>
      <c r="H83" s="174">
        <f>IF(AND(E83="",F83="",G83=""),"EMPTY","OCCUPIED")</f>
        <v/>
      </c>
      <c r="I83" s="136">
        <f>IF(B83="","",IF(ISNUMBER(B83),MAX(0,TODAY()-B83),""))</f>
        <v/>
      </c>
      <c r="J83" s="175" t="n"/>
      <c r="K83" s="175" t="n"/>
      <c r="L83" s="175" t="n"/>
      <c r="M83" s="136">
        <f>IF(AND(H83="OCCUPIED",ISNUMBER(J83),K83=""),1,0)</f>
        <v/>
      </c>
      <c r="N83" s="136">
        <f>IF(M83=1,COUNTIF($M$2:M83,1),"")</f>
        <v/>
      </c>
      <c r="O83" s="136">
        <f>IF(AND(H83="OCCUPIED",ISNUMBER(J83),K83=""),--(TODAY()-J83&gt;5),0)</f>
        <v/>
      </c>
      <c r="P83" s="136">
        <f>IF(O83=1,COUNTIF($O$2:O83,1),"")</f>
        <v/>
      </c>
      <c r="Q83" s="137">
        <f>IF(OR(B83="",G83="",H83&lt;&gt;"OCCUPIED"),"",IF(ISNUMBER(SEARCH("WHEAT",G83)),SUMPRODUCT(--ISNUMBER(SEARCH("WHEAT",$G$2:$G$99)),--($H$2:$H$99="OCCUPIED"),--($B$2:$B$99&lt;&gt;""),--(IFERROR(VALUE(LEFT(RIGHT($G$2:$G$99,7),4)),999)&lt;IFERROR(VALUE(LEFT(RIGHT(G83,7),4)),999)))+SUMPRODUCT(--ISNUMBER(SEARCH("WHEAT",$G$2:$G$99)),--($H$2:$H$99="OCCUPIED"),--($B$2:$B$99&lt;&gt;""),--(IFERROR(VALUE(LEFT(RIGHT($G$2:$G$99,7),4)),999)=IFERROR(VALUE(LEFT(RIGHT(G83,7),4)),999)),--($B$2:$B$99&lt;B83))+SUMPRODUCT(--ISNUMBER(SEARCH("WHEAT",$G$2:$G$99)),--($H$2:$H$99="OCCUPIED"),--($B$2:$B$99&lt;&gt;""),--(IFERROR(VALUE(LEFT(RIGHT($G$2:$G$99,7),4)),999)=IFERROR(VALUE(LEFT(RIGHT(G83,7),4)),999)),--($B$2:$B$99=B83),--(ROW($B$2:$B$99)&lt;=ROW())),""))</f>
        <v/>
      </c>
      <c r="R83" s="137">
        <f>IF(OR(B83="",G83="",H83&lt;&gt;"OCCUPIED"),"",IF(ISERROR(SEARCH("WHEAT",G83)),SUMPRODUCT(--ISERROR(SEARCH("WHEAT",$G$2:$G$99)),--($H$2:$H$99="OCCUPIED"),--($B$2:$B$99&lt;&gt;""),--(IFERROR(VALUE(LEFT(RIGHT($G$2:$G$99,7),4)),999)&lt;IFERROR(VALUE(LEFT(RIGHT(G83,7),4)),999)))+SUMPRODUCT(--ISERROR(SEARCH("WHEAT",$G$2:$G$99)),--($H$2:$H$99="OCCUPIED"),--($B$2:$B$99&lt;&gt;""),--(IFERROR(VALUE(LEFT(RIGHT($G$2:$G$99,7),4)),999)=IFERROR(VALUE(LEFT(RIGHT(G83,7),4)),999)),--($B$2:$B$99&lt;B83))+SUMPRODUCT(--ISERROR(SEARCH("WHEAT",$G$2:$G$99)),--($H$2:$H$99="OCCUPIED"),--($B$2:$B$99&lt;&gt;""),--(IFERROR(VALUE(LEFT(RIGHT($G$2:$G$99,7),4)),999)=IFERROR(VALUE(LEFT(RIGHT(G83,7),4)),999)),--($B$2:$B$99=B83),--(ROW($B$2:$B$99)&lt;=ROW())),""))</f>
        <v/>
      </c>
    </row>
    <row r="84" hidden="1" ht="15.75" customHeight="1" s="230">
      <c r="A84" s="174">
        <f>IF(D84="","",ROWS($D$2:D84))</f>
        <v/>
      </c>
      <c r="B84" s="175" t="n"/>
      <c r="C84" s="176" t="n"/>
      <c r="D84" s="176" t="n"/>
      <c r="E84" s="176" t="n"/>
      <c r="F84" s="177" t="n"/>
      <c r="G84" s="176" t="n"/>
      <c r="H84" s="174">
        <f>IF(AND(E84="",F84="",G84=""),"EMPTY","OCCUPIED")</f>
        <v/>
      </c>
      <c r="I84" s="136">
        <f>IF(B84="","",IF(ISNUMBER(B84),MAX(0,TODAY()-B84),""))</f>
        <v/>
      </c>
      <c r="J84" s="175" t="n"/>
      <c r="K84" s="175" t="n"/>
      <c r="L84" s="175" t="n"/>
      <c r="M84" s="136">
        <f>IF(AND(H84="OCCUPIED",ISNUMBER(J84),K84=""),1,0)</f>
        <v/>
      </c>
      <c r="N84" s="136">
        <f>IF(M84=1,COUNTIF($M$2:M84,1),"")</f>
        <v/>
      </c>
      <c r="O84" s="136">
        <f>IF(AND(H84="OCCUPIED",ISNUMBER(J84),K84=""),--(TODAY()-J84&gt;5),0)</f>
        <v/>
      </c>
      <c r="P84" s="136">
        <f>IF(O84=1,COUNTIF($O$2:O84,1),"")</f>
        <v/>
      </c>
      <c r="Q84" s="137">
        <f>IF(OR(B84="",G84="",H84&lt;&gt;"OCCUPIED"),"",IF(ISNUMBER(SEARCH("WHEAT",G84)),SUMPRODUCT(--ISNUMBER(SEARCH("WHEAT",$G$2:$G$99)),--($H$2:$H$99="OCCUPIED"),--($B$2:$B$99&lt;&gt;""),--(IFERROR(VALUE(LEFT(RIGHT($G$2:$G$99,7),4)),999)&lt;IFERROR(VALUE(LEFT(RIGHT(G84,7),4)),999)))+SUMPRODUCT(--ISNUMBER(SEARCH("WHEAT",$G$2:$G$99)),--($H$2:$H$99="OCCUPIED"),--($B$2:$B$99&lt;&gt;""),--(IFERROR(VALUE(LEFT(RIGHT($G$2:$G$99,7),4)),999)=IFERROR(VALUE(LEFT(RIGHT(G84,7),4)),999)),--($B$2:$B$99&lt;B84))+SUMPRODUCT(--ISNUMBER(SEARCH("WHEAT",$G$2:$G$99)),--($H$2:$H$99="OCCUPIED"),--($B$2:$B$99&lt;&gt;""),--(IFERROR(VALUE(LEFT(RIGHT($G$2:$G$99,7),4)),999)=IFERROR(VALUE(LEFT(RIGHT(G84,7),4)),999)),--($B$2:$B$99=B84),--(ROW($B$2:$B$99)&lt;=ROW())),""))</f>
        <v/>
      </c>
      <c r="R84" s="137">
        <f>IF(OR(B84="",G84="",H84&lt;&gt;"OCCUPIED"),"",IF(ISERROR(SEARCH("WHEAT",G84)),SUMPRODUCT(--ISERROR(SEARCH("WHEAT",$G$2:$G$99)),--($H$2:$H$99="OCCUPIED"),--($B$2:$B$99&lt;&gt;""),--(IFERROR(VALUE(LEFT(RIGHT($G$2:$G$99,7),4)),999)&lt;IFERROR(VALUE(LEFT(RIGHT(G84,7),4)),999)))+SUMPRODUCT(--ISERROR(SEARCH("WHEAT",$G$2:$G$99)),--($H$2:$H$99="OCCUPIED"),--($B$2:$B$99&lt;&gt;""),--(IFERROR(VALUE(LEFT(RIGHT($G$2:$G$99,7),4)),999)=IFERROR(VALUE(LEFT(RIGHT(G84,7),4)),999)),--($B$2:$B$99&lt;B84))+SUMPRODUCT(--ISERROR(SEARCH("WHEAT",$G$2:$G$99)),--($H$2:$H$99="OCCUPIED"),--($B$2:$B$99&lt;&gt;""),--(IFERROR(VALUE(LEFT(RIGHT($G$2:$G$99,7),4)),999)=IFERROR(VALUE(LEFT(RIGHT(G84,7),4)),999)),--($B$2:$B$99=B84),--(ROW($B$2:$B$99)&lt;=ROW())),""))</f>
        <v/>
      </c>
    </row>
    <row r="85" hidden="1" ht="15.75" customHeight="1" s="230">
      <c r="A85" s="174">
        <f>IF(D85="","",ROWS($D$2:D85))</f>
        <v/>
      </c>
      <c r="B85" s="175" t="n"/>
      <c r="C85" s="176" t="n"/>
      <c r="D85" s="176" t="n"/>
      <c r="E85" s="176" t="n"/>
      <c r="F85" s="177" t="n"/>
      <c r="G85" s="176" t="n"/>
      <c r="H85" s="174">
        <f>IF(AND(E85="",F85="",G85=""),"EMPTY","OCCUPIED")</f>
        <v/>
      </c>
      <c r="I85" s="136">
        <f>IF(B85="","",IF(ISNUMBER(B85),MAX(0,TODAY()-B85),""))</f>
        <v/>
      </c>
      <c r="J85" s="175" t="n"/>
      <c r="K85" s="175" t="n"/>
      <c r="L85" s="175" t="n"/>
      <c r="M85" s="136">
        <f>IF(AND(H85="OCCUPIED",ISNUMBER(J85),K85=""),1,0)</f>
        <v/>
      </c>
      <c r="N85" s="136">
        <f>IF(M85=1,COUNTIF($M$2:M85,1),"")</f>
        <v/>
      </c>
      <c r="O85" s="136">
        <f>IF(AND(H85="OCCUPIED",ISNUMBER(J85),K85=""),--(TODAY()-J85&gt;5),0)</f>
        <v/>
      </c>
      <c r="P85" s="136">
        <f>IF(O85=1,COUNTIF($O$2:O85,1),"")</f>
        <v/>
      </c>
      <c r="Q85" s="137">
        <f>IF(OR(B85="",G85="",H85&lt;&gt;"OCCUPIED"),"",IF(ISNUMBER(SEARCH("WHEAT",G85)),SUMPRODUCT(--ISNUMBER(SEARCH("WHEAT",$G$2:$G$99)),--($H$2:$H$99="OCCUPIED"),--($B$2:$B$99&lt;&gt;""),--(IFERROR(VALUE(LEFT(RIGHT($G$2:$G$99,7),4)),999)&lt;IFERROR(VALUE(LEFT(RIGHT(G85,7),4)),999)))+SUMPRODUCT(--ISNUMBER(SEARCH("WHEAT",$G$2:$G$99)),--($H$2:$H$99="OCCUPIED"),--($B$2:$B$99&lt;&gt;""),--(IFERROR(VALUE(LEFT(RIGHT($G$2:$G$99,7),4)),999)=IFERROR(VALUE(LEFT(RIGHT(G85,7),4)),999)),--($B$2:$B$99&lt;B85))+SUMPRODUCT(--ISNUMBER(SEARCH("WHEAT",$G$2:$G$99)),--($H$2:$H$99="OCCUPIED"),--($B$2:$B$99&lt;&gt;""),--(IFERROR(VALUE(LEFT(RIGHT($G$2:$G$99,7),4)),999)=IFERROR(VALUE(LEFT(RIGHT(G85,7),4)),999)),--($B$2:$B$99=B85),--(ROW($B$2:$B$99)&lt;=ROW())),""))</f>
        <v/>
      </c>
      <c r="R85" s="137">
        <f>IF(OR(B85="",G85="",H85&lt;&gt;"OCCUPIED"),"",IF(ISERROR(SEARCH("WHEAT",G85)),SUMPRODUCT(--ISERROR(SEARCH("WHEAT",$G$2:$G$99)),--($H$2:$H$99="OCCUPIED"),--($B$2:$B$99&lt;&gt;""),--(IFERROR(VALUE(LEFT(RIGHT($G$2:$G$99,7),4)),999)&lt;IFERROR(VALUE(LEFT(RIGHT(G85,7),4)),999)))+SUMPRODUCT(--ISERROR(SEARCH("WHEAT",$G$2:$G$99)),--($H$2:$H$99="OCCUPIED"),--($B$2:$B$99&lt;&gt;""),--(IFERROR(VALUE(LEFT(RIGHT($G$2:$G$99,7),4)),999)=IFERROR(VALUE(LEFT(RIGHT(G85,7),4)),999)),--($B$2:$B$99&lt;B85))+SUMPRODUCT(--ISERROR(SEARCH("WHEAT",$G$2:$G$99)),--($H$2:$H$99="OCCUPIED"),--($B$2:$B$99&lt;&gt;""),--(IFERROR(VALUE(LEFT(RIGHT($G$2:$G$99,7),4)),999)=IFERROR(VALUE(LEFT(RIGHT(G85,7),4)),999)),--($B$2:$B$99=B85),--(ROW($B$2:$B$99)&lt;=ROW())),""))</f>
        <v/>
      </c>
    </row>
    <row r="86" hidden="1" ht="15.75" customHeight="1" s="230">
      <c r="A86" s="174">
        <f>IF(D86="","",ROWS($D$2:D86))</f>
        <v/>
      </c>
      <c r="B86" s="175" t="n"/>
      <c r="C86" s="176" t="n"/>
      <c r="D86" s="176" t="n"/>
      <c r="E86" s="176" t="n"/>
      <c r="F86" s="177" t="n"/>
      <c r="G86" s="176" t="n"/>
      <c r="H86" s="174">
        <f>IF(AND(E86="",F86="",G86=""),"EMPTY","OCCUPIED")</f>
        <v/>
      </c>
      <c r="I86" s="136">
        <f>IF(B86="","",IF(ISNUMBER(B86),MAX(0,TODAY()-B86),""))</f>
        <v/>
      </c>
      <c r="J86" s="175" t="n"/>
      <c r="K86" s="175" t="n"/>
      <c r="L86" s="175" t="n"/>
      <c r="M86" s="136">
        <f>IF(AND(H86="OCCUPIED",ISNUMBER(J86),K86=""),1,0)</f>
        <v/>
      </c>
      <c r="N86" s="136">
        <f>IF(M86=1,COUNTIF($M$2:M86,1),"")</f>
        <v/>
      </c>
      <c r="O86" s="136">
        <f>IF(AND(H86="OCCUPIED",ISNUMBER(J86),K86=""),--(TODAY()-J86&gt;5),0)</f>
        <v/>
      </c>
      <c r="P86" s="136">
        <f>IF(O86=1,COUNTIF($O$2:O86,1),"")</f>
        <v/>
      </c>
      <c r="Q86" s="137">
        <f>IF(OR(B86="",G86="",H86&lt;&gt;"OCCUPIED"),"",IF(ISNUMBER(SEARCH("WHEAT",G86)),SUMPRODUCT(--ISNUMBER(SEARCH("WHEAT",$G$2:$G$99)),--($H$2:$H$99="OCCUPIED"),--($B$2:$B$99&lt;&gt;""),--(IFERROR(VALUE(LEFT(RIGHT($G$2:$G$99,7),4)),999)&lt;IFERROR(VALUE(LEFT(RIGHT(G86,7),4)),999)))+SUMPRODUCT(--ISNUMBER(SEARCH("WHEAT",$G$2:$G$99)),--($H$2:$H$99="OCCUPIED"),--($B$2:$B$99&lt;&gt;""),--(IFERROR(VALUE(LEFT(RIGHT($G$2:$G$99,7),4)),999)=IFERROR(VALUE(LEFT(RIGHT(G86,7),4)),999)),--($B$2:$B$99&lt;B86))+SUMPRODUCT(--ISNUMBER(SEARCH("WHEAT",$G$2:$G$99)),--($H$2:$H$99="OCCUPIED"),--($B$2:$B$99&lt;&gt;""),--(IFERROR(VALUE(LEFT(RIGHT($G$2:$G$99,7),4)),999)=IFERROR(VALUE(LEFT(RIGHT(G86,7),4)),999)),--($B$2:$B$99=B86),--(ROW($B$2:$B$99)&lt;=ROW())),""))</f>
        <v/>
      </c>
      <c r="R86" s="137">
        <f>IF(OR(B86="",G86="",H86&lt;&gt;"OCCUPIED"),"",IF(ISERROR(SEARCH("WHEAT",G86)),SUMPRODUCT(--ISERROR(SEARCH("WHEAT",$G$2:$G$99)),--($H$2:$H$99="OCCUPIED"),--($B$2:$B$99&lt;&gt;""),--(IFERROR(VALUE(LEFT(RIGHT($G$2:$G$99,7),4)),999)&lt;IFERROR(VALUE(LEFT(RIGHT(G86,7),4)),999)))+SUMPRODUCT(--ISERROR(SEARCH("WHEAT",$G$2:$G$99)),--($H$2:$H$99="OCCUPIED"),--($B$2:$B$99&lt;&gt;""),--(IFERROR(VALUE(LEFT(RIGHT($G$2:$G$99,7),4)),999)=IFERROR(VALUE(LEFT(RIGHT(G86,7),4)),999)),--($B$2:$B$99&lt;B86))+SUMPRODUCT(--ISERROR(SEARCH("WHEAT",$G$2:$G$99)),--($H$2:$H$99="OCCUPIED"),--($B$2:$B$99&lt;&gt;""),--(IFERROR(VALUE(LEFT(RIGHT($G$2:$G$99,7),4)),999)=IFERROR(VALUE(LEFT(RIGHT(G86,7),4)),999)),--($B$2:$B$99=B86),--(ROW($B$2:$B$99)&lt;=ROW())),""))</f>
        <v/>
      </c>
    </row>
    <row r="87" hidden="1" ht="15.75" customHeight="1" s="230">
      <c r="A87" s="174">
        <f>IF(D87="","",ROWS($D$2:D87))</f>
        <v/>
      </c>
      <c r="B87" s="175" t="n"/>
      <c r="C87" s="176" t="n"/>
      <c r="D87" s="176" t="n"/>
      <c r="E87" s="176" t="n"/>
      <c r="F87" s="177" t="n"/>
      <c r="G87" s="176" t="n"/>
      <c r="H87" s="174">
        <f>IF(AND(E87="",F87="",G87=""),"EMPTY","OCCUPIED")</f>
        <v/>
      </c>
      <c r="I87" s="136">
        <f>IF(B87="","",IF(ISNUMBER(B87),MAX(0,TODAY()-B87),""))</f>
        <v/>
      </c>
      <c r="J87" s="175" t="n"/>
      <c r="K87" s="175" t="n"/>
      <c r="L87" s="175" t="n"/>
      <c r="M87" s="136">
        <f>IF(AND(H87="OCCUPIED",ISNUMBER(J87),K87=""),1,0)</f>
        <v/>
      </c>
      <c r="N87" s="136">
        <f>IF(M87=1,COUNTIF($M$2:M87,1),"")</f>
        <v/>
      </c>
      <c r="O87" s="136">
        <f>IF(AND(H87="OCCUPIED",ISNUMBER(J87),K87=""),--(TODAY()-J87&gt;5),0)</f>
        <v/>
      </c>
      <c r="P87" s="136">
        <f>IF(O87=1,COUNTIF($O$2:O87,1),"")</f>
        <v/>
      </c>
      <c r="Q87" s="137">
        <f>IF(OR(B87="",G87="",H87&lt;&gt;"OCCUPIED"),"",IF(ISNUMBER(SEARCH("WHEAT",G87)),SUMPRODUCT(--ISNUMBER(SEARCH("WHEAT",$G$2:$G$99)),--($H$2:$H$99="OCCUPIED"),--($B$2:$B$99&lt;&gt;""),--(IFERROR(VALUE(LEFT(RIGHT($G$2:$G$99,7),4)),999)&lt;IFERROR(VALUE(LEFT(RIGHT(G87,7),4)),999)))+SUMPRODUCT(--ISNUMBER(SEARCH("WHEAT",$G$2:$G$99)),--($H$2:$H$99="OCCUPIED"),--($B$2:$B$99&lt;&gt;""),--(IFERROR(VALUE(LEFT(RIGHT($G$2:$G$99,7),4)),999)=IFERROR(VALUE(LEFT(RIGHT(G87,7),4)),999)),--($B$2:$B$99&lt;B87))+SUMPRODUCT(--ISNUMBER(SEARCH("WHEAT",$G$2:$G$99)),--($H$2:$H$99="OCCUPIED"),--($B$2:$B$99&lt;&gt;""),--(IFERROR(VALUE(LEFT(RIGHT($G$2:$G$99,7),4)),999)=IFERROR(VALUE(LEFT(RIGHT(G87,7),4)),999)),--($B$2:$B$99=B87),--(ROW($B$2:$B$99)&lt;=ROW())),""))</f>
        <v/>
      </c>
      <c r="R87" s="137">
        <f>IF(OR(B87="",G87="",H87&lt;&gt;"OCCUPIED"),"",IF(ISERROR(SEARCH("WHEAT",G87)),SUMPRODUCT(--ISERROR(SEARCH("WHEAT",$G$2:$G$99)),--($H$2:$H$99="OCCUPIED"),--($B$2:$B$99&lt;&gt;""),--(IFERROR(VALUE(LEFT(RIGHT($G$2:$G$99,7),4)),999)&lt;IFERROR(VALUE(LEFT(RIGHT(G87,7),4)),999)))+SUMPRODUCT(--ISERROR(SEARCH("WHEAT",$G$2:$G$99)),--($H$2:$H$99="OCCUPIED"),--($B$2:$B$99&lt;&gt;""),--(IFERROR(VALUE(LEFT(RIGHT($G$2:$G$99,7),4)),999)=IFERROR(VALUE(LEFT(RIGHT(G87,7),4)),999)),--($B$2:$B$99&lt;B87))+SUMPRODUCT(--ISERROR(SEARCH("WHEAT",$G$2:$G$99)),--($H$2:$H$99="OCCUPIED"),--($B$2:$B$99&lt;&gt;""),--(IFERROR(VALUE(LEFT(RIGHT($G$2:$G$99,7),4)),999)=IFERROR(VALUE(LEFT(RIGHT(G87,7),4)),999)),--($B$2:$B$99=B87),--(ROW($B$2:$B$99)&lt;=ROW())),""))</f>
        <v/>
      </c>
    </row>
    <row r="88" hidden="1" ht="15.75" customHeight="1" s="230">
      <c r="A88" s="174">
        <f>IF(D88="","",ROWS($D$2:D88))</f>
        <v/>
      </c>
      <c r="B88" s="175" t="n"/>
      <c r="C88" s="176" t="n"/>
      <c r="D88" s="176" t="n"/>
      <c r="E88" s="176" t="n"/>
      <c r="F88" s="177" t="n"/>
      <c r="G88" s="176" t="n"/>
      <c r="H88" s="174">
        <f>IF(AND(E88="",F88="",G88=""),"EMPTY","OCCUPIED")</f>
        <v/>
      </c>
      <c r="I88" s="136">
        <f>IF(B88="","",IF(ISNUMBER(B88),MAX(0,TODAY()-B88),""))</f>
        <v/>
      </c>
      <c r="J88" s="175" t="n"/>
      <c r="K88" s="175" t="n"/>
      <c r="L88" s="175" t="n"/>
      <c r="M88" s="136">
        <f>IF(AND(H88="OCCUPIED",ISNUMBER(J88),K88=""),1,0)</f>
        <v/>
      </c>
      <c r="N88" s="136">
        <f>IF(M88=1,COUNTIF($M$2:M88,1),"")</f>
        <v/>
      </c>
      <c r="O88" s="136">
        <f>IF(AND(H88="OCCUPIED",ISNUMBER(J88),K88=""),--(TODAY()-J88&gt;5),0)</f>
        <v/>
      </c>
      <c r="P88" s="136">
        <f>IF(O88=1,COUNTIF($O$2:O88,1),"")</f>
        <v/>
      </c>
      <c r="Q88" s="137">
        <f>IF(OR(B88="",G88="",H88&lt;&gt;"OCCUPIED"),"",IF(ISNUMBER(SEARCH("WHEAT",G88)),SUMPRODUCT(--ISNUMBER(SEARCH("WHEAT",$G$2:$G$99)),--($H$2:$H$99="OCCUPIED"),--($B$2:$B$99&lt;&gt;""),--(IFERROR(VALUE(LEFT(RIGHT($G$2:$G$99,7),4)),999)&lt;IFERROR(VALUE(LEFT(RIGHT(G88,7),4)),999)))+SUMPRODUCT(--ISNUMBER(SEARCH("WHEAT",$G$2:$G$99)),--($H$2:$H$99="OCCUPIED"),--($B$2:$B$99&lt;&gt;""),--(IFERROR(VALUE(LEFT(RIGHT($G$2:$G$99,7),4)),999)=IFERROR(VALUE(LEFT(RIGHT(G88,7),4)),999)),--($B$2:$B$99&lt;B88))+SUMPRODUCT(--ISNUMBER(SEARCH("WHEAT",$G$2:$G$99)),--($H$2:$H$99="OCCUPIED"),--($B$2:$B$99&lt;&gt;""),--(IFERROR(VALUE(LEFT(RIGHT($G$2:$G$99,7),4)),999)=IFERROR(VALUE(LEFT(RIGHT(G88,7),4)),999)),--($B$2:$B$99=B88),--(ROW($B$2:$B$99)&lt;=ROW())),""))</f>
        <v/>
      </c>
      <c r="R88" s="137">
        <f>IF(OR(B88="",G88="",H88&lt;&gt;"OCCUPIED"),"",IF(ISERROR(SEARCH("WHEAT",G88)),SUMPRODUCT(--ISERROR(SEARCH("WHEAT",$G$2:$G$99)),--($H$2:$H$99="OCCUPIED"),--($B$2:$B$99&lt;&gt;""),--(IFERROR(VALUE(LEFT(RIGHT($G$2:$G$99,7),4)),999)&lt;IFERROR(VALUE(LEFT(RIGHT(G88,7),4)),999)))+SUMPRODUCT(--ISERROR(SEARCH("WHEAT",$G$2:$G$99)),--($H$2:$H$99="OCCUPIED"),--($B$2:$B$99&lt;&gt;""),--(IFERROR(VALUE(LEFT(RIGHT($G$2:$G$99,7),4)),999)=IFERROR(VALUE(LEFT(RIGHT(G88,7),4)),999)),--($B$2:$B$99&lt;B88))+SUMPRODUCT(--ISERROR(SEARCH("WHEAT",$G$2:$G$99)),--($H$2:$H$99="OCCUPIED"),--($B$2:$B$99&lt;&gt;""),--(IFERROR(VALUE(LEFT(RIGHT($G$2:$G$99,7),4)),999)=IFERROR(VALUE(LEFT(RIGHT(G88,7),4)),999)),--($B$2:$B$99=B88),--(ROW($B$2:$B$99)&lt;=ROW())),""))</f>
        <v/>
      </c>
    </row>
    <row r="89" hidden="1" ht="15.75" customHeight="1" s="230">
      <c r="A89" s="174">
        <f>IF(D89="","",ROWS($D$2:D89))</f>
        <v/>
      </c>
      <c r="B89" s="175" t="n"/>
      <c r="C89" s="176" t="n"/>
      <c r="D89" s="176" t="n"/>
      <c r="E89" s="176" t="n"/>
      <c r="F89" s="177" t="n"/>
      <c r="G89" s="176" t="n"/>
      <c r="H89" s="174">
        <f>IF(AND(E89="",F89="",G89=""),"EMPTY","OCCUPIED")</f>
        <v/>
      </c>
      <c r="I89" s="136">
        <f>IF(B89="","",IF(ISNUMBER(B89),MAX(0,TODAY()-B89),""))</f>
        <v/>
      </c>
      <c r="J89" s="175" t="n"/>
      <c r="K89" s="175" t="n"/>
      <c r="L89" s="175" t="n"/>
      <c r="M89" s="136">
        <f>IF(AND(H89="OCCUPIED",ISNUMBER(J89),K89=""),1,0)</f>
        <v/>
      </c>
      <c r="N89" s="136">
        <f>IF(M89=1,COUNTIF($M$2:M89,1),"")</f>
        <v/>
      </c>
      <c r="O89" s="136">
        <f>IF(AND(H89="OCCUPIED",ISNUMBER(J89),K89=""),--(TODAY()-J89&gt;5),0)</f>
        <v/>
      </c>
      <c r="P89" s="136">
        <f>IF(O89=1,COUNTIF($O$2:O89,1),"")</f>
        <v/>
      </c>
      <c r="Q89" s="137">
        <f>IF(OR(B89="",G89="",H89&lt;&gt;"OCCUPIED"),"",IF(ISNUMBER(SEARCH("WHEAT",G89)),SUMPRODUCT(--ISNUMBER(SEARCH("WHEAT",$G$2:$G$99)),--($H$2:$H$99="OCCUPIED"),--($B$2:$B$99&lt;&gt;""),--(IFERROR(VALUE(LEFT(RIGHT($G$2:$G$99,7),4)),999)&lt;IFERROR(VALUE(LEFT(RIGHT(G89,7),4)),999)))+SUMPRODUCT(--ISNUMBER(SEARCH("WHEAT",$G$2:$G$99)),--($H$2:$H$99="OCCUPIED"),--($B$2:$B$99&lt;&gt;""),--(IFERROR(VALUE(LEFT(RIGHT($G$2:$G$99,7),4)),999)=IFERROR(VALUE(LEFT(RIGHT(G89,7),4)),999)),--($B$2:$B$99&lt;B89))+SUMPRODUCT(--ISNUMBER(SEARCH("WHEAT",$G$2:$G$99)),--($H$2:$H$99="OCCUPIED"),--($B$2:$B$99&lt;&gt;""),--(IFERROR(VALUE(LEFT(RIGHT($G$2:$G$99,7),4)),999)=IFERROR(VALUE(LEFT(RIGHT(G89,7),4)),999)),--($B$2:$B$99=B89),--(ROW($B$2:$B$99)&lt;=ROW())),""))</f>
        <v/>
      </c>
      <c r="R89" s="137">
        <f>IF(OR(B89="",G89="",H89&lt;&gt;"OCCUPIED"),"",IF(ISERROR(SEARCH("WHEAT",G89)),SUMPRODUCT(--ISERROR(SEARCH("WHEAT",$G$2:$G$99)),--($H$2:$H$99="OCCUPIED"),--($B$2:$B$99&lt;&gt;""),--(IFERROR(VALUE(LEFT(RIGHT($G$2:$G$99,7),4)),999)&lt;IFERROR(VALUE(LEFT(RIGHT(G89,7),4)),999)))+SUMPRODUCT(--ISERROR(SEARCH("WHEAT",$G$2:$G$99)),--($H$2:$H$99="OCCUPIED"),--($B$2:$B$99&lt;&gt;""),--(IFERROR(VALUE(LEFT(RIGHT($G$2:$G$99,7),4)),999)=IFERROR(VALUE(LEFT(RIGHT(G89,7),4)),999)),--($B$2:$B$99&lt;B89))+SUMPRODUCT(--ISERROR(SEARCH("WHEAT",$G$2:$G$99)),--($H$2:$H$99="OCCUPIED"),--($B$2:$B$99&lt;&gt;""),--(IFERROR(VALUE(LEFT(RIGHT($G$2:$G$99,7),4)),999)=IFERROR(VALUE(LEFT(RIGHT(G89,7),4)),999)),--($B$2:$B$99=B89),--(ROW($B$2:$B$99)&lt;=ROW())),""))</f>
        <v/>
      </c>
    </row>
    <row r="90" hidden="1" ht="15.75" customHeight="1" s="230">
      <c r="A90" s="174">
        <f>IF(D90="","",ROWS($D$2:D90))</f>
        <v/>
      </c>
      <c r="B90" s="175" t="n"/>
      <c r="C90" s="176" t="n"/>
      <c r="D90" s="176" t="n"/>
      <c r="E90" s="176" t="n"/>
      <c r="F90" s="177" t="n"/>
      <c r="G90" s="176" t="n"/>
      <c r="H90" s="174">
        <f>IF(AND(E90="",F90="",G90=""),"EMPTY","OCCUPIED")</f>
        <v/>
      </c>
      <c r="I90" s="136">
        <f>IF(B90="","",IF(ISNUMBER(B90),MAX(0,TODAY()-B90),""))</f>
        <v/>
      </c>
      <c r="J90" s="175" t="n"/>
      <c r="K90" s="175" t="n"/>
      <c r="L90" s="175" t="n"/>
      <c r="M90" s="136">
        <f>IF(AND(H90="OCCUPIED",ISNUMBER(J90),K90=""),1,0)</f>
        <v/>
      </c>
      <c r="N90" s="136">
        <f>IF(M90=1,COUNTIF($M$2:M90,1),"")</f>
        <v/>
      </c>
      <c r="O90" s="136">
        <f>IF(AND(H90="OCCUPIED",ISNUMBER(J90),K90=""),--(TODAY()-J90&gt;5),0)</f>
        <v/>
      </c>
      <c r="P90" s="136">
        <f>IF(O90=1,COUNTIF($O$2:O90,1),"")</f>
        <v/>
      </c>
      <c r="Q90" s="137">
        <f>IF(OR(B90="",G90="",H90&lt;&gt;"OCCUPIED"),"",IF(ISNUMBER(SEARCH("WHEAT",G90)),SUMPRODUCT(--ISNUMBER(SEARCH("WHEAT",$G$2:$G$99)),--($H$2:$H$99="OCCUPIED"),--($B$2:$B$99&lt;&gt;""),--(IFERROR(VALUE(LEFT(RIGHT($G$2:$G$99,7),4)),999)&lt;IFERROR(VALUE(LEFT(RIGHT(G90,7),4)),999)))+SUMPRODUCT(--ISNUMBER(SEARCH("WHEAT",$G$2:$G$99)),--($H$2:$H$99="OCCUPIED"),--($B$2:$B$99&lt;&gt;""),--(IFERROR(VALUE(LEFT(RIGHT($G$2:$G$99,7),4)),999)=IFERROR(VALUE(LEFT(RIGHT(G90,7),4)),999)),--($B$2:$B$99&lt;B90))+SUMPRODUCT(--ISNUMBER(SEARCH("WHEAT",$G$2:$G$99)),--($H$2:$H$99="OCCUPIED"),--($B$2:$B$99&lt;&gt;""),--(IFERROR(VALUE(LEFT(RIGHT($G$2:$G$99,7),4)),999)=IFERROR(VALUE(LEFT(RIGHT(G90,7),4)),999)),--($B$2:$B$99=B90),--(ROW($B$2:$B$99)&lt;=ROW())),""))</f>
        <v/>
      </c>
      <c r="R90" s="137">
        <f>IF(OR(B90="",G90="",H90&lt;&gt;"OCCUPIED"),"",IF(ISERROR(SEARCH("WHEAT",G90)),SUMPRODUCT(--ISERROR(SEARCH("WHEAT",$G$2:$G$99)),--($H$2:$H$99="OCCUPIED"),--($B$2:$B$99&lt;&gt;""),--(IFERROR(VALUE(LEFT(RIGHT($G$2:$G$99,7),4)),999)&lt;IFERROR(VALUE(LEFT(RIGHT(G90,7),4)),999)))+SUMPRODUCT(--ISERROR(SEARCH("WHEAT",$G$2:$G$99)),--($H$2:$H$99="OCCUPIED"),--($B$2:$B$99&lt;&gt;""),--(IFERROR(VALUE(LEFT(RIGHT($G$2:$G$99,7),4)),999)=IFERROR(VALUE(LEFT(RIGHT(G90,7),4)),999)),--($B$2:$B$99&lt;B90))+SUMPRODUCT(--ISERROR(SEARCH("WHEAT",$G$2:$G$99)),--($H$2:$H$99="OCCUPIED"),--($B$2:$B$99&lt;&gt;""),--(IFERROR(VALUE(LEFT(RIGHT($G$2:$G$99,7),4)),999)=IFERROR(VALUE(LEFT(RIGHT(G90,7),4)),999)),--($B$2:$B$99=B90),--(ROW($B$2:$B$99)&lt;=ROW())),""))</f>
        <v/>
      </c>
    </row>
    <row r="91" hidden="1" ht="15.75" customHeight="1" s="230">
      <c r="A91" s="174">
        <f>IF(D91="","",ROWS($D$2:D91))</f>
        <v/>
      </c>
      <c r="B91" s="175" t="n"/>
      <c r="C91" s="176" t="n"/>
      <c r="D91" s="176" t="n"/>
      <c r="E91" s="176" t="n"/>
      <c r="F91" s="177" t="n"/>
      <c r="G91" s="176" t="n"/>
      <c r="H91" s="174">
        <f>IF(AND(E91="",F91="",G91=""),"EMPTY","OCCUPIED")</f>
        <v/>
      </c>
      <c r="I91" s="136">
        <f>IF(B91="","",IF(ISNUMBER(B91),MAX(0,TODAY()-B91),""))</f>
        <v/>
      </c>
      <c r="J91" s="175" t="n"/>
      <c r="K91" s="175" t="n"/>
      <c r="L91" s="175" t="n"/>
      <c r="M91" s="136">
        <f>IF(AND(H91="OCCUPIED",ISNUMBER(J91),K91=""),1,0)</f>
        <v/>
      </c>
      <c r="N91" s="136">
        <f>IF(M91=1,COUNTIF($M$2:M91,1),"")</f>
        <v/>
      </c>
      <c r="O91" s="136">
        <f>IF(AND(H91="OCCUPIED",ISNUMBER(J91),K91=""),--(TODAY()-J91&gt;5),0)</f>
        <v/>
      </c>
      <c r="P91" s="136">
        <f>IF(O91=1,COUNTIF($O$2:O91,1),"")</f>
        <v/>
      </c>
      <c r="Q91" s="137">
        <f>IF(OR(B91="",G91="",H91&lt;&gt;"OCCUPIED"),"",IF(ISNUMBER(SEARCH("WHEAT",G91)),SUMPRODUCT(--ISNUMBER(SEARCH("WHEAT",$G$2:$G$99)),--($H$2:$H$99="OCCUPIED"),--($B$2:$B$99&lt;&gt;""),--(IFERROR(VALUE(LEFT(RIGHT($G$2:$G$99,7),4)),999)&lt;IFERROR(VALUE(LEFT(RIGHT(G91,7),4)),999)))+SUMPRODUCT(--ISNUMBER(SEARCH("WHEAT",$G$2:$G$99)),--($H$2:$H$99="OCCUPIED"),--($B$2:$B$99&lt;&gt;""),--(IFERROR(VALUE(LEFT(RIGHT($G$2:$G$99,7),4)),999)=IFERROR(VALUE(LEFT(RIGHT(G91,7),4)),999)),--($B$2:$B$99&lt;B91))+SUMPRODUCT(--ISNUMBER(SEARCH("WHEAT",$G$2:$G$99)),--($H$2:$H$99="OCCUPIED"),--($B$2:$B$99&lt;&gt;""),--(IFERROR(VALUE(LEFT(RIGHT($G$2:$G$99,7),4)),999)=IFERROR(VALUE(LEFT(RIGHT(G91,7),4)),999)),--($B$2:$B$99=B91),--(ROW($B$2:$B$99)&lt;=ROW())),""))</f>
        <v/>
      </c>
      <c r="R91" s="137">
        <f>IF(OR(B91="",G91="",H91&lt;&gt;"OCCUPIED"),"",IF(ISERROR(SEARCH("WHEAT",G91)),SUMPRODUCT(--ISERROR(SEARCH("WHEAT",$G$2:$G$99)),--($H$2:$H$99="OCCUPIED"),--($B$2:$B$99&lt;&gt;""),--(IFERROR(VALUE(LEFT(RIGHT($G$2:$G$99,7),4)),999)&lt;IFERROR(VALUE(LEFT(RIGHT(G91,7),4)),999)))+SUMPRODUCT(--ISERROR(SEARCH("WHEAT",$G$2:$G$99)),--($H$2:$H$99="OCCUPIED"),--($B$2:$B$99&lt;&gt;""),--(IFERROR(VALUE(LEFT(RIGHT($G$2:$G$99,7),4)),999)=IFERROR(VALUE(LEFT(RIGHT(G91,7),4)),999)),--($B$2:$B$99&lt;B91))+SUMPRODUCT(--ISERROR(SEARCH("WHEAT",$G$2:$G$99)),--($H$2:$H$99="OCCUPIED"),--($B$2:$B$99&lt;&gt;""),--(IFERROR(VALUE(LEFT(RIGHT($G$2:$G$99,7),4)),999)=IFERROR(VALUE(LEFT(RIGHT(G91,7),4)),999)),--($B$2:$B$99=B91),--(ROW($B$2:$B$99)&lt;=ROW())),""))</f>
        <v/>
      </c>
    </row>
    <row r="92" hidden="1" ht="15.75" customHeight="1" s="230">
      <c r="A92" s="174">
        <f>IF(D92="","",ROWS($D$2:D92))</f>
        <v/>
      </c>
      <c r="B92" s="175" t="n"/>
      <c r="C92" s="176" t="n"/>
      <c r="D92" s="176" t="n"/>
      <c r="E92" s="176" t="n"/>
      <c r="F92" s="177" t="n"/>
      <c r="G92" s="176" t="n"/>
      <c r="H92" s="174">
        <f>IF(AND(E92="",F92="",G92=""),"EMPTY","OCCUPIED")</f>
        <v/>
      </c>
      <c r="I92" s="136">
        <f>IF(B92="","",IF(ISNUMBER(B92),MAX(0,TODAY()-B92),""))</f>
        <v/>
      </c>
      <c r="J92" s="175" t="n"/>
      <c r="K92" s="175" t="n"/>
      <c r="L92" s="175" t="n"/>
      <c r="M92" s="136">
        <f>IF(AND(H92="OCCUPIED",ISNUMBER(J92),K92=""),1,0)</f>
        <v/>
      </c>
      <c r="N92" s="136">
        <f>IF(M92=1,COUNTIF($M$2:M92,1),"")</f>
        <v/>
      </c>
      <c r="O92" s="136">
        <f>IF(AND(H92="OCCUPIED",ISNUMBER(J92),K92=""),--(TODAY()-J92&gt;5),0)</f>
        <v/>
      </c>
      <c r="P92" s="136">
        <f>IF(O92=1,COUNTIF($O$2:O92,1),"")</f>
        <v/>
      </c>
      <c r="Q92" s="137">
        <f>IF(OR(B92="",G92="",H92&lt;&gt;"OCCUPIED"),"",IF(ISNUMBER(SEARCH("WHEAT",G92)),SUMPRODUCT(--ISNUMBER(SEARCH("WHEAT",$G$2:$G$99)),--($H$2:$H$99="OCCUPIED"),--($B$2:$B$99&lt;&gt;""),--(IFERROR(VALUE(LEFT(RIGHT($G$2:$G$99,7),4)),999)&lt;IFERROR(VALUE(LEFT(RIGHT(G92,7),4)),999)))+SUMPRODUCT(--ISNUMBER(SEARCH("WHEAT",$G$2:$G$99)),--($H$2:$H$99="OCCUPIED"),--($B$2:$B$99&lt;&gt;""),--(IFERROR(VALUE(LEFT(RIGHT($G$2:$G$99,7),4)),999)=IFERROR(VALUE(LEFT(RIGHT(G92,7),4)),999)),--($B$2:$B$99&lt;B92))+SUMPRODUCT(--ISNUMBER(SEARCH("WHEAT",$G$2:$G$99)),--($H$2:$H$99="OCCUPIED"),--($B$2:$B$99&lt;&gt;""),--(IFERROR(VALUE(LEFT(RIGHT($G$2:$G$99,7),4)),999)=IFERROR(VALUE(LEFT(RIGHT(G92,7),4)),999)),--($B$2:$B$99=B92),--(ROW($B$2:$B$99)&lt;=ROW())),""))</f>
        <v/>
      </c>
      <c r="R92" s="137">
        <f>IF(OR(B92="",G92="",H92&lt;&gt;"OCCUPIED"),"",IF(ISERROR(SEARCH("WHEAT",G92)),SUMPRODUCT(--ISERROR(SEARCH("WHEAT",$G$2:$G$99)),--($H$2:$H$99="OCCUPIED"),--($B$2:$B$99&lt;&gt;""),--(IFERROR(VALUE(LEFT(RIGHT($G$2:$G$99,7),4)),999)&lt;IFERROR(VALUE(LEFT(RIGHT(G92,7),4)),999)))+SUMPRODUCT(--ISERROR(SEARCH("WHEAT",$G$2:$G$99)),--($H$2:$H$99="OCCUPIED"),--($B$2:$B$99&lt;&gt;""),--(IFERROR(VALUE(LEFT(RIGHT($G$2:$G$99,7),4)),999)=IFERROR(VALUE(LEFT(RIGHT(G92,7),4)),999)),--($B$2:$B$99&lt;B92))+SUMPRODUCT(--ISERROR(SEARCH("WHEAT",$G$2:$G$99)),--($H$2:$H$99="OCCUPIED"),--($B$2:$B$99&lt;&gt;""),--(IFERROR(VALUE(LEFT(RIGHT($G$2:$G$99,7),4)),999)=IFERROR(VALUE(LEFT(RIGHT(G92,7),4)),999)),--($B$2:$B$99=B92),--(ROW($B$2:$B$99)&lt;=ROW())),""))</f>
        <v/>
      </c>
    </row>
    <row r="93" hidden="1" ht="15.75" customHeight="1" s="230">
      <c r="A93" s="174">
        <f>IF(D93="","",ROWS($D$2:D93))</f>
        <v/>
      </c>
      <c r="B93" s="175" t="n"/>
      <c r="C93" s="176" t="n"/>
      <c r="D93" s="176" t="n"/>
      <c r="E93" s="176" t="n"/>
      <c r="F93" s="177" t="n"/>
      <c r="G93" s="176" t="n"/>
      <c r="H93" s="174">
        <f>IF(AND(E93="",F93="",G93=""),"EMPTY","OCCUPIED")</f>
        <v/>
      </c>
      <c r="I93" s="136">
        <f>IF(B93="","",IF(ISNUMBER(B93),MAX(0,TODAY()-B93),""))</f>
        <v/>
      </c>
      <c r="J93" s="175" t="n"/>
      <c r="K93" s="175" t="n"/>
      <c r="L93" s="175" t="n"/>
      <c r="M93" s="136">
        <f>IF(AND(H93="OCCUPIED",ISNUMBER(J93),K93=""),1,0)</f>
        <v/>
      </c>
      <c r="N93" s="136">
        <f>IF(M93=1,COUNTIF($M$2:M93,1),"")</f>
        <v/>
      </c>
      <c r="O93" s="136">
        <f>IF(AND(H93="OCCUPIED",ISNUMBER(J93),K93=""),--(TODAY()-J93&gt;5),0)</f>
        <v/>
      </c>
      <c r="P93" s="136">
        <f>IF(O93=1,COUNTIF($O$2:O93,1),"")</f>
        <v/>
      </c>
      <c r="Q93" s="137">
        <f>IF(OR(B93="",G93="",H93&lt;&gt;"OCCUPIED"),"",IF(ISNUMBER(SEARCH("WHEAT",G93)),SUMPRODUCT(--ISNUMBER(SEARCH("WHEAT",$G$2:$G$99)),--($H$2:$H$99="OCCUPIED"),--($B$2:$B$99&lt;&gt;""),--(IFERROR(VALUE(LEFT(RIGHT($G$2:$G$99,7),4)),999)&lt;IFERROR(VALUE(LEFT(RIGHT(G93,7),4)),999)))+SUMPRODUCT(--ISNUMBER(SEARCH("WHEAT",$G$2:$G$99)),--($H$2:$H$99="OCCUPIED"),--($B$2:$B$99&lt;&gt;""),--(IFERROR(VALUE(LEFT(RIGHT($G$2:$G$99,7),4)),999)=IFERROR(VALUE(LEFT(RIGHT(G93,7),4)),999)),--($B$2:$B$99&lt;B93))+SUMPRODUCT(--ISNUMBER(SEARCH("WHEAT",$G$2:$G$99)),--($H$2:$H$99="OCCUPIED"),--($B$2:$B$99&lt;&gt;""),--(IFERROR(VALUE(LEFT(RIGHT($G$2:$G$99,7),4)),999)=IFERROR(VALUE(LEFT(RIGHT(G93,7),4)),999)),--($B$2:$B$99=B93),--(ROW($B$2:$B$99)&lt;=ROW())),""))</f>
        <v/>
      </c>
      <c r="R93" s="137">
        <f>IF(OR(B93="",G93="",H93&lt;&gt;"OCCUPIED"),"",IF(ISERROR(SEARCH("WHEAT",G93)),SUMPRODUCT(--ISERROR(SEARCH("WHEAT",$G$2:$G$99)),--($H$2:$H$99="OCCUPIED"),--($B$2:$B$99&lt;&gt;""),--(IFERROR(VALUE(LEFT(RIGHT($G$2:$G$99,7),4)),999)&lt;IFERROR(VALUE(LEFT(RIGHT(G93,7),4)),999)))+SUMPRODUCT(--ISERROR(SEARCH("WHEAT",$G$2:$G$99)),--($H$2:$H$99="OCCUPIED"),--($B$2:$B$99&lt;&gt;""),--(IFERROR(VALUE(LEFT(RIGHT($G$2:$G$99,7),4)),999)=IFERROR(VALUE(LEFT(RIGHT(G93,7),4)),999)),--($B$2:$B$99&lt;B93))+SUMPRODUCT(--ISERROR(SEARCH("WHEAT",$G$2:$G$99)),--($H$2:$H$99="OCCUPIED"),--($B$2:$B$99&lt;&gt;""),--(IFERROR(VALUE(LEFT(RIGHT($G$2:$G$99,7),4)),999)=IFERROR(VALUE(LEFT(RIGHT(G93,7),4)),999)),--($B$2:$B$99=B93),--(ROW($B$2:$B$99)&lt;=ROW())),""))</f>
        <v/>
      </c>
    </row>
    <row r="94" hidden="1" ht="15.75" customHeight="1" s="230">
      <c r="A94" s="174">
        <f>IF(D94="","",ROWS($D$2:D94))</f>
        <v/>
      </c>
      <c r="B94" s="175" t="n"/>
      <c r="C94" s="176" t="n"/>
      <c r="D94" s="176" t="n"/>
      <c r="E94" s="176" t="n"/>
      <c r="F94" s="177" t="n"/>
      <c r="G94" s="176" t="n"/>
      <c r="H94" s="174">
        <f>IF(AND(E94="",F94="",G94=""),"EMPTY","OCCUPIED")</f>
        <v/>
      </c>
      <c r="I94" s="136">
        <f>IF(B94="","",IF(ISNUMBER(B94),MAX(0,TODAY()-B94),""))</f>
        <v/>
      </c>
      <c r="J94" s="175" t="n"/>
      <c r="K94" s="175" t="n"/>
      <c r="L94" s="175" t="n"/>
      <c r="M94" s="136">
        <f>IF(AND(H94="OCCUPIED",ISNUMBER(J94),K94=""),1,0)</f>
        <v/>
      </c>
      <c r="N94" s="136">
        <f>IF(M94=1,COUNTIF($M$2:M94,1),"")</f>
        <v/>
      </c>
      <c r="O94" s="136">
        <f>IF(AND(H94="OCCUPIED",ISNUMBER(J94),K94=""),--(TODAY()-J94&gt;5),0)</f>
        <v/>
      </c>
      <c r="P94" s="136">
        <f>IF(O94=1,COUNTIF($O$2:O94,1),"")</f>
        <v/>
      </c>
      <c r="Q94" s="137">
        <f>IF(OR(B94="",G94="",H94&lt;&gt;"OCCUPIED"),"",IF(ISNUMBER(SEARCH("WHEAT",G94)),SUMPRODUCT(--ISNUMBER(SEARCH("WHEAT",$G$2:$G$99)),--($H$2:$H$99="OCCUPIED"),--($B$2:$B$99&lt;&gt;""),--(IFERROR(VALUE(LEFT(RIGHT($G$2:$G$99,7),4)),999)&lt;IFERROR(VALUE(LEFT(RIGHT(G94,7),4)),999)))+SUMPRODUCT(--ISNUMBER(SEARCH("WHEAT",$G$2:$G$99)),--($H$2:$H$99="OCCUPIED"),--($B$2:$B$99&lt;&gt;""),--(IFERROR(VALUE(LEFT(RIGHT($G$2:$G$99,7),4)),999)=IFERROR(VALUE(LEFT(RIGHT(G94,7),4)),999)),--($B$2:$B$99&lt;B94))+SUMPRODUCT(--ISNUMBER(SEARCH("WHEAT",$G$2:$G$99)),--($H$2:$H$99="OCCUPIED"),--($B$2:$B$99&lt;&gt;""),--(IFERROR(VALUE(LEFT(RIGHT($G$2:$G$99,7),4)),999)=IFERROR(VALUE(LEFT(RIGHT(G94,7),4)),999)),--($B$2:$B$99=B94),--(ROW($B$2:$B$99)&lt;=ROW())),""))</f>
        <v/>
      </c>
      <c r="R94" s="137">
        <f>IF(OR(B94="",G94="",H94&lt;&gt;"OCCUPIED"),"",IF(ISERROR(SEARCH("WHEAT",G94)),SUMPRODUCT(--ISERROR(SEARCH("WHEAT",$G$2:$G$99)),--($H$2:$H$99="OCCUPIED"),--($B$2:$B$99&lt;&gt;""),--(IFERROR(VALUE(LEFT(RIGHT($G$2:$G$99,7),4)),999)&lt;IFERROR(VALUE(LEFT(RIGHT(G94,7),4)),999)))+SUMPRODUCT(--ISERROR(SEARCH("WHEAT",$G$2:$G$99)),--($H$2:$H$99="OCCUPIED"),--($B$2:$B$99&lt;&gt;""),--(IFERROR(VALUE(LEFT(RIGHT($G$2:$G$99,7),4)),999)=IFERROR(VALUE(LEFT(RIGHT(G94,7),4)),999)),--($B$2:$B$99&lt;B94))+SUMPRODUCT(--ISERROR(SEARCH("WHEAT",$G$2:$G$99)),--($H$2:$H$99="OCCUPIED"),--($B$2:$B$99&lt;&gt;""),--(IFERROR(VALUE(LEFT(RIGHT($G$2:$G$99,7),4)),999)=IFERROR(VALUE(LEFT(RIGHT(G94,7),4)),999)),--($B$2:$B$99=B94),--(ROW($B$2:$B$99)&lt;=ROW())),""))</f>
        <v/>
      </c>
    </row>
    <row r="95" hidden="1" ht="15.75" customHeight="1" s="230">
      <c r="A95" s="174">
        <f>IF(D95="","",ROWS($D$2:D95))</f>
        <v/>
      </c>
      <c r="B95" s="175" t="n"/>
      <c r="C95" s="176" t="n"/>
      <c r="D95" s="176" t="n"/>
      <c r="E95" s="176" t="n"/>
      <c r="F95" s="177" t="n"/>
      <c r="G95" s="176" t="n"/>
      <c r="H95" s="174">
        <f>IF(AND(E95="",F95="",G95=""),"EMPTY","OCCUPIED")</f>
        <v/>
      </c>
      <c r="I95" s="136">
        <f>IF(B95="","",IF(ISNUMBER(B95),MAX(0,TODAY()-B95),""))</f>
        <v/>
      </c>
      <c r="J95" s="175" t="n"/>
      <c r="K95" s="175" t="n"/>
      <c r="L95" s="175" t="n"/>
      <c r="M95" s="136">
        <f>IF(AND(H95="OCCUPIED",ISNUMBER(J95),K95=""),1,0)</f>
        <v/>
      </c>
      <c r="N95" s="136">
        <f>IF(M95=1,COUNTIF($M$2:M95,1),"")</f>
        <v/>
      </c>
      <c r="O95" s="136">
        <f>IF(AND(H95="OCCUPIED",ISNUMBER(J95),K95=""),--(TODAY()-J95&gt;5),0)</f>
        <v/>
      </c>
      <c r="P95" s="136">
        <f>IF(O95=1,COUNTIF($O$2:O95,1),"")</f>
        <v/>
      </c>
      <c r="Q95" s="137">
        <f>IF(OR(B95="",G95="",H95&lt;&gt;"OCCUPIED"),"",IF(ISNUMBER(SEARCH("WHEAT",G95)),SUMPRODUCT(--ISNUMBER(SEARCH("WHEAT",$G$2:$G$99)),--($H$2:$H$99="OCCUPIED"),--($B$2:$B$99&lt;&gt;""),--(IFERROR(VALUE(LEFT(RIGHT($G$2:$G$99,7),4)),999)&lt;IFERROR(VALUE(LEFT(RIGHT(G95,7),4)),999)))+SUMPRODUCT(--ISNUMBER(SEARCH("WHEAT",$G$2:$G$99)),--($H$2:$H$99="OCCUPIED"),--($B$2:$B$99&lt;&gt;""),--(IFERROR(VALUE(LEFT(RIGHT($G$2:$G$99,7),4)),999)=IFERROR(VALUE(LEFT(RIGHT(G95,7),4)),999)),--($B$2:$B$99&lt;B95))+SUMPRODUCT(--ISNUMBER(SEARCH("WHEAT",$G$2:$G$99)),--($H$2:$H$99="OCCUPIED"),--($B$2:$B$99&lt;&gt;""),--(IFERROR(VALUE(LEFT(RIGHT($G$2:$G$99,7),4)),999)=IFERROR(VALUE(LEFT(RIGHT(G95,7),4)),999)),--($B$2:$B$99=B95),--(ROW($B$2:$B$99)&lt;=ROW())),""))</f>
        <v/>
      </c>
      <c r="R95" s="137">
        <f>IF(OR(B95="",G95="",H95&lt;&gt;"OCCUPIED"),"",IF(ISERROR(SEARCH("WHEAT",G95)),SUMPRODUCT(--ISERROR(SEARCH("WHEAT",$G$2:$G$99)),--($H$2:$H$99="OCCUPIED"),--($B$2:$B$99&lt;&gt;""),--(IFERROR(VALUE(LEFT(RIGHT($G$2:$G$99,7),4)),999)&lt;IFERROR(VALUE(LEFT(RIGHT(G95,7),4)),999)))+SUMPRODUCT(--ISERROR(SEARCH("WHEAT",$G$2:$G$99)),--($H$2:$H$99="OCCUPIED"),--($B$2:$B$99&lt;&gt;""),--(IFERROR(VALUE(LEFT(RIGHT($G$2:$G$99,7),4)),999)=IFERROR(VALUE(LEFT(RIGHT(G95,7),4)),999)),--($B$2:$B$99&lt;B95))+SUMPRODUCT(--ISERROR(SEARCH("WHEAT",$G$2:$G$99)),--($H$2:$H$99="OCCUPIED"),--($B$2:$B$99&lt;&gt;""),--(IFERROR(VALUE(LEFT(RIGHT($G$2:$G$99,7),4)),999)=IFERROR(VALUE(LEFT(RIGHT(G95,7),4)),999)),--($B$2:$B$99=B95),--(ROW($B$2:$B$99)&lt;=ROW())),""))</f>
        <v/>
      </c>
    </row>
    <row r="96" hidden="1" ht="15.75" customHeight="1" s="230">
      <c r="A96" s="174">
        <f>IF(D96="","",ROWS($D$2:D96))</f>
        <v/>
      </c>
      <c r="B96" s="175" t="n"/>
      <c r="C96" s="176" t="n"/>
      <c r="D96" s="176" t="n"/>
      <c r="E96" s="176" t="n"/>
      <c r="F96" s="177" t="n"/>
      <c r="G96" s="176" t="n"/>
      <c r="H96" s="174">
        <f>IF(AND(E96="",F96="",G96=""),"EMPTY","OCCUPIED")</f>
        <v/>
      </c>
      <c r="I96" s="136">
        <f>IF(B96="","",IF(ISNUMBER(B96),MAX(0,TODAY()-B96),""))</f>
        <v/>
      </c>
      <c r="J96" s="175" t="n"/>
      <c r="K96" s="175" t="n"/>
      <c r="L96" s="175" t="n"/>
      <c r="M96" s="136">
        <f>IF(AND(H96="OCCUPIED",ISNUMBER(J96),K96=""),1,0)</f>
        <v/>
      </c>
      <c r="N96" s="136">
        <f>IF(M96=1,COUNTIF($M$2:M96,1),"")</f>
        <v/>
      </c>
      <c r="O96" s="136">
        <f>IF(AND(H96="OCCUPIED",ISNUMBER(J96),K96=""),--(TODAY()-J96&gt;5),0)</f>
        <v/>
      </c>
      <c r="P96" s="136">
        <f>IF(O96=1,COUNTIF($O$2:O96,1),"")</f>
        <v/>
      </c>
      <c r="Q96" s="137">
        <f>IF(OR(B96="",G96="",H96&lt;&gt;"OCCUPIED"),"",IF(ISNUMBER(SEARCH("WHEAT",G96)),SUMPRODUCT(--ISNUMBER(SEARCH("WHEAT",$G$2:$G$99)),--($H$2:$H$99="OCCUPIED"),--($B$2:$B$99&lt;&gt;""),--(IFERROR(VALUE(LEFT(RIGHT($G$2:$G$99,7),4)),999)&lt;IFERROR(VALUE(LEFT(RIGHT(G96,7),4)),999)))+SUMPRODUCT(--ISNUMBER(SEARCH("WHEAT",$G$2:$G$99)),--($H$2:$H$99="OCCUPIED"),--($B$2:$B$99&lt;&gt;""),--(IFERROR(VALUE(LEFT(RIGHT($G$2:$G$99,7),4)),999)=IFERROR(VALUE(LEFT(RIGHT(G96,7),4)),999)),--($B$2:$B$99&lt;B96))+SUMPRODUCT(--ISNUMBER(SEARCH("WHEAT",$G$2:$G$99)),--($H$2:$H$99="OCCUPIED"),--($B$2:$B$99&lt;&gt;""),--(IFERROR(VALUE(LEFT(RIGHT($G$2:$G$99,7),4)),999)=IFERROR(VALUE(LEFT(RIGHT(G96,7),4)),999)),--($B$2:$B$99=B96),--(ROW($B$2:$B$99)&lt;=ROW())),""))</f>
        <v/>
      </c>
      <c r="R96" s="137">
        <f>IF(OR(B96="",G96="",H96&lt;&gt;"OCCUPIED"),"",IF(ISERROR(SEARCH("WHEAT",G96)),SUMPRODUCT(--ISERROR(SEARCH("WHEAT",$G$2:$G$99)),--($H$2:$H$99="OCCUPIED"),--($B$2:$B$99&lt;&gt;""),--(IFERROR(VALUE(LEFT(RIGHT($G$2:$G$99,7),4)),999)&lt;IFERROR(VALUE(LEFT(RIGHT(G96,7),4)),999)))+SUMPRODUCT(--ISERROR(SEARCH("WHEAT",$G$2:$G$99)),--($H$2:$H$99="OCCUPIED"),--($B$2:$B$99&lt;&gt;""),--(IFERROR(VALUE(LEFT(RIGHT($G$2:$G$99,7),4)),999)=IFERROR(VALUE(LEFT(RIGHT(G96,7),4)),999)),--($B$2:$B$99&lt;B96))+SUMPRODUCT(--ISERROR(SEARCH("WHEAT",$G$2:$G$99)),--($H$2:$H$99="OCCUPIED"),--($B$2:$B$99&lt;&gt;""),--(IFERROR(VALUE(LEFT(RIGHT($G$2:$G$99,7),4)),999)=IFERROR(VALUE(LEFT(RIGHT(G96,7),4)),999)),--($B$2:$B$99=B96),--(ROW($B$2:$B$99)&lt;=ROW())),""))</f>
        <v/>
      </c>
    </row>
    <row r="97" hidden="1" ht="15.75" customHeight="1" s="230">
      <c r="A97" s="174">
        <f>IF(D97="","",ROWS($D$2:D97))</f>
        <v/>
      </c>
      <c r="B97" s="175" t="n"/>
      <c r="C97" s="176" t="n"/>
      <c r="D97" s="176" t="n"/>
      <c r="E97" s="176" t="n"/>
      <c r="F97" s="177" t="n"/>
      <c r="G97" s="176" t="n"/>
      <c r="H97" s="174">
        <f>IF(AND(E97="",F97="",G97=""),"EMPTY","OCCUPIED")</f>
        <v/>
      </c>
      <c r="I97" s="136">
        <f>IF(B97="","",IF(ISNUMBER(B97),MAX(0,TODAY()-B97),""))</f>
        <v/>
      </c>
      <c r="J97" s="175" t="n"/>
      <c r="K97" s="175" t="n"/>
      <c r="L97" s="175" t="n"/>
      <c r="M97" s="136">
        <f>IF(AND(H97="OCCUPIED",ISNUMBER(J97),K97=""),1,0)</f>
        <v/>
      </c>
      <c r="N97" s="136">
        <f>IF(M97=1,COUNTIF($M$2:M97,1),"")</f>
        <v/>
      </c>
      <c r="O97" s="136">
        <f>IF(AND(H97="OCCUPIED",ISNUMBER(J97),K97=""),--(TODAY()-J97&gt;5),0)</f>
        <v/>
      </c>
      <c r="P97" s="136">
        <f>IF(O97=1,COUNTIF($O$2:O97,1),"")</f>
        <v/>
      </c>
      <c r="Q97" s="137">
        <f>IF(OR(B97="",G97="",H97&lt;&gt;"OCCUPIED"),"",IF(ISNUMBER(SEARCH("WHEAT",G97)),SUMPRODUCT(--ISNUMBER(SEARCH("WHEAT",$G$2:$G$99)),--($H$2:$H$99="OCCUPIED"),--($B$2:$B$99&lt;&gt;""),--(IFERROR(VALUE(LEFT(RIGHT($G$2:$G$99,7),4)),999)&lt;IFERROR(VALUE(LEFT(RIGHT(G97,7),4)),999)))+SUMPRODUCT(--ISNUMBER(SEARCH("WHEAT",$G$2:$G$99)),--($H$2:$H$99="OCCUPIED"),--($B$2:$B$99&lt;&gt;""),--(IFERROR(VALUE(LEFT(RIGHT($G$2:$G$99,7),4)),999)=IFERROR(VALUE(LEFT(RIGHT(G97,7),4)),999)),--($B$2:$B$99&lt;B97))+SUMPRODUCT(--ISNUMBER(SEARCH("WHEAT",$G$2:$G$99)),--($H$2:$H$99="OCCUPIED"),--($B$2:$B$99&lt;&gt;""),--(IFERROR(VALUE(LEFT(RIGHT($G$2:$G$99,7),4)),999)=IFERROR(VALUE(LEFT(RIGHT(G97,7),4)),999)),--($B$2:$B$99=B97),--(ROW($B$2:$B$99)&lt;=ROW())),""))</f>
        <v/>
      </c>
      <c r="R97" s="137">
        <f>IF(OR(B97="",G97="",H97&lt;&gt;"OCCUPIED"),"",IF(ISERROR(SEARCH("WHEAT",G97)),SUMPRODUCT(--ISERROR(SEARCH("WHEAT",$G$2:$G$99)),--($H$2:$H$99="OCCUPIED"),--($B$2:$B$99&lt;&gt;""),--(IFERROR(VALUE(LEFT(RIGHT($G$2:$G$99,7),4)),999)&lt;IFERROR(VALUE(LEFT(RIGHT(G97,7),4)),999)))+SUMPRODUCT(--ISERROR(SEARCH("WHEAT",$G$2:$G$99)),--($H$2:$H$99="OCCUPIED"),--($B$2:$B$99&lt;&gt;""),--(IFERROR(VALUE(LEFT(RIGHT($G$2:$G$99,7),4)),999)=IFERROR(VALUE(LEFT(RIGHT(G97,7),4)),999)),--($B$2:$B$99&lt;B97))+SUMPRODUCT(--ISERROR(SEARCH("WHEAT",$G$2:$G$99)),--($H$2:$H$99="OCCUPIED"),--($B$2:$B$99&lt;&gt;""),--(IFERROR(VALUE(LEFT(RIGHT($G$2:$G$99,7),4)),999)=IFERROR(VALUE(LEFT(RIGHT(G97,7),4)),999)),--($B$2:$B$99=B97),--(ROW($B$2:$B$99)&lt;=ROW())),""))</f>
        <v/>
      </c>
    </row>
    <row r="98" hidden="1" ht="15.75" customHeight="1" s="230">
      <c r="A98" s="174">
        <f>IF(D98="","",ROWS($D$2:D98))</f>
        <v/>
      </c>
      <c r="B98" s="175" t="n"/>
      <c r="C98" s="176" t="n"/>
      <c r="D98" s="176" t="n"/>
      <c r="E98" s="176" t="n"/>
      <c r="F98" s="177" t="n"/>
      <c r="G98" s="176" t="n"/>
      <c r="H98" s="174">
        <f>IF(AND(E98="",F98="",G98=""),"EMPTY","OCCUPIED")</f>
        <v/>
      </c>
      <c r="I98" s="136">
        <f>IF(B98="","",IF(ISNUMBER(B98),MAX(0,TODAY()-B98),""))</f>
        <v/>
      </c>
      <c r="J98" s="175" t="n"/>
      <c r="K98" s="175" t="n"/>
      <c r="L98" s="175" t="n"/>
      <c r="M98" s="136">
        <f>IF(AND(H98="OCCUPIED",ISNUMBER(J98),K98=""),1,0)</f>
        <v/>
      </c>
      <c r="N98" s="136">
        <f>IF(M98=1,COUNTIF($M$2:M98,1),"")</f>
        <v/>
      </c>
      <c r="O98" s="136">
        <f>IF(AND(H98="OCCUPIED",ISNUMBER(J98),K98=""),--(TODAY()-J98&gt;5),0)</f>
        <v/>
      </c>
      <c r="P98" s="136">
        <f>IF(O98=1,COUNTIF($O$2:O98,1),"")</f>
        <v/>
      </c>
      <c r="Q98" s="137">
        <f>IF(OR(B98="",G98="",H98&lt;&gt;"OCCUPIED"),"",IF(ISNUMBER(SEARCH("WHEAT",G98)),SUMPRODUCT(--ISNUMBER(SEARCH("WHEAT",$G$2:$G$99)),--($H$2:$H$99="OCCUPIED"),--($B$2:$B$99&lt;&gt;""),--(IFERROR(VALUE(LEFT(RIGHT($G$2:$G$99,7),4)),999)&lt;IFERROR(VALUE(LEFT(RIGHT(G98,7),4)),999)))+SUMPRODUCT(--ISNUMBER(SEARCH("WHEAT",$G$2:$G$99)),--($H$2:$H$99="OCCUPIED"),--($B$2:$B$99&lt;&gt;""),--(IFERROR(VALUE(LEFT(RIGHT($G$2:$G$99,7),4)),999)=IFERROR(VALUE(LEFT(RIGHT(G98,7),4)),999)),--($B$2:$B$99&lt;B98))+SUMPRODUCT(--ISNUMBER(SEARCH("WHEAT",$G$2:$G$99)),--($H$2:$H$99="OCCUPIED"),--($B$2:$B$99&lt;&gt;""),--(IFERROR(VALUE(LEFT(RIGHT($G$2:$G$99,7),4)),999)=IFERROR(VALUE(LEFT(RIGHT(G98,7),4)),999)),--($B$2:$B$99=B98),--(ROW($B$2:$B$99)&lt;=ROW())),""))</f>
        <v/>
      </c>
      <c r="R98" s="137">
        <f>IF(OR(B98="",G98="",H98&lt;&gt;"OCCUPIED"),"",IF(ISERROR(SEARCH("WHEAT",G98)),SUMPRODUCT(--ISERROR(SEARCH("WHEAT",$G$2:$G$99)),--($H$2:$H$99="OCCUPIED"),--($B$2:$B$99&lt;&gt;""),--(IFERROR(VALUE(LEFT(RIGHT($G$2:$G$99,7),4)),999)&lt;IFERROR(VALUE(LEFT(RIGHT(G98,7),4)),999)))+SUMPRODUCT(--ISERROR(SEARCH("WHEAT",$G$2:$G$99)),--($H$2:$H$99="OCCUPIED"),--($B$2:$B$99&lt;&gt;""),--(IFERROR(VALUE(LEFT(RIGHT($G$2:$G$99,7),4)),999)=IFERROR(VALUE(LEFT(RIGHT(G98,7),4)),999)),--($B$2:$B$99&lt;B98))+SUMPRODUCT(--ISERROR(SEARCH("WHEAT",$G$2:$G$99)),--($H$2:$H$99="OCCUPIED"),--($B$2:$B$99&lt;&gt;""),--(IFERROR(VALUE(LEFT(RIGHT($G$2:$G$99,7),4)),999)=IFERROR(VALUE(LEFT(RIGHT(G98,7),4)),999)),--($B$2:$B$99=B98),--(ROW($B$2:$B$99)&lt;=ROW())),""))</f>
        <v/>
      </c>
    </row>
    <row r="99" hidden="1" ht="15.75" customHeight="1" s="230">
      <c r="A99" s="174">
        <f>IF(D99="","",ROWS($D$2:D99))</f>
        <v/>
      </c>
      <c r="B99" s="175" t="n"/>
      <c r="C99" s="176" t="n"/>
      <c r="D99" s="176" t="n"/>
      <c r="E99" s="176" t="n"/>
      <c r="F99" s="177" t="n"/>
      <c r="G99" s="176" t="n"/>
      <c r="H99" s="174">
        <f>IF(AND(E99="",F99="",G99=""),"EMPTY","OCCUPIED")</f>
        <v/>
      </c>
      <c r="I99" s="136">
        <f>IF(B99="","",IF(ISNUMBER(B99),MAX(0,TODAY()-B99),""))</f>
        <v/>
      </c>
      <c r="J99" s="175" t="n"/>
      <c r="K99" s="175" t="n"/>
      <c r="L99" s="175" t="n"/>
      <c r="M99" s="136">
        <f>IF(AND(H99="OCCUPIED",ISNUMBER(J99),K99=""),1,0)</f>
        <v/>
      </c>
      <c r="N99" s="136">
        <f>IF(M99=1,COUNTIF($M$2:M99,1),"")</f>
        <v/>
      </c>
      <c r="O99" s="136">
        <f>IF(AND(H99="OCCUPIED",ISNUMBER(J99),K99=""),--(TODAY()-J99&gt;5),0)</f>
        <v/>
      </c>
      <c r="P99" s="136">
        <f>IF(O99=1,COUNTIF($O$2:O99,1),"")</f>
        <v/>
      </c>
      <c r="Q99" s="137">
        <f>IF(OR(B99="",G99="",H99&lt;&gt;"OCCUPIED"),"",IF(ISNUMBER(SEARCH("WHEAT",G99)),SUMPRODUCT(--ISNUMBER(SEARCH("WHEAT",$G$2:$G$99)),--($H$2:$H$99="OCCUPIED"),--($B$2:$B$99&lt;&gt;""),--(IFERROR(VALUE(LEFT(RIGHT($G$2:$G$99,7),4)),999)&lt;IFERROR(VALUE(LEFT(RIGHT(G99,7),4)),999)))+SUMPRODUCT(--ISNUMBER(SEARCH("WHEAT",$G$2:$G$99)),--($H$2:$H$99="OCCUPIED"),--($B$2:$B$99&lt;&gt;""),--(IFERROR(VALUE(LEFT(RIGHT($G$2:$G$99,7),4)),999)=IFERROR(VALUE(LEFT(RIGHT(G99,7),4)),999)),--($B$2:$B$99&lt;B99))+SUMPRODUCT(--ISNUMBER(SEARCH("WHEAT",$G$2:$G$99)),--($H$2:$H$99="OCCUPIED"),--($B$2:$B$99&lt;&gt;""),--(IFERROR(VALUE(LEFT(RIGHT($G$2:$G$99,7),4)),999)=IFERROR(VALUE(LEFT(RIGHT(G99,7),4)),999)),--($B$2:$B$99=B99),--(ROW($B$2:$B$99)&lt;=ROW())),""))</f>
        <v/>
      </c>
      <c r="R99" s="137">
        <f>IF(OR(B99="",G99="",H99&lt;&gt;"OCCUPIED"),"",IF(ISERROR(SEARCH("WHEAT",G99)),SUMPRODUCT(--ISERROR(SEARCH("WHEAT",$G$2:$G$99)),--($H$2:$H$99="OCCUPIED"),--($B$2:$B$99&lt;&gt;""),--(IFERROR(VALUE(LEFT(RIGHT($G$2:$G$99,7),4)),999)&lt;IFERROR(VALUE(LEFT(RIGHT(G99,7),4)),999)))+SUMPRODUCT(--ISERROR(SEARCH("WHEAT",$G$2:$G$99)),--($H$2:$H$99="OCCUPIED"),--($B$2:$B$99&lt;&gt;""),--(IFERROR(VALUE(LEFT(RIGHT($G$2:$G$99,7),4)),999)=IFERROR(VALUE(LEFT(RIGHT(G99,7),4)),999)),--($B$2:$B$99&lt;B99))+SUMPRODUCT(--ISERROR(SEARCH("WHEAT",$G$2:$G$99)),--($H$2:$H$99="OCCUPIED"),--($B$2:$B$99&lt;&gt;""),--(IFERROR(VALUE(LEFT(RIGHT($G$2:$G$99,7),4)),999)=IFERROR(VALUE(LEFT(RIGHT(G99,7),4)),999)),--($B$2:$B$99=B99),--(ROW($B$2:$B$99)&lt;=ROW())),""))</f>
        <v/>
      </c>
    </row>
    <row r="100" ht="15.75" customHeight="1" s="230">
      <c r="A100" s="95" t="n"/>
      <c r="B100" s="95" t="n"/>
      <c r="C100" s="95" t="n"/>
      <c r="D100" s="95" t="n"/>
      <c r="E100" s="95" t="n"/>
      <c r="F100" s="120" t="n"/>
      <c r="G100" s="95" t="n"/>
      <c r="H100" s="95" t="n"/>
      <c r="I100" s="95" t="n"/>
      <c r="J100" s="95" t="n"/>
      <c r="K100" s="95" t="n"/>
      <c r="L100" s="95" t="n"/>
      <c r="M100" s="95" t="n"/>
      <c r="N100" s="95" t="n"/>
      <c r="O100" s="95" t="n"/>
      <c r="P100" s="95" t="n"/>
      <c r="Q100" s="95" t="n"/>
      <c r="R100" s="95" t="n"/>
    </row>
    <row r="101" ht="15.75" customHeight="1" s="230">
      <c r="A101" s="95" t="n"/>
      <c r="B101" s="95" t="n"/>
      <c r="C101" s="95" t="n"/>
      <c r="D101" s="95" t="n"/>
      <c r="E101" s="95" t="n"/>
      <c r="F101" s="120" t="n"/>
      <c r="G101" s="95" t="n"/>
      <c r="H101" s="95" t="n"/>
      <c r="I101" s="95" t="n"/>
      <c r="J101" s="95" t="n"/>
      <c r="K101" s="95" t="n"/>
      <c r="L101" s="95" t="n"/>
      <c r="M101" s="95" t="n"/>
      <c r="N101" s="95" t="n"/>
      <c r="O101" s="95" t="n"/>
      <c r="P101" s="95" t="n"/>
      <c r="Q101" s="95" t="n"/>
      <c r="R101" s="95" t="n"/>
    </row>
    <row r="102" ht="15.75" customHeight="1" s="230">
      <c r="A102" s="95" t="n"/>
      <c r="B102" s="95" t="n"/>
      <c r="C102" s="95" t="n"/>
      <c r="D102" s="95" t="n"/>
      <c r="E102" s="95" t="n"/>
      <c r="F102" s="120" t="n"/>
      <c r="G102" s="95" t="n"/>
      <c r="H102" s="95" t="n"/>
      <c r="I102" s="95" t="n"/>
      <c r="J102" s="95" t="n"/>
      <c r="K102" s="95" t="n"/>
      <c r="L102" s="95" t="n"/>
      <c r="M102" s="95" t="n"/>
      <c r="N102" s="95" t="n"/>
      <c r="O102" s="95" t="n"/>
      <c r="P102" s="95" t="n"/>
      <c r="Q102" s="95" t="n"/>
      <c r="R102" s="95" t="n"/>
    </row>
    <row r="103" ht="15.75" customHeight="1" s="230">
      <c r="A103" s="95" t="n"/>
      <c r="B103" s="95" t="n"/>
      <c r="C103" s="95" t="n"/>
      <c r="D103" s="95" t="n"/>
      <c r="E103" s="95" t="n"/>
      <c r="F103" s="120" t="n"/>
      <c r="G103" s="95" t="n"/>
      <c r="H103" s="95" t="n"/>
      <c r="I103" s="95" t="n"/>
      <c r="J103" s="95" t="n"/>
      <c r="K103" s="95" t="n"/>
      <c r="L103" s="95" t="n"/>
      <c r="M103" s="95" t="n"/>
      <c r="N103" s="95" t="n"/>
      <c r="O103" s="95" t="n"/>
      <c r="P103" s="95" t="n"/>
      <c r="Q103" s="95" t="n"/>
      <c r="R103" s="95" t="n"/>
    </row>
    <row r="104" ht="15.75" customHeight="1" s="230">
      <c r="A104" s="95" t="n"/>
      <c r="B104" s="95" t="n"/>
      <c r="C104" s="95" t="n"/>
      <c r="D104" s="95" t="n"/>
      <c r="E104" s="95" t="n"/>
      <c r="F104" s="120" t="n"/>
      <c r="G104" s="95" t="n"/>
      <c r="H104" s="95" t="n"/>
      <c r="I104" s="95" t="n"/>
      <c r="J104" s="95" t="n"/>
      <c r="K104" s="95" t="n"/>
      <c r="L104" s="95" t="n"/>
      <c r="M104" s="95" t="n"/>
      <c r="N104" s="95" t="n"/>
      <c r="O104" s="95" t="n"/>
      <c r="P104" s="95" t="n"/>
      <c r="Q104" s="95" t="n"/>
      <c r="R104" s="95" t="n"/>
    </row>
    <row r="105" ht="15.75" customHeight="1" s="230">
      <c r="A105" s="95" t="n"/>
      <c r="B105" s="95" t="n"/>
      <c r="C105" s="95" t="n"/>
      <c r="D105" s="95" t="n"/>
      <c r="E105" s="95" t="n"/>
      <c r="F105" s="120" t="n"/>
      <c r="G105" s="95" t="n"/>
      <c r="H105" s="95" t="n"/>
      <c r="I105" s="95" t="n"/>
      <c r="J105" s="95" t="n"/>
      <c r="K105" s="95" t="n"/>
      <c r="L105" s="95" t="n"/>
      <c r="M105" s="95" t="n"/>
      <c r="N105" s="95" t="n"/>
      <c r="O105" s="95" t="n"/>
      <c r="P105" s="95" t="n"/>
      <c r="Q105" s="95" t="n"/>
      <c r="R105" s="95" t="n"/>
    </row>
    <row r="106" ht="15.75" customHeight="1" s="230">
      <c r="A106" s="95" t="n"/>
      <c r="B106" s="95" t="n"/>
      <c r="C106" s="95" t="n"/>
      <c r="D106" s="95" t="n"/>
      <c r="E106" s="95" t="n"/>
      <c r="F106" s="120" t="n"/>
      <c r="G106" s="95" t="n"/>
      <c r="H106" s="95" t="n"/>
      <c r="I106" s="95" t="n"/>
      <c r="J106" s="95" t="n"/>
      <c r="K106" s="95" t="n"/>
      <c r="L106" s="95" t="n"/>
      <c r="M106" s="95" t="n"/>
      <c r="N106" s="95" t="n"/>
      <c r="O106" s="95" t="n"/>
      <c r="P106" s="95" t="n"/>
      <c r="Q106" s="95" t="n"/>
      <c r="R106" s="95" t="n"/>
    </row>
    <row r="107" ht="15.75" customHeight="1" s="230">
      <c r="A107" s="95" t="n"/>
      <c r="B107" s="95" t="n"/>
      <c r="C107" s="95" t="n"/>
      <c r="D107" s="95" t="n"/>
      <c r="E107" s="95" t="n"/>
      <c r="F107" s="120" t="n"/>
      <c r="G107" s="95" t="n"/>
      <c r="H107" s="95" t="n"/>
      <c r="I107" s="95" t="n"/>
      <c r="J107" s="95" t="n"/>
      <c r="K107" s="95" t="n"/>
      <c r="L107" s="95" t="n"/>
      <c r="M107" s="95" t="n"/>
      <c r="N107" s="95" t="n"/>
      <c r="O107" s="95" t="n"/>
      <c r="P107" s="95" t="n"/>
      <c r="Q107" s="95" t="n"/>
      <c r="R107" s="95" t="n"/>
    </row>
    <row r="108" ht="15.75" customHeight="1" s="230">
      <c r="A108" s="95" t="n"/>
      <c r="B108" s="95" t="n"/>
      <c r="C108" s="95" t="n"/>
      <c r="D108" s="95" t="n"/>
      <c r="E108" s="95" t="n"/>
      <c r="F108" s="120" t="n"/>
      <c r="G108" s="95" t="n"/>
      <c r="H108" s="95" t="n"/>
      <c r="I108" s="95" t="n"/>
      <c r="J108" s="95" t="n"/>
      <c r="K108" s="95" t="n"/>
      <c r="L108" s="95" t="n"/>
      <c r="M108" s="95" t="n"/>
      <c r="N108" s="95" t="n"/>
      <c r="O108" s="95" t="n"/>
      <c r="P108" s="95" t="n"/>
      <c r="Q108" s="95" t="n"/>
      <c r="R108" s="95" t="n"/>
    </row>
    <row r="109" ht="15.75" customHeight="1" s="230">
      <c r="A109" s="95" t="n"/>
      <c r="B109" s="95" t="n"/>
      <c r="C109" s="95" t="n"/>
      <c r="D109" s="95" t="n"/>
      <c r="E109" s="95" t="n"/>
      <c r="F109" s="120" t="n"/>
      <c r="G109" s="95" t="n"/>
      <c r="H109" s="95" t="n"/>
      <c r="I109" s="95" t="n"/>
      <c r="J109" s="95" t="n"/>
      <c r="K109" s="95" t="n"/>
      <c r="L109" s="95" t="n"/>
      <c r="M109" s="95" t="n"/>
      <c r="N109" s="95" t="n"/>
      <c r="O109" s="95" t="n"/>
      <c r="P109" s="95" t="n"/>
      <c r="Q109" s="95" t="n"/>
      <c r="R109" s="95" t="n"/>
    </row>
    <row r="110" ht="15.75" customHeight="1" s="230">
      <c r="A110" s="95" t="n"/>
      <c r="B110" s="95" t="n"/>
      <c r="C110" s="95" t="n"/>
      <c r="D110" s="95" t="n"/>
      <c r="E110" s="95" t="n"/>
      <c r="F110" s="120" t="n"/>
      <c r="G110" s="95" t="n"/>
      <c r="H110" s="95" t="n"/>
      <c r="I110" s="95" t="n"/>
      <c r="J110" s="95" t="n"/>
      <c r="K110" s="95" t="n"/>
      <c r="L110" s="95" t="n"/>
      <c r="M110" s="95" t="n"/>
      <c r="N110" s="95" t="n"/>
      <c r="O110" s="95" t="n"/>
      <c r="P110" s="95" t="n"/>
      <c r="Q110" s="95" t="n"/>
      <c r="R110" s="95" t="n"/>
    </row>
    <row r="111" ht="15.75" customHeight="1" s="230">
      <c r="A111" s="95" t="n"/>
      <c r="B111" s="95" t="n"/>
      <c r="C111" s="95" t="n"/>
      <c r="D111" s="95" t="n"/>
      <c r="E111" s="95" t="n"/>
      <c r="F111" s="120" t="n"/>
      <c r="G111" s="95" t="n"/>
      <c r="H111" s="95" t="n"/>
      <c r="I111" s="95" t="n"/>
      <c r="J111" s="95" t="n"/>
      <c r="K111" s="95" t="n"/>
      <c r="L111" s="95" t="n"/>
      <c r="M111" s="95" t="n"/>
      <c r="N111" s="95" t="n"/>
      <c r="O111" s="95" t="n"/>
      <c r="P111" s="95" t="n"/>
      <c r="Q111" s="95" t="n"/>
      <c r="R111" s="95" t="n"/>
    </row>
    <row r="112" ht="15.75" customHeight="1" s="230">
      <c r="A112" s="95" t="n"/>
      <c r="B112" s="95" t="n"/>
      <c r="C112" s="95" t="n"/>
      <c r="D112" s="95" t="n"/>
      <c r="E112" s="95" t="n"/>
      <c r="F112" s="120" t="n"/>
      <c r="G112" s="95" t="n"/>
      <c r="H112" s="95" t="n"/>
      <c r="I112" s="95" t="n"/>
      <c r="J112" s="95" t="n"/>
      <c r="K112" s="95" t="n"/>
      <c r="L112" s="95" t="n"/>
      <c r="M112" s="95" t="n"/>
      <c r="N112" s="95" t="n"/>
      <c r="O112" s="95" t="n"/>
      <c r="P112" s="95" t="n"/>
      <c r="Q112" s="95" t="n"/>
      <c r="R112" s="95" t="n"/>
    </row>
    <row r="113" ht="15.75" customHeight="1" s="230">
      <c r="A113" s="95" t="n"/>
      <c r="B113" s="95" t="n"/>
      <c r="C113" s="95" t="n"/>
      <c r="D113" s="95" t="n"/>
      <c r="E113" s="95" t="n"/>
      <c r="F113" s="120" t="n"/>
      <c r="G113" s="95" t="n"/>
      <c r="H113" s="95" t="n"/>
      <c r="I113" s="95" t="n"/>
      <c r="J113" s="95" t="n"/>
      <c r="K113" s="95" t="n"/>
      <c r="L113" s="95" t="n"/>
      <c r="M113" s="95" t="n"/>
      <c r="N113" s="95" t="n"/>
      <c r="O113" s="95" t="n"/>
      <c r="P113" s="95" t="n"/>
      <c r="Q113" s="95" t="n"/>
      <c r="R113" s="95" t="n"/>
    </row>
    <row r="114" ht="15.75" customHeight="1" s="230">
      <c r="A114" s="95" t="n"/>
      <c r="B114" s="95" t="n"/>
      <c r="C114" s="95" t="n"/>
      <c r="D114" s="95" t="n"/>
      <c r="E114" s="95" t="n"/>
      <c r="F114" s="120" t="n"/>
      <c r="G114" s="95" t="n"/>
      <c r="H114" s="95" t="n"/>
      <c r="I114" s="95" t="n"/>
      <c r="J114" s="95" t="n"/>
      <c r="K114" s="95" t="n"/>
      <c r="L114" s="95" t="n"/>
      <c r="M114" s="95" t="n"/>
      <c r="N114" s="95" t="n"/>
      <c r="O114" s="95" t="n"/>
      <c r="P114" s="95" t="n"/>
      <c r="Q114" s="95" t="n"/>
      <c r="R114" s="95" t="n"/>
    </row>
    <row r="115" ht="15.75" customHeight="1" s="230">
      <c r="A115" s="95" t="n"/>
      <c r="B115" s="95" t="n"/>
      <c r="C115" s="95" t="n"/>
      <c r="D115" s="95" t="n"/>
      <c r="E115" s="95" t="n"/>
      <c r="F115" s="120" t="n"/>
      <c r="G115" s="95" t="n"/>
      <c r="H115" s="95" t="n"/>
      <c r="I115" s="95" t="n"/>
      <c r="J115" s="95" t="n"/>
      <c r="K115" s="95" t="n"/>
      <c r="L115" s="95" t="n"/>
      <c r="M115" s="95" t="n"/>
      <c r="N115" s="95" t="n"/>
      <c r="O115" s="95" t="n"/>
      <c r="P115" s="95" t="n"/>
      <c r="Q115" s="95" t="n"/>
      <c r="R115" s="95" t="n"/>
    </row>
    <row r="116" ht="15.75" customHeight="1" s="230">
      <c r="A116" s="95" t="n"/>
      <c r="B116" s="95" t="n"/>
      <c r="C116" s="95" t="n"/>
      <c r="D116" s="95" t="n"/>
      <c r="E116" s="95" t="n"/>
      <c r="F116" s="120" t="n"/>
      <c r="G116" s="95" t="n"/>
      <c r="H116" s="95" t="n"/>
      <c r="I116" s="95" t="n"/>
      <c r="J116" s="95" t="n"/>
      <c r="K116" s="95" t="n"/>
      <c r="L116" s="95" t="n"/>
      <c r="M116" s="95" t="n"/>
      <c r="N116" s="95" t="n"/>
      <c r="O116" s="95" t="n"/>
      <c r="P116" s="95" t="n"/>
      <c r="Q116" s="95" t="n"/>
      <c r="R116" s="95" t="n"/>
    </row>
    <row r="117" ht="15.75" customHeight="1" s="230">
      <c r="A117" s="95" t="n"/>
      <c r="B117" s="95" t="n"/>
      <c r="C117" s="95" t="n"/>
      <c r="D117" s="95" t="n"/>
      <c r="E117" s="95" t="n"/>
      <c r="F117" s="120" t="n"/>
      <c r="G117" s="95" t="n"/>
      <c r="H117" s="95" t="n"/>
      <c r="I117" s="95" t="n"/>
      <c r="J117" s="95" t="n"/>
      <c r="K117" s="95" t="n"/>
      <c r="L117" s="95" t="n"/>
      <c r="M117" s="95" t="n"/>
      <c r="N117" s="95" t="n"/>
      <c r="O117" s="95" t="n"/>
      <c r="P117" s="95" t="n"/>
      <c r="Q117" s="95" t="n"/>
      <c r="R117" s="95" t="n"/>
    </row>
    <row r="118" ht="15.75" customHeight="1" s="230">
      <c r="A118" s="95" t="n"/>
      <c r="B118" s="95" t="n"/>
      <c r="C118" s="95" t="n"/>
      <c r="D118" s="95" t="n"/>
      <c r="E118" s="95" t="n"/>
      <c r="F118" s="120" t="n"/>
      <c r="G118" s="95" t="n"/>
      <c r="H118" s="95" t="n"/>
      <c r="I118" s="95" t="n"/>
      <c r="J118" s="95" t="n"/>
      <c r="K118" s="95" t="n"/>
      <c r="L118" s="95" t="n"/>
      <c r="M118" s="95" t="n"/>
      <c r="N118" s="95" t="n"/>
      <c r="O118" s="95" t="n"/>
      <c r="P118" s="95" t="n"/>
      <c r="Q118" s="95" t="n"/>
      <c r="R118" s="95" t="n"/>
    </row>
    <row r="119" ht="15.75" customHeight="1" s="230">
      <c r="A119" s="95" t="n"/>
      <c r="B119" s="95" t="n"/>
      <c r="C119" s="95" t="n"/>
      <c r="D119" s="95" t="n"/>
      <c r="E119" s="95" t="n"/>
      <c r="F119" s="120" t="n"/>
      <c r="G119" s="95" t="n"/>
      <c r="H119" s="95" t="n"/>
      <c r="I119" s="95" t="n"/>
      <c r="J119" s="95" t="n"/>
      <c r="K119" s="95" t="n"/>
      <c r="L119" s="95" t="n"/>
      <c r="M119" s="95" t="n"/>
      <c r="N119" s="95" t="n"/>
      <c r="O119" s="95" t="n"/>
      <c r="P119" s="95" t="n"/>
      <c r="Q119" s="95" t="n"/>
      <c r="R119" s="95" t="n"/>
    </row>
    <row r="120" ht="15.75" customHeight="1" s="230">
      <c r="A120" s="95" t="n"/>
      <c r="B120" s="95" t="n"/>
      <c r="C120" s="95" t="n"/>
      <c r="D120" s="95" t="n"/>
      <c r="E120" s="95" t="n"/>
      <c r="F120" s="120" t="n"/>
      <c r="G120" s="95" t="n"/>
      <c r="H120" s="95" t="n"/>
      <c r="I120" s="95" t="n"/>
      <c r="J120" s="95" t="n"/>
      <c r="K120" s="95" t="n"/>
      <c r="L120" s="95" t="n"/>
      <c r="M120" s="95" t="n"/>
      <c r="N120" s="95" t="n"/>
      <c r="O120" s="95" t="n"/>
      <c r="P120" s="95" t="n"/>
      <c r="Q120" s="95" t="n"/>
      <c r="R120" s="95" t="n"/>
    </row>
    <row r="121" ht="15.75" customHeight="1" s="230">
      <c r="A121" s="95" t="n"/>
      <c r="B121" s="95" t="n"/>
      <c r="C121" s="95" t="n"/>
      <c r="D121" s="95" t="n"/>
      <c r="E121" s="95" t="n"/>
      <c r="F121" s="120" t="n"/>
      <c r="G121" s="95" t="n"/>
      <c r="H121" s="95" t="n"/>
      <c r="I121" s="95" t="n"/>
      <c r="J121" s="95" t="n"/>
      <c r="K121" s="95" t="n"/>
      <c r="L121" s="95" t="n"/>
      <c r="M121" s="95" t="n"/>
      <c r="N121" s="95" t="n"/>
      <c r="O121" s="95" t="n"/>
      <c r="P121" s="95" t="n"/>
      <c r="Q121" s="95" t="n"/>
      <c r="R121" s="95" t="n"/>
    </row>
    <row r="122" ht="15.75" customHeight="1" s="230">
      <c r="A122" s="95" t="n"/>
      <c r="B122" s="95" t="n"/>
      <c r="C122" s="95" t="n"/>
      <c r="D122" s="95" t="n"/>
      <c r="E122" s="95" t="n"/>
      <c r="F122" s="120" t="n"/>
      <c r="G122" s="95" t="n"/>
      <c r="H122" s="95" t="n"/>
      <c r="I122" s="95" t="n"/>
      <c r="J122" s="95" t="n"/>
      <c r="K122" s="95" t="n"/>
      <c r="L122" s="95" t="n"/>
      <c r="M122" s="95" t="n"/>
      <c r="N122" s="95" t="n"/>
      <c r="O122" s="95" t="n"/>
      <c r="P122" s="95" t="n"/>
      <c r="Q122" s="95" t="n"/>
      <c r="R122" s="95" t="n"/>
    </row>
    <row r="123" ht="15.75" customHeight="1" s="230">
      <c r="A123" s="95" t="n"/>
      <c r="B123" s="95" t="n"/>
      <c r="C123" s="95" t="n"/>
      <c r="D123" s="95" t="n"/>
      <c r="E123" s="95" t="n"/>
      <c r="F123" s="120" t="n"/>
      <c r="G123" s="95" t="n"/>
      <c r="H123" s="95" t="n"/>
      <c r="I123" s="95" t="n"/>
      <c r="J123" s="95" t="n"/>
      <c r="K123" s="95" t="n"/>
      <c r="L123" s="95" t="n"/>
      <c r="M123" s="95" t="n"/>
      <c r="N123" s="95" t="n"/>
      <c r="O123" s="95" t="n"/>
      <c r="P123" s="95" t="n"/>
      <c r="Q123" s="95" t="n"/>
      <c r="R123" s="95" t="n"/>
    </row>
    <row r="124" ht="15.75" customHeight="1" s="230">
      <c r="A124" s="95" t="n"/>
      <c r="B124" s="95" t="n"/>
      <c r="C124" s="95" t="n"/>
      <c r="D124" s="95" t="n"/>
      <c r="E124" s="95" t="n"/>
      <c r="F124" s="120" t="n"/>
      <c r="G124" s="95" t="n"/>
      <c r="H124" s="95" t="n"/>
      <c r="I124" s="95" t="n"/>
      <c r="J124" s="95" t="n"/>
      <c r="K124" s="95" t="n"/>
      <c r="L124" s="95" t="n"/>
      <c r="M124" s="95" t="n"/>
      <c r="N124" s="95" t="n"/>
      <c r="O124" s="95" t="n"/>
      <c r="P124" s="95" t="n"/>
      <c r="Q124" s="95" t="n"/>
      <c r="R124" s="95" t="n"/>
    </row>
    <row r="125" ht="15.75" customHeight="1" s="230">
      <c r="A125" s="95" t="n"/>
      <c r="B125" s="95" t="n"/>
      <c r="C125" s="95" t="n"/>
      <c r="D125" s="95" t="n"/>
      <c r="E125" s="95" t="n"/>
      <c r="F125" s="120" t="n"/>
      <c r="G125" s="95" t="n"/>
      <c r="H125" s="95" t="n"/>
      <c r="I125" s="95" t="n"/>
      <c r="J125" s="95" t="n"/>
      <c r="K125" s="95" t="n"/>
      <c r="L125" s="95" t="n"/>
      <c r="M125" s="95" t="n"/>
      <c r="N125" s="95" t="n"/>
      <c r="O125" s="95" t="n"/>
      <c r="P125" s="95" t="n"/>
      <c r="Q125" s="95" t="n"/>
      <c r="R125" s="95" t="n"/>
    </row>
    <row r="126" ht="15.75" customHeight="1" s="230">
      <c r="A126" s="95" t="n"/>
      <c r="B126" s="95" t="n"/>
      <c r="C126" s="95" t="n"/>
      <c r="D126" s="95" t="n"/>
      <c r="E126" s="95" t="n"/>
      <c r="F126" s="120" t="n"/>
      <c r="G126" s="95" t="n"/>
      <c r="H126" s="95" t="n"/>
      <c r="I126" s="95" t="n"/>
      <c r="J126" s="95" t="n"/>
      <c r="K126" s="95" t="n"/>
      <c r="L126" s="95" t="n"/>
      <c r="M126" s="95" t="n"/>
      <c r="N126" s="95" t="n"/>
      <c r="O126" s="95" t="n"/>
      <c r="P126" s="95" t="n"/>
      <c r="Q126" s="95" t="n"/>
      <c r="R126" s="95" t="n"/>
    </row>
    <row r="127" ht="15.75" customHeight="1" s="230">
      <c r="A127" s="95" t="n"/>
      <c r="B127" s="95" t="n"/>
      <c r="C127" s="95" t="n"/>
      <c r="D127" s="95" t="n"/>
      <c r="E127" s="95" t="n"/>
      <c r="F127" s="120" t="n"/>
      <c r="G127" s="95" t="n"/>
      <c r="H127" s="95" t="n"/>
      <c r="I127" s="95" t="n"/>
      <c r="J127" s="95" t="n"/>
      <c r="K127" s="95" t="n"/>
      <c r="L127" s="95" t="n"/>
      <c r="M127" s="95" t="n"/>
      <c r="N127" s="95" t="n"/>
      <c r="O127" s="95" t="n"/>
      <c r="P127" s="95" t="n"/>
      <c r="Q127" s="95" t="n"/>
      <c r="R127" s="95" t="n"/>
    </row>
    <row r="128" ht="15.75" customHeight="1" s="230">
      <c r="A128" s="95" t="n"/>
      <c r="B128" s="95" t="n"/>
      <c r="C128" s="95" t="n"/>
      <c r="D128" s="95" t="n"/>
      <c r="E128" s="95" t="n"/>
      <c r="F128" s="120" t="n"/>
      <c r="G128" s="95" t="n"/>
      <c r="H128" s="95" t="n"/>
      <c r="I128" s="95" t="n"/>
      <c r="J128" s="95" t="n"/>
      <c r="K128" s="95" t="n"/>
      <c r="L128" s="95" t="n"/>
      <c r="M128" s="95" t="n"/>
      <c r="N128" s="95" t="n"/>
      <c r="O128" s="95" t="n"/>
      <c r="P128" s="95" t="n"/>
      <c r="Q128" s="95" t="n"/>
      <c r="R128" s="95" t="n"/>
    </row>
    <row r="129" ht="15.75" customHeight="1" s="230">
      <c r="A129" s="95" t="n"/>
      <c r="B129" s="95" t="n"/>
      <c r="C129" s="95" t="n"/>
      <c r="D129" s="95" t="n"/>
      <c r="E129" s="95" t="n"/>
      <c r="F129" s="120" t="n"/>
      <c r="G129" s="95" t="n"/>
      <c r="H129" s="95" t="n"/>
      <c r="I129" s="95" t="n"/>
      <c r="J129" s="95" t="n"/>
      <c r="K129" s="95" t="n"/>
      <c r="L129" s="95" t="n"/>
      <c r="M129" s="95" t="n"/>
      <c r="N129" s="95" t="n"/>
      <c r="O129" s="95" t="n"/>
      <c r="P129" s="95" t="n"/>
      <c r="Q129" s="95" t="n"/>
      <c r="R129" s="95" t="n"/>
    </row>
    <row r="130" ht="15.75" customHeight="1" s="230">
      <c r="A130" s="95" t="n"/>
      <c r="B130" s="95" t="n"/>
      <c r="C130" s="95" t="n"/>
      <c r="D130" s="95" t="n"/>
      <c r="E130" s="95" t="n"/>
      <c r="F130" s="120" t="n"/>
      <c r="G130" s="95" t="n"/>
      <c r="H130" s="95" t="n"/>
      <c r="I130" s="95" t="n"/>
      <c r="J130" s="95" t="n"/>
      <c r="K130" s="95" t="n"/>
      <c r="L130" s="95" t="n"/>
      <c r="M130" s="95" t="n"/>
      <c r="N130" s="95" t="n"/>
      <c r="O130" s="95" t="n"/>
      <c r="P130" s="95" t="n"/>
      <c r="Q130" s="95" t="n"/>
      <c r="R130" s="95" t="n"/>
    </row>
    <row r="131" ht="15.75" customHeight="1" s="230">
      <c r="A131" s="95" t="n"/>
      <c r="B131" s="95" t="n"/>
      <c r="C131" s="95" t="n"/>
      <c r="D131" s="95" t="n"/>
      <c r="E131" s="95" t="n"/>
      <c r="F131" s="120" t="n"/>
      <c r="G131" s="95" t="n"/>
      <c r="H131" s="95" t="n"/>
      <c r="I131" s="95" t="n"/>
      <c r="J131" s="95" t="n"/>
      <c r="K131" s="95" t="n"/>
      <c r="L131" s="95" t="n"/>
      <c r="M131" s="95" t="n"/>
      <c r="N131" s="95" t="n"/>
      <c r="O131" s="95" t="n"/>
      <c r="P131" s="95" t="n"/>
      <c r="Q131" s="95" t="n"/>
      <c r="R131" s="95" t="n"/>
    </row>
    <row r="132" ht="15.75" customHeight="1" s="230">
      <c r="A132" s="95" t="n"/>
      <c r="B132" s="95" t="n"/>
      <c r="C132" s="95" t="n"/>
      <c r="D132" s="95" t="n"/>
      <c r="E132" s="95" t="n"/>
      <c r="F132" s="120" t="n"/>
      <c r="G132" s="95" t="n"/>
      <c r="H132" s="95" t="n"/>
      <c r="I132" s="95" t="n"/>
      <c r="J132" s="95" t="n"/>
      <c r="K132" s="95" t="n"/>
      <c r="L132" s="95" t="n"/>
      <c r="M132" s="95" t="n"/>
      <c r="N132" s="95" t="n"/>
      <c r="O132" s="95" t="n"/>
      <c r="P132" s="95" t="n"/>
      <c r="Q132" s="95" t="n"/>
      <c r="R132" s="95" t="n"/>
    </row>
    <row r="133" ht="15.75" customHeight="1" s="230">
      <c r="A133" s="95" t="n"/>
      <c r="B133" s="95" t="n"/>
      <c r="C133" s="95" t="n"/>
      <c r="D133" s="95" t="n"/>
      <c r="E133" s="95" t="n"/>
      <c r="F133" s="120" t="n"/>
      <c r="G133" s="95" t="n"/>
      <c r="H133" s="95" t="n"/>
      <c r="I133" s="95" t="n"/>
      <c r="J133" s="95" t="n"/>
      <c r="K133" s="95" t="n"/>
      <c r="L133" s="95" t="n"/>
      <c r="M133" s="95" t="n"/>
      <c r="N133" s="95" t="n"/>
      <c r="O133" s="95" t="n"/>
      <c r="P133" s="95" t="n"/>
      <c r="Q133" s="95" t="n"/>
      <c r="R133" s="95" t="n"/>
    </row>
    <row r="134" ht="15.75" customHeight="1" s="230">
      <c r="A134" s="95" t="n"/>
      <c r="B134" s="95" t="n"/>
      <c r="C134" s="95" t="n"/>
      <c r="D134" s="95" t="n"/>
      <c r="E134" s="95" t="n"/>
      <c r="F134" s="120" t="n"/>
      <c r="G134" s="95" t="n"/>
      <c r="H134" s="95" t="n"/>
      <c r="I134" s="95" t="n"/>
      <c r="J134" s="95" t="n"/>
      <c r="K134" s="95" t="n"/>
      <c r="L134" s="95" t="n"/>
      <c r="M134" s="95" t="n"/>
      <c r="N134" s="95" t="n"/>
      <c r="O134" s="95" t="n"/>
      <c r="P134" s="95" t="n"/>
      <c r="Q134" s="95" t="n"/>
      <c r="R134" s="95" t="n"/>
    </row>
    <row r="135" ht="15.75" customHeight="1" s="230">
      <c r="A135" s="95" t="n"/>
      <c r="B135" s="95" t="n"/>
      <c r="C135" s="95" t="n"/>
      <c r="D135" s="95" t="n"/>
      <c r="E135" s="95" t="n"/>
      <c r="F135" s="120" t="n"/>
      <c r="G135" s="95" t="n"/>
      <c r="H135" s="95" t="n"/>
      <c r="I135" s="95" t="n"/>
      <c r="J135" s="95" t="n"/>
      <c r="K135" s="95" t="n"/>
      <c r="L135" s="95" t="n"/>
      <c r="M135" s="95" t="n"/>
      <c r="N135" s="95" t="n"/>
      <c r="O135" s="95" t="n"/>
      <c r="P135" s="95" t="n"/>
      <c r="Q135" s="95" t="n"/>
      <c r="R135" s="95" t="n"/>
    </row>
    <row r="136" ht="15.75" customHeight="1" s="230">
      <c r="A136" s="95" t="n"/>
      <c r="B136" s="95" t="n"/>
      <c r="C136" s="95" t="n"/>
      <c r="D136" s="95" t="n"/>
      <c r="E136" s="95" t="n"/>
      <c r="F136" s="120" t="n"/>
      <c r="G136" s="95" t="n"/>
      <c r="H136" s="95" t="n"/>
      <c r="I136" s="95" t="n"/>
      <c r="J136" s="95" t="n"/>
      <c r="K136" s="95" t="n"/>
      <c r="L136" s="95" t="n"/>
      <c r="M136" s="95" t="n"/>
      <c r="N136" s="95" t="n"/>
      <c r="O136" s="95" t="n"/>
      <c r="P136" s="95" t="n"/>
      <c r="Q136" s="95" t="n"/>
      <c r="R136" s="95" t="n"/>
    </row>
    <row r="137" ht="15.75" customHeight="1" s="230">
      <c r="A137" s="95" t="n"/>
      <c r="B137" s="95" t="n"/>
      <c r="C137" s="95" t="n"/>
      <c r="D137" s="95" t="n"/>
      <c r="E137" s="95" t="n"/>
      <c r="F137" s="120" t="n"/>
      <c r="G137" s="95" t="n"/>
      <c r="H137" s="95" t="n"/>
      <c r="I137" s="95" t="n"/>
      <c r="J137" s="95" t="n"/>
      <c r="K137" s="95" t="n"/>
      <c r="L137" s="95" t="n"/>
      <c r="M137" s="95" t="n"/>
      <c r="N137" s="95" t="n"/>
      <c r="O137" s="95" t="n"/>
      <c r="P137" s="95" t="n"/>
      <c r="Q137" s="95" t="n"/>
      <c r="R137" s="95" t="n"/>
    </row>
    <row r="138" ht="15.75" customHeight="1" s="230">
      <c r="A138" s="95" t="n"/>
      <c r="B138" s="95" t="n"/>
      <c r="C138" s="95" t="n"/>
      <c r="D138" s="95" t="n"/>
      <c r="E138" s="95" t="n"/>
      <c r="F138" s="120" t="n"/>
      <c r="G138" s="95" t="n"/>
      <c r="H138" s="95" t="n"/>
      <c r="I138" s="95" t="n"/>
      <c r="J138" s="95" t="n"/>
      <c r="K138" s="95" t="n"/>
      <c r="L138" s="95" t="n"/>
      <c r="M138" s="95" t="n"/>
      <c r="N138" s="95" t="n"/>
      <c r="O138" s="95" t="n"/>
      <c r="P138" s="95" t="n"/>
      <c r="Q138" s="95" t="n"/>
      <c r="R138" s="95" t="n"/>
    </row>
    <row r="139" ht="15.75" customHeight="1" s="230">
      <c r="A139" s="95" t="n"/>
      <c r="B139" s="95" t="n"/>
      <c r="C139" s="95" t="n"/>
      <c r="D139" s="95" t="n"/>
      <c r="E139" s="95" t="n"/>
      <c r="F139" s="120" t="n"/>
      <c r="G139" s="95" t="n"/>
      <c r="H139" s="95" t="n"/>
      <c r="I139" s="95" t="n"/>
      <c r="J139" s="95" t="n"/>
      <c r="K139" s="95" t="n"/>
      <c r="L139" s="95" t="n"/>
      <c r="M139" s="95" t="n"/>
      <c r="N139" s="95" t="n"/>
      <c r="O139" s="95" t="n"/>
      <c r="P139" s="95" t="n"/>
      <c r="Q139" s="95" t="n"/>
      <c r="R139" s="95" t="n"/>
    </row>
    <row r="140" ht="15.75" customHeight="1" s="230">
      <c r="A140" s="95" t="n"/>
      <c r="B140" s="95" t="n"/>
      <c r="C140" s="95" t="n"/>
      <c r="D140" s="95" t="n"/>
      <c r="E140" s="95" t="n"/>
      <c r="F140" s="120" t="n"/>
      <c r="G140" s="95" t="n"/>
      <c r="H140" s="95" t="n"/>
      <c r="I140" s="95" t="n"/>
      <c r="J140" s="95" t="n"/>
      <c r="K140" s="95" t="n"/>
      <c r="L140" s="95" t="n"/>
      <c r="M140" s="95" t="n"/>
      <c r="N140" s="95" t="n"/>
      <c r="O140" s="95" t="n"/>
      <c r="P140" s="95" t="n"/>
      <c r="Q140" s="95" t="n"/>
      <c r="R140" s="95" t="n"/>
    </row>
    <row r="141" ht="15.75" customHeight="1" s="230">
      <c r="A141" s="95" t="n"/>
      <c r="B141" s="95" t="n"/>
      <c r="C141" s="95" t="n"/>
      <c r="D141" s="95" t="n"/>
      <c r="E141" s="95" t="n"/>
      <c r="F141" s="120" t="n"/>
      <c r="G141" s="95" t="n"/>
      <c r="H141" s="95" t="n"/>
      <c r="I141" s="95" t="n"/>
      <c r="J141" s="95" t="n"/>
      <c r="K141" s="95" t="n"/>
      <c r="L141" s="95" t="n"/>
      <c r="M141" s="95" t="n"/>
      <c r="N141" s="95" t="n"/>
      <c r="O141" s="95" t="n"/>
      <c r="P141" s="95" t="n"/>
      <c r="Q141" s="95" t="n"/>
      <c r="R141" s="95" t="n"/>
    </row>
    <row r="142" ht="15.75" customHeight="1" s="230">
      <c r="A142" s="95" t="n"/>
      <c r="B142" s="95" t="n"/>
      <c r="C142" s="95" t="n"/>
      <c r="D142" s="95" t="n"/>
      <c r="E142" s="95" t="n"/>
      <c r="F142" s="120" t="n"/>
      <c r="G142" s="95" t="n"/>
      <c r="H142" s="95" t="n"/>
      <c r="I142" s="95" t="n"/>
      <c r="J142" s="95" t="n"/>
      <c r="K142" s="95" t="n"/>
      <c r="L142" s="95" t="n"/>
      <c r="M142" s="95" t="n"/>
      <c r="N142" s="95" t="n"/>
      <c r="O142" s="95" t="n"/>
      <c r="P142" s="95" t="n"/>
      <c r="Q142" s="95" t="n"/>
      <c r="R142" s="95" t="n"/>
    </row>
    <row r="143" ht="15.75" customHeight="1" s="230">
      <c r="A143" s="95" t="n"/>
      <c r="B143" s="95" t="n"/>
      <c r="C143" s="95" t="n"/>
      <c r="D143" s="95" t="n"/>
      <c r="E143" s="95" t="n"/>
      <c r="F143" s="120" t="n"/>
      <c r="G143" s="95" t="n"/>
      <c r="H143" s="95" t="n"/>
      <c r="I143" s="95" t="n"/>
      <c r="J143" s="95" t="n"/>
      <c r="K143" s="95" t="n"/>
      <c r="L143" s="95" t="n"/>
      <c r="M143" s="95" t="n"/>
      <c r="N143" s="95" t="n"/>
      <c r="O143" s="95" t="n"/>
      <c r="P143" s="95" t="n"/>
      <c r="Q143" s="95" t="n"/>
      <c r="R143" s="95" t="n"/>
    </row>
    <row r="144" ht="15.75" customHeight="1" s="230">
      <c r="A144" s="95" t="n"/>
      <c r="B144" s="95" t="n"/>
      <c r="C144" s="95" t="n"/>
      <c r="D144" s="95" t="n"/>
      <c r="E144" s="95" t="n"/>
      <c r="F144" s="120" t="n"/>
      <c r="G144" s="95" t="n"/>
      <c r="H144" s="95" t="n"/>
      <c r="I144" s="95" t="n"/>
      <c r="J144" s="95" t="n"/>
      <c r="K144" s="95" t="n"/>
      <c r="L144" s="95" t="n"/>
      <c r="M144" s="95" t="n"/>
      <c r="N144" s="95" t="n"/>
      <c r="O144" s="95" t="n"/>
      <c r="P144" s="95" t="n"/>
      <c r="Q144" s="95" t="n"/>
      <c r="R144" s="95" t="n"/>
    </row>
    <row r="145" ht="15.75" customHeight="1" s="230">
      <c r="A145" s="95" t="n"/>
      <c r="B145" s="95" t="n"/>
      <c r="C145" s="95" t="n"/>
      <c r="D145" s="95" t="n"/>
      <c r="E145" s="95" t="n"/>
      <c r="F145" s="120" t="n"/>
      <c r="G145" s="95" t="n"/>
      <c r="H145" s="95" t="n"/>
      <c r="I145" s="95" t="n"/>
      <c r="J145" s="95" t="n"/>
      <c r="K145" s="95" t="n"/>
      <c r="L145" s="95" t="n"/>
      <c r="M145" s="95" t="n"/>
      <c r="N145" s="95" t="n"/>
      <c r="O145" s="95" t="n"/>
      <c r="P145" s="95" t="n"/>
      <c r="Q145" s="95" t="n"/>
      <c r="R145" s="95" t="n"/>
    </row>
    <row r="146" ht="15.75" customHeight="1" s="230">
      <c r="A146" s="95" t="n"/>
      <c r="B146" s="95" t="n"/>
      <c r="C146" s="95" t="n"/>
      <c r="D146" s="95" t="n"/>
      <c r="E146" s="95" t="n"/>
      <c r="F146" s="120" t="n"/>
      <c r="G146" s="95" t="n"/>
      <c r="H146" s="95" t="n"/>
      <c r="I146" s="95" t="n"/>
      <c r="J146" s="95" t="n"/>
      <c r="K146" s="95" t="n"/>
      <c r="L146" s="95" t="n"/>
      <c r="M146" s="95" t="n"/>
      <c r="N146" s="95" t="n"/>
      <c r="O146" s="95" t="n"/>
      <c r="P146" s="95" t="n"/>
      <c r="Q146" s="95" t="n"/>
      <c r="R146" s="95" t="n"/>
    </row>
    <row r="147" ht="15.75" customHeight="1" s="230">
      <c r="A147" s="95" t="n"/>
      <c r="B147" s="95" t="n"/>
      <c r="C147" s="95" t="n"/>
      <c r="D147" s="95" t="n"/>
      <c r="E147" s="95" t="n"/>
      <c r="F147" s="120" t="n"/>
      <c r="G147" s="95" t="n"/>
      <c r="H147" s="95" t="n"/>
      <c r="I147" s="95" t="n"/>
      <c r="J147" s="95" t="n"/>
      <c r="K147" s="95" t="n"/>
      <c r="L147" s="95" t="n"/>
      <c r="M147" s="95" t="n"/>
      <c r="N147" s="95" t="n"/>
      <c r="O147" s="95" t="n"/>
      <c r="P147" s="95" t="n"/>
      <c r="Q147" s="95" t="n"/>
      <c r="R147" s="95" t="n"/>
    </row>
    <row r="148" ht="15.75" customHeight="1" s="230">
      <c r="A148" s="95" t="n"/>
      <c r="B148" s="95" t="n"/>
      <c r="C148" s="95" t="n"/>
      <c r="D148" s="95" t="n"/>
      <c r="E148" s="95" t="n"/>
      <c r="F148" s="120" t="n"/>
      <c r="G148" s="95" t="n"/>
      <c r="H148" s="95" t="n"/>
      <c r="I148" s="95" t="n"/>
      <c r="J148" s="95" t="n"/>
      <c r="K148" s="95" t="n"/>
      <c r="L148" s="95" t="n"/>
      <c r="M148" s="95" t="n"/>
      <c r="N148" s="95" t="n"/>
      <c r="O148" s="95" t="n"/>
      <c r="P148" s="95" t="n"/>
      <c r="Q148" s="95" t="n"/>
      <c r="R148" s="95" t="n"/>
    </row>
    <row r="149" ht="15.75" customHeight="1" s="230">
      <c r="A149" s="95" t="n"/>
      <c r="B149" s="95" t="n"/>
      <c r="C149" s="95" t="n"/>
      <c r="D149" s="95" t="n"/>
      <c r="E149" s="95" t="n"/>
      <c r="F149" s="120" t="n"/>
      <c r="G149" s="95" t="n"/>
      <c r="H149" s="95" t="n"/>
      <c r="I149" s="95" t="n"/>
      <c r="J149" s="95" t="n"/>
      <c r="K149" s="95" t="n"/>
      <c r="L149" s="95" t="n"/>
      <c r="M149" s="95" t="n"/>
      <c r="N149" s="95" t="n"/>
      <c r="O149" s="95" t="n"/>
      <c r="P149" s="95" t="n"/>
      <c r="Q149" s="95" t="n"/>
      <c r="R149" s="95" t="n"/>
    </row>
    <row r="150" ht="15.75" customHeight="1" s="230">
      <c r="A150" s="95" t="n"/>
      <c r="B150" s="95" t="n"/>
      <c r="C150" s="95" t="n"/>
      <c r="D150" s="95" t="n"/>
      <c r="E150" s="95" t="n"/>
      <c r="F150" s="120" t="n"/>
      <c r="G150" s="95" t="n"/>
      <c r="H150" s="95" t="n"/>
      <c r="I150" s="95" t="n"/>
      <c r="J150" s="95" t="n"/>
      <c r="K150" s="95" t="n"/>
      <c r="L150" s="95" t="n"/>
      <c r="M150" s="95" t="n"/>
      <c r="N150" s="95" t="n"/>
      <c r="O150" s="95" t="n"/>
      <c r="P150" s="95" t="n"/>
      <c r="Q150" s="95" t="n"/>
      <c r="R150" s="95" t="n"/>
    </row>
    <row r="151" ht="15.75" customHeight="1" s="230">
      <c r="A151" s="95" t="n"/>
      <c r="B151" s="95" t="n"/>
      <c r="C151" s="95" t="n"/>
      <c r="D151" s="95" t="n"/>
      <c r="E151" s="95" t="n"/>
      <c r="F151" s="120" t="n"/>
      <c r="G151" s="95" t="n"/>
      <c r="H151" s="95" t="n"/>
      <c r="I151" s="95" t="n"/>
      <c r="J151" s="95" t="n"/>
      <c r="K151" s="95" t="n"/>
      <c r="L151" s="95" t="n"/>
      <c r="M151" s="95" t="n"/>
      <c r="N151" s="95" t="n"/>
      <c r="O151" s="95" t="n"/>
      <c r="P151" s="95" t="n"/>
      <c r="Q151" s="95" t="n"/>
      <c r="R151" s="95" t="n"/>
    </row>
    <row r="152" ht="15.75" customHeight="1" s="230">
      <c r="A152" s="95" t="n"/>
      <c r="B152" s="95" t="n"/>
      <c r="C152" s="95" t="n"/>
      <c r="D152" s="95" t="n"/>
      <c r="E152" s="95" t="n"/>
      <c r="F152" s="120" t="n"/>
      <c r="G152" s="95" t="n"/>
      <c r="H152" s="95" t="n"/>
      <c r="I152" s="95" t="n"/>
      <c r="J152" s="95" t="n"/>
      <c r="K152" s="95" t="n"/>
      <c r="L152" s="95" t="n"/>
      <c r="M152" s="95" t="n"/>
      <c r="N152" s="95" t="n"/>
      <c r="O152" s="95" t="n"/>
      <c r="P152" s="95" t="n"/>
      <c r="Q152" s="95" t="n"/>
      <c r="R152" s="95" t="n"/>
    </row>
    <row r="153" ht="15.75" customHeight="1" s="230">
      <c r="A153" s="95" t="n"/>
      <c r="B153" s="95" t="n"/>
      <c r="C153" s="95" t="n"/>
      <c r="D153" s="95" t="n"/>
      <c r="E153" s="95" t="n"/>
      <c r="F153" s="120" t="n"/>
      <c r="G153" s="95" t="n"/>
      <c r="H153" s="95" t="n"/>
      <c r="I153" s="95" t="n"/>
      <c r="J153" s="95" t="n"/>
      <c r="K153" s="95" t="n"/>
      <c r="L153" s="95" t="n"/>
      <c r="M153" s="95" t="n"/>
      <c r="N153" s="95" t="n"/>
      <c r="O153" s="95" t="n"/>
      <c r="P153" s="95" t="n"/>
      <c r="Q153" s="95" t="n"/>
      <c r="R153" s="95" t="n"/>
    </row>
    <row r="154" ht="15.75" customHeight="1" s="230">
      <c r="A154" s="95" t="n"/>
      <c r="B154" s="95" t="n"/>
      <c r="C154" s="95" t="n"/>
      <c r="D154" s="95" t="n"/>
      <c r="E154" s="95" t="n"/>
      <c r="F154" s="120" t="n"/>
      <c r="G154" s="95" t="n"/>
      <c r="H154" s="95" t="n"/>
      <c r="I154" s="95" t="n"/>
      <c r="J154" s="95" t="n"/>
      <c r="K154" s="95" t="n"/>
      <c r="L154" s="95" t="n"/>
      <c r="M154" s="95" t="n"/>
      <c r="N154" s="95" t="n"/>
      <c r="O154" s="95" t="n"/>
      <c r="P154" s="95" t="n"/>
      <c r="Q154" s="95" t="n"/>
      <c r="R154" s="95" t="n"/>
    </row>
    <row r="155" ht="15.75" customHeight="1" s="230">
      <c r="A155" s="95" t="n"/>
      <c r="B155" s="95" t="n"/>
      <c r="C155" s="95" t="n"/>
      <c r="D155" s="95" t="n"/>
      <c r="E155" s="95" t="n"/>
      <c r="F155" s="120" t="n"/>
      <c r="G155" s="95" t="n"/>
      <c r="H155" s="95" t="n"/>
      <c r="I155" s="95" t="n"/>
      <c r="J155" s="95" t="n"/>
      <c r="K155" s="95" t="n"/>
      <c r="L155" s="95" t="n"/>
      <c r="M155" s="95" t="n"/>
      <c r="N155" s="95" t="n"/>
      <c r="O155" s="95" t="n"/>
      <c r="P155" s="95" t="n"/>
      <c r="Q155" s="95" t="n"/>
      <c r="R155" s="95" t="n"/>
    </row>
    <row r="156" ht="15.75" customHeight="1" s="230">
      <c r="A156" s="95" t="n"/>
      <c r="B156" s="95" t="n"/>
      <c r="C156" s="95" t="n"/>
      <c r="D156" s="95" t="n"/>
      <c r="E156" s="95" t="n"/>
      <c r="F156" s="120" t="n"/>
      <c r="G156" s="95" t="n"/>
      <c r="H156" s="95" t="n"/>
      <c r="I156" s="95" t="n"/>
      <c r="J156" s="95" t="n"/>
      <c r="K156" s="95" t="n"/>
      <c r="L156" s="95" t="n"/>
      <c r="M156" s="95" t="n"/>
      <c r="N156" s="95" t="n"/>
      <c r="O156" s="95" t="n"/>
      <c r="P156" s="95" t="n"/>
      <c r="Q156" s="95" t="n"/>
      <c r="R156" s="95" t="n"/>
    </row>
    <row r="157" ht="15.75" customHeight="1" s="230">
      <c r="A157" s="95" t="n"/>
      <c r="B157" s="95" t="n"/>
      <c r="C157" s="95" t="n"/>
      <c r="D157" s="95" t="n"/>
      <c r="E157" s="95" t="n"/>
      <c r="F157" s="120" t="n"/>
      <c r="G157" s="95" t="n"/>
      <c r="H157" s="95" t="n"/>
      <c r="I157" s="95" t="n"/>
      <c r="J157" s="95" t="n"/>
      <c r="K157" s="95" t="n"/>
      <c r="L157" s="95" t="n"/>
      <c r="M157" s="95" t="n"/>
      <c r="N157" s="95" t="n"/>
      <c r="O157" s="95" t="n"/>
      <c r="P157" s="95" t="n"/>
      <c r="Q157" s="95" t="n"/>
      <c r="R157" s="95" t="n"/>
    </row>
    <row r="158" ht="15.75" customHeight="1" s="230">
      <c r="A158" s="95" t="n"/>
      <c r="B158" s="95" t="n"/>
      <c r="C158" s="95" t="n"/>
      <c r="D158" s="95" t="n"/>
      <c r="E158" s="95" t="n"/>
      <c r="F158" s="120" t="n"/>
      <c r="G158" s="95" t="n"/>
      <c r="H158" s="95" t="n"/>
      <c r="I158" s="95" t="n"/>
      <c r="J158" s="95" t="n"/>
      <c r="K158" s="95" t="n"/>
      <c r="L158" s="95" t="n"/>
      <c r="M158" s="95" t="n"/>
      <c r="N158" s="95" t="n"/>
      <c r="O158" s="95" t="n"/>
      <c r="P158" s="95" t="n"/>
      <c r="Q158" s="95" t="n"/>
      <c r="R158" s="95" t="n"/>
    </row>
    <row r="159" ht="15.75" customHeight="1" s="230">
      <c r="A159" s="95" t="n"/>
      <c r="B159" s="95" t="n"/>
      <c r="C159" s="95" t="n"/>
      <c r="D159" s="95" t="n"/>
      <c r="E159" s="95" t="n"/>
      <c r="F159" s="120" t="n"/>
      <c r="G159" s="95" t="n"/>
      <c r="H159" s="95" t="n"/>
      <c r="I159" s="95" t="n"/>
      <c r="J159" s="95" t="n"/>
      <c r="K159" s="95" t="n"/>
      <c r="L159" s="95" t="n"/>
      <c r="M159" s="95" t="n"/>
      <c r="N159" s="95" t="n"/>
      <c r="O159" s="95" t="n"/>
      <c r="P159" s="95" t="n"/>
      <c r="Q159" s="95" t="n"/>
      <c r="R159" s="95" t="n"/>
    </row>
    <row r="160" ht="15.75" customHeight="1" s="230">
      <c r="A160" s="95" t="n"/>
      <c r="B160" s="95" t="n"/>
      <c r="C160" s="95" t="n"/>
      <c r="D160" s="95" t="n"/>
      <c r="E160" s="95" t="n"/>
      <c r="F160" s="120" t="n"/>
      <c r="G160" s="95" t="n"/>
      <c r="H160" s="95" t="n"/>
      <c r="I160" s="95" t="n"/>
      <c r="J160" s="95" t="n"/>
      <c r="K160" s="95" t="n"/>
      <c r="L160" s="95" t="n"/>
      <c r="M160" s="95" t="n"/>
      <c r="N160" s="95" t="n"/>
      <c r="O160" s="95" t="n"/>
      <c r="P160" s="95" t="n"/>
      <c r="Q160" s="95" t="n"/>
      <c r="R160" s="95" t="n"/>
    </row>
    <row r="161" ht="15.75" customHeight="1" s="230">
      <c r="A161" s="95" t="n"/>
      <c r="B161" s="95" t="n"/>
      <c r="C161" s="95" t="n"/>
      <c r="D161" s="95" t="n"/>
      <c r="E161" s="95" t="n"/>
      <c r="F161" s="120" t="n"/>
      <c r="G161" s="95" t="n"/>
      <c r="H161" s="95" t="n"/>
      <c r="I161" s="95" t="n"/>
      <c r="J161" s="95" t="n"/>
      <c r="K161" s="95" t="n"/>
      <c r="L161" s="95" t="n"/>
      <c r="M161" s="95" t="n"/>
      <c r="N161" s="95" t="n"/>
      <c r="O161" s="95" t="n"/>
      <c r="P161" s="95" t="n"/>
      <c r="Q161" s="95" t="n"/>
      <c r="R161" s="95" t="n"/>
    </row>
    <row r="162" ht="15.75" customHeight="1" s="230">
      <c r="A162" s="95" t="n"/>
      <c r="B162" s="95" t="n"/>
      <c r="C162" s="95" t="n"/>
      <c r="D162" s="95" t="n"/>
      <c r="E162" s="95" t="n"/>
      <c r="F162" s="120" t="n"/>
      <c r="G162" s="95" t="n"/>
      <c r="H162" s="95" t="n"/>
      <c r="I162" s="95" t="n"/>
      <c r="J162" s="95" t="n"/>
      <c r="K162" s="95" t="n"/>
      <c r="L162" s="95" t="n"/>
      <c r="M162" s="95" t="n"/>
      <c r="N162" s="95" t="n"/>
      <c r="O162" s="95" t="n"/>
      <c r="P162" s="95" t="n"/>
      <c r="Q162" s="95" t="n"/>
      <c r="R162" s="95" t="n"/>
    </row>
    <row r="163" ht="15.75" customHeight="1" s="230">
      <c r="A163" s="95" t="n"/>
      <c r="B163" s="95" t="n"/>
      <c r="C163" s="95" t="n"/>
      <c r="D163" s="95" t="n"/>
      <c r="E163" s="95" t="n"/>
      <c r="F163" s="120" t="n"/>
      <c r="G163" s="95" t="n"/>
      <c r="H163" s="95" t="n"/>
      <c r="I163" s="95" t="n"/>
      <c r="J163" s="95" t="n"/>
      <c r="K163" s="95" t="n"/>
      <c r="L163" s="95" t="n"/>
      <c r="M163" s="95" t="n"/>
      <c r="N163" s="95" t="n"/>
      <c r="O163" s="95" t="n"/>
      <c r="P163" s="95" t="n"/>
      <c r="Q163" s="95" t="n"/>
      <c r="R163" s="95" t="n"/>
    </row>
    <row r="164" ht="15.75" customHeight="1" s="230">
      <c r="A164" s="95" t="n"/>
      <c r="B164" s="95" t="n"/>
      <c r="C164" s="95" t="n"/>
      <c r="D164" s="95" t="n"/>
      <c r="E164" s="95" t="n"/>
      <c r="F164" s="120" t="n"/>
      <c r="G164" s="95" t="n"/>
      <c r="H164" s="95" t="n"/>
      <c r="I164" s="95" t="n"/>
      <c r="J164" s="95" t="n"/>
      <c r="K164" s="95" t="n"/>
      <c r="L164" s="95" t="n"/>
      <c r="M164" s="95" t="n"/>
      <c r="N164" s="95" t="n"/>
      <c r="O164" s="95" t="n"/>
      <c r="P164" s="95" t="n"/>
      <c r="Q164" s="95" t="n"/>
      <c r="R164" s="95" t="n"/>
    </row>
    <row r="165" ht="15.75" customHeight="1" s="230">
      <c r="A165" s="95" t="n"/>
      <c r="B165" s="95" t="n"/>
      <c r="C165" s="95" t="n"/>
      <c r="D165" s="95" t="n"/>
      <c r="E165" s="95" t="n"/>
      <c r="F165" s="120" t="n"/>
      <c r="G165" s="95" t="n"/>
      <c r="H165" s="95" t="n"/>
      <c r="I165" s="95" t="n"/>
      <c r="J165" s="95" t="n"/>
      <c r="K165" s="95" t="n"/>
      <c r="L165" s="95" t="n"/>
      <c r="M165" s="95" t="n"/>
      <c r="N165" s="95" t="n"/>
      <c r="O165" s="95" t="n"/>
      <c r="P165" s="95" t="n"/>
      <c r="Q165" s="95" t="n"/>
      <c r="R165" s="95" t="n"/>
    </row>
    <row r="166" ht="15.75" customHeight="1" s="230">
      <c r="A166" s="95" t="n"/>
      <c r="B166" s="95" t="n"/>
      <c r="C166" s="95" t="n"/>
      <c r="D166" s="95" t="n"/>
      <c r="E166" s="95" t="n"/>
      <c r="F166" s="120" t="n"/>
      <c r="G166" s="95" t="n"/>
      <c r="H166" s="95" t="n"/>
      <c r="I166" s="95" t="n"/>
      <c r="J166" s="95" t="n"/>
      <c r="K166" s="95" t="n"/>
      <c r="L166" s="95" t="n"/>
      <c r="M166" s="95" t="n"/>
      <c r="N166" s="95" t="n"/>
      <c r="O166" s="95" t="n"/>
      <c r="P166" s="95" t="n"/>
      <c r="Q166" s="95" t="n"/>
      <c r="R166" s="95" t="n"/>
    </row>
    <row r="167" ht="15.75" customHeight="1" s="230">
      <c r="A167" s="95" t="n"/>
      <c r="B167" s="95" t="n"/>
      <c r="C167" s="95" t="n"/>
      <c r="D167" s="95" t="n"/>
      <c r="E167" s="95" t="n"/>
      <c r="F167" s="120" t="n"/>
      <c r="G167" s="95" t="n"/>
      <c r="H167" s="95" t="n"/>
      <c r="I167" s="95" t="n"/>
      <c r="J167" s="95" t="n"/>
      <c r="K167" s="95" t="n"/>
      <c r="L167" s="95" t="n"/>
      <c r="M167" s="95" t="n"/>
      <c r="N167" s="95" t="n"/>
      <c r="O167" s="95" t="n"/>
      <c r="P167" s="95" t="n"/>
      <c r="Q167" s="95" t="n"/>
      <c r="R167" s="95" t="n"/>
    </row>
    <row r="168" ht="15.75" customHeight="1" s="230">
      <c r="A168" s="95" t="n"/>
      <c r="B168" s="95" t="n"/>
      <c r="C168" s="95" t="n"/>
      <c r="D168" s="95" t="n"/>
      <c r="E168" s="95" t="n"/>
      <c r="F168" s="120" t="n"/>
      <c r="G168" s="95" t="n"/>
      <c r="H168" s="95" t="n"/>
      <c r="I168" s="95" t="n"/>
      <c r="J168" s="95" t="n"/>
      <c r="K168" s="95" t="n"/>
      <c r="L168" s="95" t="n"/>
      <c r="M168" s="95" t="n"/>
      <c r="N168" s="95" t="n"/>
      <c r="O168" s="95" t="n"/>
      <c r="P168" s="95" t="n"/>
      <c r="Q168" s="95" t="n"/>
      <c r="R168" s="95" t="n"/>
    </row>
    <row r="169" ht="15.75" customHeight="1" s="230">
      <c r="A169" s="95" t="n"/>
      <c r="B169" s="95" t="n"/>
      <c r="C169" s="95" t="n"/>
      <c r="D169" s="95" t="n"/>
      <c r="E169" s="95" t="n"/>
      <c r="F169" s="120" t="n"/>
      <c r="G169" s="95" t="n"/>
      <c r="H169" s="95" t="n"/>
      <c r="I169" s="95" t="n"/>
      <c r="J169" s="95" t="n"/>
      <c r="K169" s="95" t="n"/>
      <c r="L169" s="95" t="n"/>
      <c r="M169" s="95" t="n"/>
      <c r="N169" s="95" t="n"/>
      <c r="O169" s="95" t="n"/>
      <c r="P169" s="95" t="n"/>
      <c r="Q169" s="95" t="n"/>
      <c r="R169" s="95" t="n"/>
    </row>
    <row r="170" ht="15.75" customHeight="1" s="230">
      <c r="A170" s="95" t="n"/>
      <c r="B170" s="95" t="n"/>
      <c r="C170" s="95" t="n"/>
      <c r="D170" s="95" t="n"/>
      <c r="E170" s="95" t="n"/>
      <c r="F170" s="120" t="n"/>
      <c r="G170" s="95" t="n"/>
      <c r="H170" s="95" t="n"/>
      <c r="I170" s="95" t="n"/>
      <c r="J170" s="95" t="n"/>
      <c r="K170" s="95" t="n"/>
      <c r="L170" s="95" t="n"/>
      <c r="M170" s="95" t="n"/>
      <c r="N170" s="95" t="n"/>
      <c r="O170" s="95" t="n"/>
      <c r="P170" s="95" t="n"/>
      <c r="Q170" s="95" t="n"/>
      <c r="R170" s="95" t="n"/>
    </row>
    <row r="171" ht="15.75" customHeight="1" s="230">
      <c r="A171" s="95" t="n"/>
      <c r="B171" s="95" t="n"/>
      <c r="C171" s="95" t="n"/>
      <c r="D171" s="95" t="n"/>
      <c r="E171" s="95" t="n"/>
      <c r="F171" s="120" t="n"/>
      <c r="G171" s="95" t="n"/>
      <c r="H171" s="95" t="n"/>
      <c r="I171" s="95" t="n"/>
      <c r="J171" s="95" t="n"/>
      <c r="K171" s="95" t="n"/>
      <c r="L171" s="95" t="n"/>
      <c r="M171" s="95" t="n"/>
      <c r="N171" s="95" t="n"/>
      <c r="O171" s="95" t="n"/>
      <c r="P171" s="95" t="n"/>
      <c r="Q171" s="95" t="n"/>
      <c r="R171" s="95" t="n"/>
    </row>
    <row r="172" ht="15.75" customHeight="1" s="230">
      <c r="A172" s="95" t="n"/>
      <c r="B172" s="95" t="n"/>
      <c r="C172" s="95" t="n"/>
      <c r="D172" s="95" t="n"/>
      <c r="E172" s="95" t="n"/>
      <c r="F172" s="120" t="n"/>
      <c r="G172" s="95" t="n"/>
      <c r="H172" s="95" t="n"/>
      <c r="I172" s="95" t="n"/>
      <c r="J172" s="95" t="n"/>
      <c r="K172" s="95" t="n"/>
      <c r="L172" s="95" t="n"/>
      <c r="M172" s="95" t="n"/>
      <c r="N172" s="95" t="n"/>
      <c r="O172" s="95" t="n"/>
      <c r="P172" s="95" t="n"/>
      <c r="Q172" s="95" t="n"/>
      <c r="R172" s="95" t="n"/>
    </row>
    <row r="173" ht="15.75" customHeight="1" s="230">
      <c r="A173" s="95" t="n"/>
      <c r="B173" s="95" t="n"/>
      <c r="C173" s="95" t="n"/>
      <c r="D173" s="95" t="n"/>
      <c r="E173" s="95" t="n"/>
      <c r="F173" s="120" t="n"/>
      <c r="G173" s="95" t="n"/>
      <c r="H173" s="95" t="n"/>
      <c r="I173" s="95" t="n"/>
      <c r="J173" s="95" t="n"/>
      <c r="K173" s="95" t="n"/>
      <c r="L173" s="95" t="n"/>
      <c r="M173" s="95" t="n"/>
      <c r="N173" s="95" t="n"/>
      <c r="O173" s="95" t="n"/>
      <c r="P173" s="95" t="n"/>
      <c r="Q173" s="95" t="n"/>
      <c r="R173" s="95" t="n"/>
    </row>
    <row r="174" ht="15.75" customHeight="1" s="230">
      <c r="A174" s="95" t="n"/>
      <c r="B174" s="95" t="n"/>
      <c r="C174" s="95" t="n"/>
      <c r="D174" s="95" t="n"/>
      <c r="E174" s="95" t="n"/>
      <c r="F174" s="120" t="n"/>
      <c r="G174" s="95" t="n"/>
      <c r="H174" s="95" t="n"/>
      <c r="I174" s="95" t="n"/>
      <c r="J174" s="95" t="n"/>
      <c r="K174" s="95" t="n"/>
      <c r="L174" s="95" t="n"/>
      <c r="M174" s="95" t="n"/>
      <c r="N174" s="95" t="n"/>
      <c r="O174" s="95" t="n"/>
      <c r="P174" s="95" t="n"/>
      <c r="Q174" s="95" t="n"/>
      <c r="R174" s="95" t="n"/>
    </row>
    <row r="175" ht="15.75" customHeight="1" s="230">
      <c r="A175" s="95" t="n"/>
      <c r="B175" s="95" t="n"/>
      <c r="C175" s="95" t="n"/>
      <c r="D175" s="95" t="n"/>
      <c r="E175" s="95" t="n"/>
      <c r="F175" s="120" t="n"/>
      <c r="G175" s="95" t="n"/>
      <c r="H175" s="95" t="n"/>
      <c r="I175" s="95" t="n"/>
      <c r="J175" s="95" t="n"/>
      <c r="K175" s="95" t="n"/>
      <c r="L175" s="95" t="n"/>
      <c r="M175" s="95" t="n"/>
      <c r="N175" s="95" t="n"/>
      <c r="O175" s="95" t="n"/>
      <c r="P175" s="95" t="n"/>
      <c r="Q175" s="95" t="n"/>
      <c r="R175" s="95" t="n"/>
    </row>
    <row r="176" ht="15.75" customHeight="1" s="230">
      <c r="A176" s="95" t="n"/>
      <c r="B176" s="95" t="n"/>
      <c r="C176" s="95" t="n"/>
      <c r="D176" s="95" t="n"/>
      <c r="E176" s="95" t="n"/>
      <c r="F176" s="120" t="n"/>
      <c r="G176" s="95" t="n"/>
      <c r="H176" s="95" t="n"/>
      <c r="I176" s="95" t="n"/>
      <c r="J176" s="95" t="n"/>
      <c r="K176" s="95" t="n"/>
      <c r="L176" s="95" t="n"/>
      <c r="M176" s="95" t="n"/>
      <c r="N176" s="95" t="n"/>
      <c r="O176" s="95" t="n"/>
      <c r="P176" s="95" t="n"/>
      <c r="Q176" s="95" t="n"/>
      <c r="R176" s="95" t="n"/>
    </row>
    <row r="177" ht="15.75" customHeight="1" s="230">
      <c r="A177" s="95" t="n"/>
      <c r="B177" s="95" t="n"/>
      <c r="C177" s="95" t="n"/>
      <c r="D177" s="95" t="n"/>
      <c r="E177" s="95" t="n"/>
      <c r="F177" s="120" t="n"/>
      <c r="G177" s="95" t="n"/>
      <c r="H177" s="95" t="n"/>
      <c r="I177" s="95" t="n"/>
      <c r="J177" s="95" t="n"/>
      <c r="K177" s="95" t="n"/>
      <c r="L177" s="95" t="n"/>
      <c r="M177" s="95" t="n"/>
      <c r="N177" s="95" t="n"/>
      <c r="O177" s="95" t="n"/>
      <c r="P177" s="95" t="n"/>
      <c r="Q177" s="95" t="n"/>
      <c r="R177" s="95" t="n"/>
    </row>
    <row r="178" ht="15.75" customHeight="1" s="230">
      <c r="A178" s="95" t="n"/>
      <c r="B178" s="95" t="n"/>
      <c r="C178" s="95" t="n"/>
      <c r="D178" s="95" t="n"/>
      <c r="E178" s="95" t="n"/>
      <c r="F178" s="120" t="n"/>
      <c r="G178" s="95" t="n"/>
      <c r="H178" s="95" t="n"/>
      <c r="I178" s="95" t="n"/>
      <c r="J178" s="95" t="n"/>
      <c r="K178" s="95" t="n"/>
      <c r="L178" s="95" t="n"/>
      <c r="M178" s="95" t="n"/>
      <c r="N178" s="95" t="n"/>
      <c r="O178" s="95" t="n"/>
      <c r="P178" s="95" t="n"/>
      <c r="Q178" s="95" t="n"/>
      <c r="R178" s="95" t="n"/>
    </row>
    <row r="179" ht="15.75" customHeight="1" s="230">
      <c r="A179" s="95" t="n"/>
      <c r="B179" s="95" t="n"/>
      <c r="C179" s="95" t="n"/>
      <c r="D179" s="95" t="n"/>
      <c r="E179" s="95" t="n"/>
      <c r="F179" s="120" t="n"/>
      <c r="G179" s="95" t="n"/>
      <c r="H179" s="95" t="n"/>
      <c r="I179" s="95" t="n"/>
      <c r="J179" s="95" t="n"/>
      <c r="K179" s="95" t="n"/>
      <c r="L179" s="95" t="n"/>
      <c r="M179" s="95" t="n"/>
      <c r="N179" s="95" t="n"/>
      <c r="O179" s="95" t="n"/>
      <c r="P179" s="95" t="n"/>
      <c r="Q179" s="95" t="n"/>
      <c r="R179" s="95" t="n"/>
    </row>
    <row r="180" ht="15.75" customHeight="1" s="230">
      <c r="A180" s="95" t="n"/>
      <c r="B180" s="95" t="n"/>
      <c r="C180" s="95" t="n"/>
      <c r="D180" s="95" t="n"/>
      <c r="E180" s="95" t="n"/>
      <c r="F180" s="120" t="n"/>
      <c r="G180" s="95" t="n"/>
      <c r="H180" s="95" t="n"/>
      <c r="I180" s="95" t="n"/>
      <c r="J180" s="95" t="n"/>
      <c r="K180" s="95" t="n"/>
      <c r="L180" s="95" t="n"/>
      <c r="M180" s="95" t="n"/>
      <c r="N180" s="95" t="n"/>
      <c r="O180" s="95" t="n"/>
      <c r="P180" s="95" t="n"/>
      <c r="Q180" s="95" t="n"/>
      <c r="R180" s="95" t="n"/>
    </row>
    <row r="181" ht="15.75" customHeight="1" s="230">
      <c r="A181" s="95" t="n"/>
      <c r="B181" s="95" t="n"/>
      <c r="C181" s="95" t="n"/>
      <c r="D181" s="95" t="n"/>
      <c r="E181" s="95" t="n"/>
      <c r="F181" s="120" t="n"/>
      <c r="G181" s="95" t="n"/>
      <c r="H181" s="95" t="n"/>
      <c r="I181" s="95" t="n"/>
      <c r="J181" s="95" t="n"/>
      <c r="K181" s="95" t="n"/>
      <c r="L181" s="95" t="n"/>
      <c r="M181" s="95" t="n"/>
      <c r="N181" s="95" t="n"/>
      <c r="O181" s="95" t="n"/>
      <c r="P181" s="95" t="n"/>
      <c r="Q181" s="95" t="n"/>
      <c r="R181" s="95" t="n"/>
    </row>
    <row r="182" ht="15.75" customHeight="1" s="230">
      <c r="A182" s="95" t="n"/>
      <c r="B182" s="95" t="n"/>
      <c r="C182" s="95" t="n"/>
      <c r="D182" s="95" t="n"/>
      <c r="E182" s="95" t="n"/>
      <c r="F182" s="120" t="n"/>
      <c r="G182" s="95" t="n"/>
      <c r="H182" s="95" t="n"/>
      <c r="I182" s="95" t="n"/>
      <c r="J182" s="95" t="n"/>
      <c r="K182" s="95" t="n"/>
      <c r="L182" s="95" t="n"/>
      <c r="M182" s="95" t="n"/>
      <c r="N182" s="95" t="n"/>
      <c r="O182" s="95" t="n"/>
      <c r="P182" s="95" t="n"/>
      <c r="Q182" s="95" t="n"/>
      <c r="R182" s="95" t="n"/>
    </row>
    <row r="183" ht="15.75" customHeight="1" s="230">
      <c r="A183" s="95" t="n"/>
      <c r="B183" s="95" t="n"/>
      <c r="C183" s="95" t="n"/>
      <c r="D183" s="95" t="n"/>
      <c r="E183" s="95" t="n"/>
      <c r="F183" s="120" t="n"/>
      <c r="G183" s="95" t="n"/>
      <c r="H183" s="95" t="n"/>
      <c r="I183" s="95" t="n"/>
      <c r="J183" s="95" t="n"/>
      <c r="K183" s="95" t="n"/>
      <c r="L183" s="95" t="n"/>
      <c r="M183" s="95" t="n"/>
      <c r="N183" s="95" t="n"/>
      <c r="O183" s="95" t="n"/>
      <c r="P183" s="95" t="n"/>
      <c r="Q183" s="95" t="n"/>
      <c r="R183" s="95" t="n"/>
    </row>
    <row r="184" ht="15.75" customHeight="1" s="230">
      <c r="A184" s="95" t="n"/>
      <c r="B184" s="95" t="n"/>
      <c r="C184" s="95" t="n"/>
      <c r="D184" s="95" t="n"/>
      <c r="E184" s="95" t="n"/>
      <c r="F184" s="120" t="n"/>
      <c r="G184" s="95" t="n"/>
      <c r="H184" s="95" t="n"/>
      <c r="I184" s="95" t="n"/>
      <c r="J184" s="95" t="n"/>
      <c r="K184" s="95" t="n"/>
      <c r="L184" s="95" t="n"/>
      <c r="M184" s="95" t="n"/>
      <c r="N184" s="95" t="n"/>
      <c r="O184" s="95" t="n"/>
      <c r="P184" s="95" t="n"/>
      <c r="Q184" s="95" t="n"/>
      <c r="R184" s="95" t="n"/>
    </row>
    <row r="185" ht="15.75" customHeight="1" s="230">
      <c r="A185" s="95" t="n"/>
      <c r="B185" s="95" t="n"/>
      <c r="C185" s="95" t="n"/>
      <c r="D185" s="95" t="n"/>
      <c r="E185" s="95" t="n"/>
      <c r="F185" s="120" t="n"/>
      <c r="G185" s="95" t="n"/>
      <c r="H185" s="95" t="n"/>
      <c r="I185" s="95" t="n"/>
      <c r="J185" s="95" t="n"/>
      <c r="K185" s="95" t="n"/>
      <c r="L185" s="95" t="n"/>
      <c r="M185" s="95" t="n"/>
      <c r="N185" s="95" t="n"/>
      <c r="O185" s="95" t="n"/>
      <c r="P185" s="95" t="n"/>
      <c r="Q185" s="95" t="n"/>
      <c r="R185" s="95" t="n"/>
    </row>
    <row r="186" ht="15.75" customHeight="1" s="230">
      <c r="A186" s="95" t="n"/>
      <c r="B186" s="95" t="n"/>
      <c r="C186" s="95" t="n"/>
      <c r="D186" s="95" t="n"/>
      <c r="E186" s="95" t="n"/>
      <c r="F186" s="120" t="n"/>
      <c r="G186" s="95" t="n"/>
      <c r="H186" s="95" t="n"/>
      <c r="I186" s="95" t="n"/>
      <c r="J186" s="95" t="n"/>
      <c r="K186" s="95" t="n"/>
      <c r="L186" s="95" t="n"/>
      <c r="M186" s="95" t="n"/>
      <c r="N186" s="95" t="n"/>
      <c r="O186" s="95" t="n"/>
      <c r="P186" s="95" t="n"/>
      <c r="Q186" s="95" t="n"/>
      <c r="R186" s="95" t="n"/>
    </row>
    <row r="187" ht="15.75" customHeight="1" s="230">
      <c r="A187" s="95" t="n"/>
      <c r="B187" s="95" t="n"/>
      <c r="C187" s="95" t="n"/>
      <c r="D187" s="95" t="n"/>
      <c r="E187" s="95" t="n"/>
      <c r="F187" s="120" t="n"/>
      <c r="G187" s="95" t="n"/>
      <c r="H187" s="95" t="n"/>
      <c r="I187" s="95" t="n"/>
      <c r="J187" s="95" t="n"/>
      <c r="K187" s="95" t="n"/>
      <c r="L187" s="95" t="n"/>
      <c r="M187" s="95" t="n"/>
      <c r="N187" s="95" t="n"/>
      <c r="O187" s="95" t="n"/>
      <c r="P187" s="95" t="n"/>
      <c r="Q187" s="95" t="n"/>
      <c r="R187" s="95" t="n"/>
    </row>
    <row r="188" ht="15.75" customHeight="1" s="230">
      <c r="A188" s="95" t="n"/>
      <c r="B188" s="95" t="n"/>
      <c r="C188" s="95" t="n"/>
      <c r="D188" s="95" t="n"/>
      <c r="E188" s="95" t="n"/>
      <c r="F188" s="120" t="n"/>
      <c r="G188" s="95" t="n"/>
      <c r="H188" s="95" t="n"/>
      <c r="I188" s="95" t="n"/>
      <c r="J188" s="95" t="n"/>
      <c r="K188" s="95" t="n"/>
      <c r="L188" s="95" t="n"/>
      <c r="M188" s="95" t="n"/>
      <c r="N188" s="95" t="n"/>
      <c r="O188" s="95" t="n"/>
      <c r="P188" s="95" t="n"/>
      <c r="Q188" s="95" t="n"/>
      <c r="R188" s="95" t="n"/>
    </row>
    <row r="189" ht="15.75" customHeight="1" s="230">
      <c r="A189" s="95" t="n"/>
      <c r="B189" s="95" t="n"/>
      <c r="C189" s="95" t="n"/>
      <c r="D189" s="95" t="n"/>
      <c r="E189" s="95" t="n"/>
      <c r="F189" s="120" t="n"/>
      <c r="G189" s="95" t="n"/>
      <c r="H189" s="95" t="n"/>
      <c r="I189" s="95" t="n"/>
      <c r="J189" s="95" t="n"/>
      <c r="K189" s="95" t="n"/>
      <c r="L189" s="95" t="n"/>
      <c r="M189" s="95" t="n"/>
      <c r="N189" s="95" t="n"/>
      <c r="O189" s="95" t="n"/>
      <c r="P189" s="95" t="n"/>
      <c r="Q189" s="95" t="n"/>
      <c r="R189" s="95" t="n"/>
    </row>
    <row r="190" ht="15.75" customHeight="1" s="230">
      <c r="A190" s="95" t="n"/>
      <c r="B190" s="95" t="n"/>
      <c r="C190" s="95" t="n"/>
      <c r="D190" s="95" t="n"/>
      <c r="E190" s="95" t="n"/>
      <c r="F190" s="120" t="n"/>
      <c r="G190" s="95" t="n"/>
      <c r="H190" s="95" t="n"/>
      <c r="I190" s="95" t="n"/>
      <c r="J190" s="95" t="n"/>
      <c r="K190" s="95" t="n"/>
      <c r="L190" s="95" t="n"/>
      <c r="M190" s="95" t="n"/>
      <c r="N190" s="95" t="n"/>
      <c r="O190" s="95" t="n"/>
      <c r="P190" s="95" t="n"/>
      <c r="Q190" s="95" t="n"/>
      <c r="R190" s="95" t="n"/>
    </row>
    <row r="191" ht="15.75" customHeight="1" s="230">
      <c r="A191" s="95" t="n"/>
      <c r="B191" s="95" t="n"/>
      <c r="C191" s="95" t="n"/>
      <c r="D191" s="95" t="n"/>
      <c r="E191" s="95" t="n"/>
      <c r="F191" s="120" t="n"/>
      <c r="G191" s="95" t="n"/>
      <c r="H191" s="95" t="n"/>
      <c r="I191" s="95" t="n"/>
      <c r="J191" s="95" t="n"/>
      <c r="K191" s="95" t="n"/>
      <c r="L191" s="95" t="n"/>
      <c r="M191" s="95" t="n"/>
      <c r="N191" s="95" t="n"/>
      <c r="O191" s="95" t="n"/>
      <c r="P191" s="95" t="n"/>
      <c r="Q191" s="95" t="n"/>
      <c r="R191" s="95" t="n"/>
    </row>
    <row r="192" ht="15.75" customHeight="1" s="230">
      <c r="A192" s="95" t="n"/>
      <c r="B192" s="95" t="n"/>
      <c r="C192" s="95" t="n"/>
      <c r="D192" s="95" t="n"/>
      <c r="E192" s="95" t="n"/>
      <c r="F192" s="120" t="n"/>
      <c r="G192" s="95" t="n"/>
      <c r="H192" s="95" t="n"/>
      <c r="I192" s="95" t="n"/>
      <c r="J192" s="95" t="n"/>
      <c r="K192" s="95" t="n"/>
      <c r="L192" s="95" t="n"/>
      <c r="M192" s="95" t="n"/>
      <c r="N192" s="95" t="n"/>
      <c r="O192" s="95" t="n"/>
      <c r="P192" s="95" t="n"/>
      <c r="Q192" s="95" t="n"/>
      <c r="R192" s="95" t="n"/>
    </row>
    <row r="193" ht="15.75" customHeight="1" s="230">
      <c r="A193" s="95" t="n"/>
      <c r="B193" s="95" t="n"/>
      <c r="C193" s="95" t="n"/>
      <c r="D193" s="95" t="n"/>
      <c r="E193" s="95" t="n"/>
      <c r="F193" s="120" t="n"/>
      <c r="G193" s="95" t="n"/>
      <c r="H193" s="95" t="n"/>
      <c r="I193" s="95" t="n"/>
      <c r="J193" s="95" t="n"/>
      <c r="K193" s="95" t="n"/>
      <c r="L193" s="95" t="n"/>
      <c r="M193" s="95" t="n"/>
      <c r="N193" s="95" t="n"/>
      <c r="O193" s="95" t="n"/>
      <c r="P193" s="95" t="n"/>
      <c r="Q193" s="95" t="n"/>
      <c r="R193" s="95" t="n"/>
    </row>
    <row r="194" ht="15.75" customHeight="1" s="230">
      <c r="A194" s="95" t="n"/>
      <c r="B194" s="95" t="n"/>
      <c r="C194" s="95" t="n"/>
      <c r="D194" s="95" t="n"/>
      <c r="E194" s="95" t="n"/>
      <c r="F194" s="120" t="n"/>
      <c r="G194" s="95" t="n"/>
      <c r="H194" s="95" t="n"/>
      <c r="I194" s="95" t="n"/>
      <c r="J194" s="95" t="n"/>
      <c r="K194" s="95" t="n"/>
      <c r="L194" s="95" t="n"/>
      <c r="M194" s="95" t="n"/>
      <c r="N194" s="95" t="n"/>
      <c r="O194" s="95" t="n"/>
      <c r="P194" s="95" t="n"/>
      <c r="Q194" s="95" t="n"/>
      <c r="R194" s="95" t="n"/>
    </row>
    <row r="195" ht="15.75" customHeight="1" s="230">
      <c r="A195" s="95" t="n"/>
      <c r="B195" s="95" t="n"/>
      <c r="C195" s="95" t="n"/>
      <c r="D195" s="95" t="n"/>
      <c r="E195" s="95" t="n"/>
      <c r="F195" s="120" t="n"/>
      <c r="G195" s="95" t="n"/>
      <c r="H195" s="95" t="n"/>
      <c r="I195" s="95" t="n"/>
      <c r="J195" s="95" t="n"/>
      <c r="K195" s="95" t="n"/>
      <c r="L195" s="95" t="n"/>
      <c r="M195" s="95" t="n"/>
      <c r="N195" s="95" t="n"/>
      <c r="O195" s="95" t="n"/>
      <c r="P195" s="95" t="n"/>
      <c r="Q195" s="95" t="n"/>
      <c r="R195" s="95" t="n"/>
    </row>
    <row r="196" ht="15.75" customHeight="1" s="230">
      <c r="A196" s="95" t="n"/>
      <c r="B196" s="95" t="n"/>
      <c r="C196" s="95" t="n"/>
      <c r="D196" s="95" t="n"/>
      <c r="E196" s="95" t="n"/>
      <c r="F196" s="120" t="n"/>
      <c r="G196" s="95" t="n"/>
      <c r="H196" s="95" t="n"/>
      <c r="I196" s="95" t="n"/>
      <c r="J196" s="95" t="n"/>
      <c r="K196" s="95" t="n"/>
      <c r="L196" s="95" t="n"/>
      <c r="M196" s="95" t="n"/>
      <c r="N196" s="95" t="n"/>
      <c r="O196" s="95" t="n"/>
      <c r="P196" s="95" t="n"/>
      <c r="Q196" s="95" t="n"/>
      <c r="R196" s="95" t="n"/>
    </row>
    <row r="197" ht="15.75" customHeight="1" s="230">
      <c r="A197" s="95" t="n"/>
      <c r="B197" s="95" t="n"/>
      <c r="C197" s="95" t="n"/>
      <c r="D197" s="95" t="n"/>
      <c r="E197" s="95" t="n"/>
      <c r="F197" s="120" t="n"/>
      <c r="G197" s="95" t="n"/>
      <c r="H197" s="95" t="n"/>
      <c r="I197" s="95" t="n"/>
      <c r="J197" s="95" t="n"/>
      <c r="K197" s="95" t="n"/>
      <c r="L197" s="95" t="n"/>
      <c r="M197" s="95" t="n"/>
      <c r="N197" s="95" t="n"/>
      <c r="O197" s="95" t="n"/>
      <c r="P197" s="95" t="n"/>
      <c r="Q197" s="95" t="n"/>
      <c r="R197" s="95" t="n"/>
    </row>
    <row r="198" ht="15.75" customHeight="1" s="230">
      <c r="A198" s="95" t="n"/>
      <c r="B198" s="95" t="n"/>
      <c r="C198" s="95" t="n"/>
      <c r="D198" s="95" t="n"/>
      <c r="E198" s="95" t="n"/>
      <c r="F198" s="120" t="n"/>
      <c r="G198" s="95" t="n"/>
      <c r="H198" s="95" t="n"/>
      <c r="I198" s="95" t="n"/>
      <c r="J198" s="95" t="n"/>
      <c r="K198" s="95" t="n"/>
      <c r="L198" s="95" t="n"/>
      <c r="M198" s="95" t="n"/>
      <c r="N198" s="95" t="n"/>
      <c r="O198" s="95" t="n"/>
      <c r="P198" s="95" t="n"/>
      <c r="Q198" s="95" t="n"/>
      <c r="R198" s="95" t="n"/>
    </row>
    <row r="199" ht="15.75" customHeight="1" s="230">
      <c r="A199" s="95" t="n"/>
      <c r="B199" s="95" t="n"/>
      <c r="C199" s="95" t="n"/>
      <c r="D199" s="95" t="n"/>
      <c r="E199" s="95" t="n"/>
      <c r="F199" s="120" t="n"/>
      <c r="G199" s="95" t="n"/>
      <c r="H199" s="95" t="n"/>
      <c r="I199" s="95" t="n"/>
      <c r="J199" s="95" t="n"/>
      <c r="K199" s="95" t="n"/>
      <c r="L199" s="95" t="n"/>
      <c r="M199" s="95" t="n"/>
      <c r="N199" s="95" t="n"/>
      <c r="O199" s="95" t="n"/>
      <c r="P199" s="95" t="n"/>
      <c r="Q199" s="95" t="n"/>
      <c r="R199" s="95" t="n"/>
    </row>
    <row r="200" ht="15.75" customHeight="1" s="230">
      <c r="A200" s="95" t="n"/>
      <c r="B200" s="95" t="n"/>
      <c r="C200" s="95" t="n"/>
      <c r="D200" s="95" t="n"/>
      <c r="E200" s="95" t="n"/>
      <c r="F200" s="120" t="n"/>
      <c r="G200" s="95" t="n"/>
      <c r="H200" s="95" t="n"/>
      <c r="I200" s="95" t="n"/>
      <c r="J200" s="95" t="n"/>
      <c r="K200" s="95" t="n"/>
      <c r="L200" s="95" t="n"/>
      <c r="M200" s="95" t="n"/>
      <c r="N200" s="95" t="n"/>
      <c r="O200" s="95" t="n"/>
      <c r="P200" s="95" t="n"/>
      <c r="Q200" s="95" t="n"/>
      <c r="R200" s="95" t="n"/>
    </row>
    <row r="201" ht="15.75" customHeight="1" s="230">
      <c r="A201" s="95" t="n"/>
      <c r="B201" s="95" t="n"/>
      <c r="C201" s="95" t="n"/>
      <c r="D201" s="95" t="n"/>
      <c r="E201" s="95" t="n"/>
      <c r="F201" s="120" t="n"/>
      <c r="G201" s="95" t="n"/>
      <c r="H201" s="95" t="n"/>
      <c r="I201" s="95" t="n"/>
      <c r="J201" s="95" t="n"/>
      <c r="K201" s="95" t="n"/>
      <c r="L201" s="95" t="n"/>
      <c r="M201" s="95" t="n"/>
      <c r="N201" s="95" t="n"/>
      <c r="O201" s="95" t="n"/>
      <c r="P201" s="95" t="n"/>
      <c r="Q201" s="95" t="n"/>
      <c r="R201" s="95" t="n"/>
    </row>
    <row r="202" ht="15.75" customHeight="1" s="230">
      <c r="A202" s="95" t="n"/>
      <c r="B202" s="95" t="n"/>
      <c r="C202" s="95" t="n"/>
      <c r="D202" s="95" t="n"/>
      <c r="E202" s="95" t="n"/>
      <c r="F202" s="120" t="n"/>
      <c r="G202" s="95" t="n"/>
      <c r="H202" s="95" t="n"/>
      <c r="I202" s="95" t="n"/>
      <c r="J202" s="95" t="n"/>
      <c r="K202" s="95" t="n"/>
      <c r="L202" s="95" t="n"/>
      <c r="M202" s="95" t="n"/>
      <c r="N202" s="95" t="n"/>
      <c r="O202" s="95" t="n"/>
      <c r="P202" s="95" t="n"/>
      <c r="Q202" s="95" t="n"/>
      <c r="R202" s="95" t="n"/>
    </row>
    <row r="203" ht="15.75" customHeight="1" s="230">
      <c r="A203" s="95" t="n"/>
      <c r="B203" s="95" t="n"/>
      <c r="C203" s="95" t="n"/>
      <c r="D203" s="95" t="n"/>
      <c r="E203" s="95" t="n"/>
      <c r="F203" s="120" t="n"/>
      <c r="G203" s="95" t="n"/>
      <c r="H203" s="95" t="n"/>
      <c r="I203" s="95" t="n"/>
      <c r="J203" s="95" t="n"/>
      <c r="K203" s="95" t="n"/>
      <c r="L203" s="95" t="n"/>
      <c r="M203" s="95" t="n"/>
      <c r="N203" s="95" t="n"/>
      <c r="O203" s="95" t="n"/>
      <c r="P203" s="95" t="n"/>
      <c r="Q203" s="95" t="n"/>
      <c r="R203" s="95" t="n"/>
    </row>
    <row r="204" ht="15.75" customHeight="1" s="230">
      <c r="A204" s="95" t="n"/>
      <c r="B204" s="95" t="n"/>
      <c r="C204" s="95" t="n"/>
      <c r="D204" s="95" t="n"/>
      <c r="E204" s="95" t="n"/>
      <c r="F204" s="120" t="n"/>
      <c r="G204" s="95" t="n"/>
      <c r="H204" s="95" t="n"/>
      <c r="I204" s="95" t="n"/>
      <c r="J204" s="95" t="n"/>
      <c r="K204" s="95" t="n"/>
      <c r="L204" s="95" t="n"/>
      <c r="M204" s="95" t="n"/>
      <c r="N204" s="95" t="n"/>
      <c r="O204" s="95" t="n"/>
      <c r="P204" s="95" t="n"/>
      <c r="Q204" s="95" t="n"/>
      <c r="R204" s="95" t="n"/>
    </row>
    <row r="205" ht="15.75" customHeight="1" s="230">
      <c r="A205" s="95" t="n"/>
      <c r="B205" s="95" t="n"/>
      <c r="C205" s="95" t="n"/>
      <c r="D205" s="95" t="n"/>
      <c r="E205" s="95" t="n"/>
      <c r="F205" s="120" t="n"/>
      <c r="G205" s="95" t="n"/>
      <c r="H205" s="95" t="n"/>
      <c r="I205" s="95" t="n"/>
      <c r="J205" s="95" t="n"/>
      <c r="K205" s="95" t="n"/>
      <c r="L205" s="95" t="n"/>
      <c r="M205" s="95" t="n"/>
      <c r="N205" s="95" t="n"/>
      <c r="O205" s="95" t="n"/>
      <c r="P205" s="95" t="n"/>
      <c r="Q205" s="95" t="n"/>
      <c r="R205" s="95" t="n"/>
    </row>
    <row r="206" ht="15.75" customHeight="1" s="230">
      <c r="A206" s="95" t="n"/>
      <c r="B206" s="95" t="n"/>
      <c r="C206" s="95" t="n"/>
      <c r="D206" s="95" t="n"/>
      <c r="E206" s="95" t="n"/>
      <c r="F206" s="120" t="n"/>
      <c r="G206" s="95" t="n"/>
      <c r="H206" s="95" t="n"/>
      <c r="I206" s="95" t="n"/>
      <c r="J206" s="95" t="n"/>
      <c r="K206" s="95" t="n"/>
      <c r="L206" s="95" t="n"/>
      <c r="M206" s="95" t="n"/>
      <c r="N206" s="95" t="n"/>
      <c r="O206" s="95" t="n"/>
      <c r="P206" s="95" t="n"/>
      <c r="Q206" s="95" t="n"/>
      <c r="R206" s="95" t="n"/>
    </row>
    <row r="207" ht="15.75" customHeight="1" s="230">
      <c r="A207" s="95" t="n"/>
      <c r="B207" s="95" t="n"/>
      <c r="C207" s="95" t="n"/>
      <c r="D207" s="95" t="n"/>
      <c r="E207" s="95" t="n"/>
      <c r="F207" s="120" t="n"/>
      <c r="G207" s="95" t="n"/>
      <c r="H207" s="95" t="n"/>
      <c r="I207" s="95" t="n"/>
      <c r="J207" s="95" t="n"/>
      <c r="K207" s="95" t="n"/>
      <c r="L207" s="95" t="n"/>
      <c r="M207" s="95" t="n"/>
      <c r="N207" s="95" t="n"/>
      <c r="O207" s="95" t="n"/>
      <c r="P207" s="95" t="n"/>
      <c r="Q207" s="95" t="n"/>
      <c r="R207" s="95" t="n"/>
    </row>
    <row r="208" ht="15.75" customHeight="1" s="230">
      <c r="A208" s="95" t="n"/>
      <c r="B208" s="95" t="n"/>
      <c r="C208" s="95" t="n"/>
      <c r="D208" s="95" t="n"/>
      <c r="E208" s="95" t="n"/>
      <c r="F208" s="120" t="n"/>
      <c r="G208" s="95" t="n"/>
      <c r="H208" s="95" t="n"/>
      <c r="I208" s="95" t="n"/>
      <c r="J208" s="95" t="n"/>
      <c r="K208" s="95" t="n"/>
      <c r="L208" s="95" t="n"/>
      <c r="M208" s="95" t="n"/>
      <c r="N208" s="95" t="n"/>
      <c r="O208" s="95" t="n"/>
      <c r="P208" s="95" t="n"/>
      <c r="Q208" s="95" t="n"/>
      <c r="R208" s="95" t="n"/>
    </row>
    <row r="209" ht="15.75" customHeight="1" s="230">
      <c r="A209" s="95" t="n"/>
      <c r="B209" s="95" t="n"/>
      <c r="C209" s="95" t="n"/>
      <c r="D209" s="95" t="n"/>
      <c r="E209" s="95" t="n"/>
      <c r="F209" s="120" t="n"/>
      <c r="G209" s="95" t="n"/>
      <c r="H209" s="95" t="n"/>
      <c r="I209" s="95" t="n"/>
      <c r="J209" s="95" t="n"/>
      <c r="K209" s="95" t="n"/>
      <c r="L209" s="95" t="n"/>
      <c r="M209" s="95" t="n"/>
      <c r="N209" s="95" t="n"/>
      <c r="O209" s="95" t="n"/>
      <c r="P209" s="95" t="n"/>
      <c r="Q209" s="95" t="n"/>
      <c r="R209" s="95" t="n"/>
    </row>
    <row r="210" ht="15.75" customHeight="1" s="230">
      <c r="A210" s="95" t="n"/>
      <c r="B210" s="95" t="n"/>
      <c r="C210" s="95" t="n"/>
      <c r="D210" s="95" t="n"/>
      <c r="E210" s="95" t="n"/>
      <c r="F210" s="120" t="n"/>
      <c r="G210" s="95" t="n"/>
      <c r="H210" s="95" t="n"/>
      <c r="I210" s="95" t="n"/>
      <c r="J210" s="95" t="n"/>
      <c r="K210" s="95" t="n"/>
      <c r="L210" s="95" t="n"/>
      <c r="M210" s="95" t="n"/>
      <c r="N210" s="95" t="n"/>
      <c r="O210" s="95" t="n"/>
      <c r="P210" s="95" t="n"/>
      <c r="Q210" s="95" t="n"/>
      <c r="R210" s="95" t="n"/>
    </row>
    <row r="211" ht="15.75" customHeight="1" s="230">
      <c r="A211" s="95" t="n"/>
      <c r="B211" s="95" t="n"/>
      <c r="C211" s="95" t="n"/>
      <c r="D211" s="95" t="n"/>
      <c r="E211" s="95" t="n"/>
      <c r="F211" s="120" t="n"/>
      <c r="G211" s="95" t="n"/>
      <c r="H211" s="95" t="n"/>
      <c r="I211" s="95" t="n"/>
      <c r="J211" s="95" t="n"/>
      <c r="K211" s="95" t="n"/>
      <c r="L211" s="95" t="n"/>
      <c r="M211" s="95" t="n"/>
      <c r="N211" s="95" t="n"/>
      <c r="O211" s="95" t="n"/>
      <c r="P211" s="95" t="n"/>
      <c r="Q211" s="95" t="n"/>
      <c r="R211" s="95" t="n"/>
    </row>
    <row r="212" ht="15.75" customHeight="1" s="230">
      <c r="A212" s="95" t="n"/>
      <c r="B212" s="95" t="n"/>
      <c r="C212" s="95" t="n"/>
      <c r="D212" s="95" t="n"/>
      <c r="E212" s="95" t="n"/>
      <c r="F212" s="120" t="n"/>
      <c r="G212" s="95" t="n"/>
      <c r="H212" s="95" t="n"/>
      <c r="I212" s="95" t="n"/>
      <c r="J212" s="95" t="n"/>
      <c r="K212" s="95" t="n"/>
      <c r="L212" s="95" t="n"/>
      <c r="M212" s="95" t="n"/>
      <c r="N212" s="95" t="n"/>
      <c r="O212" s="95" t="n"/>
      <c r="P212" s="95" t="n"/>
      <c r="Q212" s="95" t="n"/>
      <c r="R212" s="95" t="n"/>
    </row>
    <row r="213" ht="15.75" customHeight="1" s="230">
      <c r="A213" s="95" t="n"/>
      <c r="B213" s="95" t="n"/>
      <c r="C213" s="95" t="n"/>
      <c r="D213" s="95" t="n"/>
      <c r="E213" s="95" t="n"/>
      <c r="F213" s="120" t="n"/>
      <c r="G213" s="95" t="n"/>
      <c r="H213" s="95" t="n"/>
      <c r="I213" s="95" t="n"/>
      <c r="J213" s="95" t="n"/>
      <c r="K213" s="95" t="n"/>
      <c r="L213" s="95" t="n"/>
      <c r="M213" s="95" t="n"/>
      <c r="N213" s="95" t="n"/>
      <c r="O213" s="95" t="n"/>
      <c r="P213" s="95" t="n"/>
      <c r="Q213" s="95" t="n"/>
      <c r="R213" s="95" t="n"/>
    </row>
    <row r="214" ht="15.75" customHeight="1" s="230">
      <c r="A214" s="95" t="n"/>
      <c r="B214" s="95" t="n"/>
      <c r="C214" s="95" t="n"/>
      <c r="D214" s="95" t="n"/>
      <c r="E214" s="95" t="n"/>
      <c r="F214" s="120" t="n"/>
      <c r="G214" s="95" t="n"/>
      <c r="H214" s="95" t="n"/>
      <c r="I214" s="95" t="n"/>
      <c r="J214" s="95" t="n"/>
      <c r="K214" s="95" t="n"/>
      <c r="L214" s="95" t="n"/>
      <c r="M214" s="95" t="n"/>
      <c r="N214" s="95" t="n"/>
      <c r="O214" s="95" t="n"/>
      <c r="P214" s="95" t="n"/>
      <c r="Q214" s="95" t="n"/>
      <c r="R214" s="95" t="n"/>
    </row>
    <row r="215" ht="15.75" customHeight="1" s="230">
      <c r="A215" s="95" t="n"/>
      <c r="B215" s="95" t="n"/>
      <c r="C215" s="95" t="n"/>
      <c r="D215" s="95" t="n"/>
      <c r="E215" s="95" t="n"/>
      <c r="F215" s="120" t="n"/>
      <c r="G215" s="95" t="n"/>
      <c r="H215" s="95" t="n"/>
      <c r="I215" s="95" t="n"/>
      <c r="J215" s="95" t="n"/>
      <c r="K215" s="95" t="n"/>
      <c r="L215" s="95" t="n"/>
      <c r="M215" s="95" t="n"/>
      <c r="N215" s="95" t="n"/>
      <c r="O215" s="95" t="n"/>
      <c r="P215" s="95" t="n"/>
      <c r="Q215" s="95" t="n"/>
      <c r="R215" s="95" t="n"/>
    </row>
    <row r="216" ht="15.75" customHeight="1" s="230">
      <c r="A216" s="95" t="n"/>
      <c r="B216" s="95" t="n"/>
      <c r="C216" s="95" t="n"/>
      <c r="D216" s="95" t="n"/>
      <c r="E216" s="95" t="n"/>
      <c r="F216" s="120" t="n"/>
      <c r="G216" s="95" t="n"/>
      <c r="H216" s="95" t="n"/>
      <c r="I216" s="95" t="n"/>
      <c r="J216" s="95" t="n"/>
      <c r="K216" s="95" t="n"/>
      <c r="L216" s="95" t="n"/>
      <c r="M216" s="95" t="n"/>
      <c r="N216" s="95" t="n"/>
      <c r="O216" s="95" t="n"/>
      <c r="P216" s="95" t="n"/>
      <c r="Q216" s="95" t="n"/>
      <c r="R216" s="95" t="n"/>
    </row>
    <row r="217" ht="15.75" customHeight="1" s="230">
      <c r="A217" s="95" t="n"/>
      <c r="B217" s="95" t="n"/>
      <c r="C217" s="95" t="n"/>
      <c r="D217" s="95" t="n"/>
      <c r="E217" s="95" t="n"/>
      <c r="F217" s="120" t="n"/>
      <c r="G217" s="95" t="n"/>
      <c r="H217" s="95" t="n"/>
      <c r="I217" s="95" t="n"/>
      <c r="J217" s="95" t="n"/>
      <c r="K217" s="95" t="n"/>
      <c r="L217" s="95" t="n"/>
      <c r="M217" s="95" t="n"/>
      <c r="N217" s="95" t="n"/>
      <c r="O217" s="95" t="n"/>
      <c r="P217" s="95" t="n"/>
      <c r="Q217" s="95" t="n"/>
      <c r="R217" s="95" t="n"/>
    </row>
    <row r="218" ht="15.75" customHeight="1" s="230">
      <c r="A218" s="95" t="n"/>
      <c r="B218" s="95" t="n"/>
      <c r="C218" s="95" t="n"/>
      <c r="D218" s="95" t="n"/>
      <c r="E218" s="95" t="n"/>
      <c r="F218" s="120" t="n"/>
      <c r="G218" s="95" t="n"/>
      <c r="H218" s="95" t="n"/>
      <c r="I218" s="95" t="n"/>
      <c r="J218" s="95" t="n"/>
      <c r="K218" s="95" t="n"/>
      <c r="L218" s="95" t="n"/>
      <c r="M218" s="95" t="n"/>
      <c r="N218" s="95" t="n"/>
      <c r="O218" s="95" t="n"/>
      <c r="P218" s="95" t="n"/>
      <c r="Q218" s="95" t="n"/>
      <c r="R218" s="95" t="n"/>
    </row>
    <row r="219" ht="15.75" customHeight="1" s="230">
      <c r="A219" s="95" t="n"/>
      <c r="B219" s="95" t="n"/>
      <c r="C219" s="95" t="n"/>
      <c r="D219" s="95" t="n"/>
      <c r="E219" s="95" t="n"/>
      <c r="F219" s="120" t="n"/>
      <c r="G219" s="95" t="n"/>
      <c r="H219" s="95" t="n"/>
      <c r="I219" s="95" t="n"/>
      <c r="J219" s="95" t="n"/>
      <c r="K219" s="95" t="n"/>
      <c r="L219" s="95" t="n"/>
      <c r="M219" s="95" t="n"/>
      <c r="N219" s="95" t="n"/>
      <c r="O219" s="95" t="n"/>
      <c r="P219" s="95" t="n"/>
      <c r="Q219" s="95" t="n"/>
      <c r="R219" s="95" t="n"/>
    </row>
    <row r="220" ht="15.75" customHeight="1" s="230">
      <c r="A220" s="95" t="n"/>
      <c r="B220" s="95" t="n"/>
      <c r="C220" s="95" t="n"/>
      <c r="D220" s="95" t="n"/>
      <c r="E220" s="95" t="n"/>
      <c r="F220" s="120" t="n"/>
      <c r="G220" s="95" t="n"/>
      <c r="H220" s="95" t="n"/>
      <c r="I220" s="95" t="n"/>
      <c r="J220" s="95" t="n"/>
      <c r="K220" s="95" t="n"/>
      <c r="L220" s="95" t="n"/>
      <c r="M220" s="95" t="n"/>
      <c r="N220" s="95" t="n"/>
      <c r="O220" s="95" t="n"/>
      <c r="P220" s="95" t="n"/>
      <c r="Q220" s="95" t="n"/>
      <c r="R220" s="95" t="n"/>
    </row>
    <row r="221" ht="15.75" customHeight="1" s="230">
      <c r="A221" s="95" t="n"/>
      <c r="B221" s="95" t="n"/>
      <c r="C221" s="95" t="n"/>
      <c r="D221" s="95" t="n"/>
      <c r="E221" s="95" t="n"/>
      <c r="F221" s="120" t="n"/>
      <c r="G221" s="95" t="n"/>
      <c r="H221" s="95" t="n"/>
      <c r="I221" s="95" t="n"/>
      <c r="J221" s="95" t="n"/>
      <c r="K221" s="95" t="n"/>
      <c r="L221" s="95" t="n"/>
      <c r="M221" s="95" t="n"/>
      <c r="N221" s="95" t="n"/>
      <c r="O221" s="95" t="n"/>
      <c r="P221" s="95" t="n"/>
      <c r="Q221" s="95" t="n"/>
      <c r="R221" s="95" t="n"/>
    </row>
    <row r="222" ht="15.75" customHeight="1" s="230">
      <c r="A222" s="95" t="n"/>
      <c r="B222" s="95" t="n"/>
      <c r="C222" s="95" t="n"/>
      <c r="D222" s="95" t="n"/>
      <c r="E222" s="95" t="n"/>
      <c r="F222" s="120" t="n"/>
      <c r="G222" s="95" t="n"/>
      <c r="H222" s="95" t="n"/>
      <c r="I222" s="95" t="n"/>
      <c r="J222" s="95" t="n"/>
      <c r="K222" s="95" t="n"/>
      <c r="L222" s="95" t="n"/>
      <c r="M222" s="95" t="n"/>
      <c r="N222" s="95" t="n"/>
      <c r="O222" s="95" t="n"/>
      <c r="P222" s="95" t="n"/>
      <c r="Q222" s="95" t="n"/>
      <c r="R222" s="95" t="n"/>
    </row>
    <row r="223" ht="15.75" customHeight="1" s="230">
      <c r="A223" s="95" t="n"/>
      <c r="B223" s="95" t="n"/>
      <c r="C223" s="95" t="n"/>
      <c r="D223" s="95" t="n"/>
      <c r="E223" s="95" t="n"/>
      <c r="F223" s="120" t="n"/>
      <c r="G223" s="95" t="n"/>
      <c r="H223" s="95" t="n"/>
      <c r="I223" s="95" t="n"/>
      <c r="J223" s="95" t="n"/>
      <c r="K223" s="95" t="n"/>
      <c r="L223" s="95" t="n"/>
      <c r="M223" s="95" t="n"/>
      <c r="N223" s="95" t="n"/>
      <c r="O223" s="95" t="n"/>
      <c r="P223" s="95" t="n"/>
      <c r="Q223" s="95" t="n"/>
      <c r="R223" s="95" t="n"/>
    </row>
    <row r="224" ht="15.75" customHeight="1" s="230">
      <c r="A224" s="95" t="n"/>
      <c r="B224" s="95" t="n"/>
      <c r="C224" s="95" t="n"/>
      <c r="D224" s="95" t="n"/>
      <c r="E224" s="95" t="n"/>
      <c r="F224" s="120" t="n"/>
      <c r="G224" s="95" t="n"/>
      <c r="H224" s="95" t="n"/>
      <c r="I224" s="95" t="n"/>
      <c r="J224" s="95" t="n"/>
      <c r="K224" s="95" t="n"/>
      <c r="L224" s="95" t="n"/>
      <c r="M224" s="95" t="n"/>
      <c r="N224" s="95" t="n"/>
      <c r="O224" s="95" t="n"/>
      <c r="P224" s="95" t="n"/>
      <c r="Q224" s="95" t="n"/>
      <c r="R224" s="95" t="n"/>
    </row>
    <row r="225" ht="15.75" customHeight="1" s="230">
      <c r="A225" s="95" t="n"/>
      <c r="B225" s="95" t="n"/>
      <c r="C225" s="95" t="n"/>
      <c r="D225" s="95" t="n"/>
      <c r="E225" s="95" t="n"/>
      <c r="F225" s="120" t="n"/>
      <c r="G225" s="95" t="n"/>
      <c r="H225" s="95" t="n"/>
      <c r="I225" s="95" t="n"/>
      <c r="J225" s="95" t="n"/>
      <c r="K225" s="95" t="n"/>
      <c r="L225" s="95" t="n"/>
      <c r="M225" s="95" t="n"/>
      <c r="N225" s="95" t="n"/>
      <c r="O225" s="95" t="n"/>
      <c r="P225" s="95" t="n"/>
      <c r="Q225" s="95" t="n"/>
      <c r="R225" s="95" t="n"/>
    </row>
    <row r="226" ht="15.75" customHeight="1" s="230">
      <c r="A226" s="95" t="n"/>
      <c r="B226" s="95" t="n"/>
      <c r="C226" s="95" t="n"/>
      <c r="D226" s="95" t="n"/>
      <c r="E226" s="95" t="n"/>
      <c r="F226" s="120" t="n"/>
      <c r="G226" s="95" t="n"/>
      <c r="H226" s="95" t="n"/>
      <c r="I226" s="95" t="n"/>
      <c r="J226" s="95" t="n"/>
      <c r="K226" s="95" t="n"/>
      <c r="L226" s="95" t="n"/>
      <c r="M226" s="95" t="n"/>
      <c r="N226" s="95" t="n"/>
      <c r="O226" s="95" t="n"/>
      <c r="P226" s="95" t="n"/>
      <c r="Q226" s="95" t="n"/>
      <c r="R226" s="95" t="n"/>
    </row>
    <row r="227" ht="15.75" customHeight="1" s="230">
      <c r="A227" s="95" t="n"/>
      <c r="B227" s="95" t="n"/>
      <c r="C227" s="95" t="n"/>
      <c r="D227" s="95" t="n"/>
      <c r="E227" s="95" t="n"/>
      <c r="F227" s="120" t="n"/>
      <c r="G227" s="95" t="n"/>
      <c r="H227" s="95" t="n"/>
      <c r="I227" s="95" t="n"/>
      <c r="J227" s="95" t="n"/>
      <c r="K227" s="95" t="n"/>
      <c r="L227" s="95" t="n"/>
      <c r="M227" s="95" t="n"/>
      <c r="N227" s="95" t="n"/>
      <c r="O227" s="95" t="n"/>
      <c r="P227" s="95" t="n"/>
      <c r="Q227" s="95" t="n"/>
      <c r="R227" s="95" t="n"/>
    </row>
    <row r="228" ht="15.75" customHeight="1" s="230">
      <c r="A228" s="95" t="n"/>
      <c r="B228" s="95" t="n"/>
      <c r="C228" s="95" t="n"/>
      <c r="D228" s="95" t="n"/>
      <c r="E228" s="95" t="n"/>
      <c r="F228" s="120" t="n"/>
      <c r="G228" s="95" t="n"/>
      <c r="H228" s="95" t="n"/>
      <c r="I228" s="95" t="n"/>
      <c r="J228" s="95" t="n"/>
      <c r="K228" s="95" t="n"/>
      <c r="L228" s="95" t="n"/>
      <c r="M228" s="95" t="n"/>
      <c r="N228" s="95" t="n"/>
      <c r="O228" s="95" t="n"/>
      <c r="P228" s="95" t="n"/>
      <c r="Q228" s="95" t="n"/>
      <c r="R228" s="95" t="n"/>
    </row>
    <row r="229" ht="15.75" customHeight="1" s="230">
      <c r="A229" s="95" t="n"/>
      <c r="B229" s="95" t="n"/>
      <c r="C229" s="95" t="n"/>
      <c r="D229" s="95" t="n"/>
      <c r="E229" s="95" t="n"/>
      <c r="F229" s="120" t="n"/>
      <c r="G229" s="95" t="n"/>
      <c r="H229" s="95" t="n"/>
      <c r="I229" s="95" t="n"/>
      <c r="J229" s="95" t="n"/>
      <c r="K229" s="95" t="n"/>
      <c r="L229" s="95" t="n"/>
      <c r="M229" s="95" t="n"/>
      <c r="N229" s="95" t="n"/>
      <c r="O229" s="95" t="n"/>
      <c r="P229" s="95" t="n"/>
      <c r="Q229" s="95" t="n"/>
      <c r="R229" s="95" t="n"/>
    </row>
    <row r="230" ht="15.75" customHeight="1" s="230">
      <c r="A230" s="95" t="n"/>
      <c r="B230" s="95" t="n"/>
      <c r="C230" s="95" t="n"/>
      <c r="D230" s="95" t="n"/>
      <c r="E230" s="95" t="n"/>
      <c r="F230" s="120" t="n"/>
      <c r="G230" s="95" t="n"/>
      <c r="H230" s="95" t="n"/>
      <c r="I230" s="95" t="n"/>
      <c r="J230" s="95" t="n"/>
      <c r="K230" s="95" t="n"/>
      <c r="L230" s="95" t="n"/>
      <c r="M230" s="95" t="n"/>
      <c r="N230" s="95" t="n"/>
      <c r="O230" s="95" t="n"/>
      <c r="P230" s="95" t="n"/>
      <c r="Q230" s="95" t="n"/>
      <c r="R230" s="95" t="n"/>
    </row>
    <row r="231" ht="15.75" customHeight="1" s="230">
      <c r="A231" s="95" t="n"/>
      <c r="B231" s="95" t="n"/>
      <c r="C231" s="95" t="n"/>
      <c r="D231" s="95" t="n"/>
      <c r="E231" s="95" t="n"/>
      <c r="F231" s="120" t="n"/>
      <c r="G231" s="95" t="n"/>
      <c r="H231" s="95" t="n"/>
      <c r="I231" s="95" t="n"/>
      <c r="J231" s="95" t="n"/>
      <c r="K231" s="95" t="n"/>
      <c r="L231" s="95" t="n"/>
      <c r="M231" s="95" t="n"/>
      <c r="N231" s="95" t="n"/>
      <c r="O231" s="95" t="n"/>
      <c r="P231" s="95" t="n"/>
      <c r="Q231" s="95" t="n"/>
      <c r="R231" s="95" t="n"/>
    </row>
    <row r="232" ht="15.75" customHeight="1" s="230">
      <c r="A232" s="95" t="n"/>
      <c r="B232" s="95" t="n"/>
      <c r="C232" s="95" t="n"/>
      <c r="D232" s="95" t="n"/>
      <c r="E232" s="95" t="n"/>
      <c r="F232" s="120" t="n"/>
      <c r="G232" s="95" t="n"/>
      <c r="H232" s="95" t="n"/>
      <c r="I232" s="95" t="n"/>
      <c r="J232" s="95" t="n"/>
      <c r="K232" s="95" t="n"/>
      <c r="L232" s="95" t="n"/>
      <c r="M232" s="95" t="n"/>
      <c r="N232" s="95" t="n"/>
      <c r="O232" s="95" t="n"/>
      <c r="P232" s="95" t="n"/>
      <c r="Q232" s="95" t="n"/>
      <c r="R232" s="95" t="n"/>
    </row>
    <row r="233" ht="15.75" customHeight="1" s="230">
      <c r="A233" s="95" t="n"/>
      <c r="B233" s="95" t="n"/>
      <c r="C233" s="95" t="n"/>
      <c r="D233" s="95" t="n"/>
      <c r="E233" s="95" t="n"/>
      <c r="F233" s="120" t="n"/>
      <c r="G233" s="95" t="n"/>
      <c r="H233" s="95" t="n"/>
      <c r="I233" s="95" t="n"/>
      <c r="J233" s="95" t="n"/>
      <c r="K233" s="95" t="n"/>
      <c r="L233" s="95" t="n"/>
      <c r="M233" s="95" t="n"/>
      <c r="N233" s="95" t="n"/>
      <c r="O233" s="95" t="n"/>
      <c r="P233" s="95" t="n"/>
      <c r="Q233" s="95" t="n"/>
      <c r="R233" s="95" t="n"/>
    </row>
    <row r="234" ht="15.75" customHeight="1" s="230">
      <c r="A234" s="95" t="n"/>
      <c r="B234" s="95" t="n"/>
      <c r="C234" s="95" t="n"/>
      <c r="D234" s="95" t="n"/>
      <c r="E234" s="95" t="n"/>
      <c r="F234" s="120" t="n"/>
      <c r="G234" s="95" t="n"/>
      <c r="H234" s="95" t="n"/>
      <c r="I234" s="95" t="n"/>
      <c r="J234" s="95" t="n"/>
      <c r="K234" s="95" t="n"/>
      <c r="L234" s="95" t="n"/>
      <c r="M234" s="95" t="n"/>
      <c r="N234" s="95" t="n"/>
      <c r="O234" s="95" t="n"/>
      <c r="P234" s="95" t="n"/>
      <c r="Q234" s="95" t="n"/>
      <c r="R234" s="95" t="n"/>
    </row>
    <row r="235" ht="15.75" customHeight="1" s="230">
      <c r="A235" s="95" t="n"/>
      <c r="B235" s="95" t="n"/>
      <c r="C235" s="95" t="n"/>
      <c r="D235" s="95" t="n"/>
      <c r="E235" s="95" t="n"/>
      <c r="F235" s="120" t="n"/>
      <c r="G235" s="95" t="n"/>
      <c r="H235" s="95" t="n"/>
      <c r="I235" s="95" t="n"/>
      <c r="J235" s="95" t="n"/>
      <c r="K235" s="95" t="n"/>
      <c r="L235" s="95" t="n"/>
      <c r="M235" s="95" t="n"/>
      <c r="N235" s="95" t="n"/>
      <c r="O235" s="95" t="n"/>
      <c r="P235" s="95" t="n"/>
      <c r="Q235" s="95" t="n"/>
      <c r="R235" s="95" t="n"/>
    </row>
    <row r="236" ht="15.75" customHeight="1" s="230">
      <c r="A236" s="95" t="n"/>
      <c r="B236" s="95" t="n"/>
      <c r="C236" s="95" t="n"/>
      <c r="D236" s="95" t="n"/>
      <c r="E236" s="95" t="n"/>
      <c r="F236" s="120" t="n"/>
      <c r="G236" s="95" t="n"/>
      <c r="H236" s="95" t="n"/>
      <c r="I236" s="95" t="n"/>
      <c r="J236" s="95" t="n"/>
      <c r="K236" s="95" t="n"/>
      <c r="L236" s="95" t="n"/>
      <c r="M236" s="95" t="n"/>
      <c r="N236" s="95" t="n"/>
      <c r="O236" s="95" t="n"/>
      <c r="P236" s="95" t="n"/>
      <c r="Q236" s="95" t="n"/>
      <c r="R236" s="95" t="n"/>
    </row>
    <row r="237" ht="15.75" customHeight="1" s="230">
      <c r="A237" s="95" t="n"/>
      <c r="B237" s="95" t="n"/>
      <c r="C237" s="95" t="n"/>
      <c r="D237" s="95" t="n"/>
      <c r="E237" s="95" t="n"/>
      <c r="F237" s="120" t="n"/>
      <c r="G237" s="95" t="n"/>
      <c r="H237" s="95" t="n"/>
      <c r="I237" s="95" t="n"/>
      <c r="J237" s="95" t="n"/>
      <c r="K237" s="95" t="n"/>
      <c r="L237" s="95" t="n"/>
      <c r="M237" s="95" t="n"/>
      <c r="N237" s="95" t="n"/>
      <c r="O237" s="95" t="n"/>
      <c r="P237" s="95" t="n"/>
      <c r="Q237" s="95" t="n"/>
      <c r="R237" s="95" t="n"/>
    </row>
    <row r="238" ht="15.75" customHeight="1" s="230">
      <c r="A238" s="95" t="n"/>
      <c r="B238" s="95" t="n"/>
      <c r="C238" s="95" t="n"/>
      <c r="D238" s="95" t="n"/>
      <c r="E238" s="95" t="n"/>
      <c r="F238" s="120" t="n"/>
      <c r="G238" s="95" t="n"/>
      <c r="H238" s="95" t="n"/>
      <c r="I238" s="95" t="n"/>
      <c r="J238" s="95" t="n"/>
      <c r="K238" s="95" t="n"/>
      <c r="L238" s="95" t="n"/>
      <c r="M238" s="95" t="n"/>
      <c r="N238" s="95" t="n"/>
      <c r="O238" s="95" t="n"/>
      <c r="P238" s="95" t="n"/>
      <c r="Q238" s="95" t="n"/>
      <c r="R238" s="95" t="n"/>
    </row>
    <row r="239" ht="15.75" customHeight="1" s="230">
      <c r="A239" s="95" t="n"/>
      <c r="B239" s="95" t="n"/>
      <c r="C239" s="95" t="n"/>
      <c r="D239" s="95" t="n"/>
      <c r="E239" s="95" t="n"/>
      <c r="F239" s="120" t="n"/>
      <c r="G239" s="95" t="n"/>
      <c r="H239" s="95" t="n"/>
      <c r="I239" s="95" t="n"/>
      <c r="J239" s="95" t="n"/>
      <c r="K239" s="95" t="n"/>
      <c r="L239" s="95" t="n"/>
      <c r="M239" s="95" t="n"/>
      <c r="N239" s="95" t="n"/>
      <c r="O239" s="95" t="n"/>
      <c r="P239" s="95" t="n"/>
      <c r="Q239" s="95" t="n"/>
      <c r="R239" s="95" t="n"/>
    </row>
    <row r="240" ht="15.75" customHeight="1" s="230">
      <c r="A240" s="95" t="n"/>
      <c r="B240" s="95" t="n"/>
      <c r="C240" s="95" t="n"/>
      <c r="D240" s="95" t="n"/>
      <c r="E240" s="95" t="n"/>
      <c r="F240" s="120" t="n"/>
      <c r="G240" s="95" t="n"/>
      <c r="H240" s="95" t="n"/>
      <c r="I240" s="95" t="n"/>
      <c r="J240" s="95" t="n"/>
      <c r="K240" s="95" t="n"/>
      <c r="L240" s="95" t="n"/>
      <c r="M240" s="95" t="n"/>
      <c r="N240" s="95" t="n"/>
      <c r="O240" s="95" t="n"/>
      <c r="P240" s="95" t="n"/>
      <c r="Q240" s="95" t="n"/>
      <c r="R240" s="95" t="n"/>
    </row>
    <row r="241" ht="15.75" customHeight="1" s="230">
      <c r="A241" s="95" t="n"/>
      <c r="B241" s="95" t="n"/>
      <c r="C241" s="95" t="n"/>
      <c r="D241" s="95" t="n"/>
      <c r="E241" s="95" t="n"/>
      <c r="F241" s="120" t="n"/>
      <c r="G241" s="95" t="n"/>
      <c r="H241" s="95" t="n"/>
      <c r="I241" s="95" t="n"/>
      <c r="J241" s="95" t="n"/>
      <c r="K241" s="95" t="n"/>
      <c r="L241" s="95" t="n"/>
      <c r="M241" s="95" t="n"/>
      <c r="N241" s="95" t="n"/>
      <c r="O241" s="95" t="n"/>
      <c r="P241" s="95" t="n"/>
      <c r="Q241" s="95" t="n"/>
      <c r="R241" s="95" t="n"/>
    </row>
    <row r="242" ht="15.75" customHeight="1" s="230">
      <c r="A242" s="95" t="n"/>
      <c r="B242" s="95" t="n"/>
      <c r="C242" s="95" t="n"/>
      <c r="D242" s="95" t="n"/>
      <c r="E242" s="95" t="n"/>
      <c r="F242" s="120" t="n"/>
      <c r="G242" s="95" t="n"/>
      <c r="H242" s="95" t="n"/>
      <c r="I242" s="95" t="n"/>
      <c r="J242" s="95" t="n"/>
      <c r="K242" s="95" t="n"/>
      <c r="L242" s="95" t="n"/>
      <c r="M242" s="95" t="n"/>
      <c r="N242" s="95" t="n"/>
      <c r="O242" s="95" t="n"/>
      <c r="P242" s="95" t="n"/>
      <c r="Q242" s="95" t="n"/>
      <c r="R242" s="95" t="n"/>
    </row>
    <row r="243" ht="15.75" customHeight="1" s="230">
      <c r="A243" s="95" t="n"/>
      <c r="B243" s="95" t="n"/>
      <c r="C243" s="95" t="n"/>
      <c r="D243" s="95" t="n"/>
      <c r="E243" s="95" t="n"/>
      <c r="F243" s="120" t="n"/>
      <c r="G243" s="95" t="n"/>
      <c r="H243" s="95" t="n"/>
      <c r="I243" s="95" t="n"/>
      <c r="J243" s="95" t="n"/>
      <c r="K243" s="95" t="n"/>
      <c r="L243" s="95" t="n"/>
      <c r="M243" s="95" t="n"/>
      <c r="N243" s="95" t="n"/>
      <c r="O243" s="95" t="n"/>
      <c r="P243" s="95" t="n"/>
      <c r="Q243" s="95" t="n"/>
      <c r="R243" s="95" t="n"/>
    </row>
    <row r="244" ht="15.75" customHeight="1" s="230">
      <c r="A244" s="95" t="n"/>
      <c r="B244" s="95" t="n"/>
      <c r="C244" s="95" t="n"/>
      <c r="D244" s="95" t="n"/>
      <c r="E244" s="95" t="n"/>
      <c r="F244" s="120" t="n"/>
      <c r="G244" s="95" t="n"/>
      <c r="H244" s="95" t="n"/>
      <c r="I244" s="95" t="n"/>
      <c r="J244" s="95" t="n"/>
      <c r="K244" s="95" t="n"/>
      <c r="L244" s="95" t="n"/>
      <c r="M244" s="95" t="n"/>
      <c r="N244" s="95" t="n"/>
      <c r="O244" s="95" t="n"/>
      <c r="P244" s="95" t="n"/>
      <c r="Q244" s="95" t="n"/>
      <c r="R244" s="95" t="n"/>
    </row>
    <row r="245" ht="15.75" customHeight="1" s="230">
      <c r="A245" s="95" t="n"/>
      <c r="B245" s="95" t="n"/>
      <c r="C245" s="95" t="n"/>
      <c r="D245" s="95" t="n"/>
      <c r="E245" s="95" t="n"/>
      <c r="F245" s="120" t="n"/>
      <c r="G245" s="95" t="n"/>
      <c r="H245" s="95" t="n"/>
      <c r="I245" s="95" t="n"/>
      <c r="J245" s="95" t="n"/>
      <c r="K245" s="95" t="n"/>
      <c r="L245" s="95" t="n"/>
      <c r="M245" s="95" t="n"/>
      <c r="N245" s="95" t="n"/>
      <c r="O245" s="95" t="n"/>
      <c r="P245" s="95" t="n"/>
      <c r="Q245" s="95" t="n"/>
      <c r="R245" s="95" t="n"/>
    </row>
    <row r="246" ht="15.75" customHeight="1" s="230">
      <c r="A246" s="95" t="n"/>
      <c r="B246" s="95" t="n"/>
      <c r="C246" s="95" t="n"/>
      <c r="D246" s="95" t="n"/>
      <c r="E246" s="95" t="n"/>
      <c r="F246" s="120" t="n"/>
      <c r="G246" s="95" t="n"/>
      <c r="H246" s="95" t="n"/>
      <c r="I246" s="95" t="n"/>
      <c r="J246" s="95" t="n"/>
      <c r="K246" s="95" t="n"/>
      <c r="L246" s="95" t="n"/>
      <c r="M246" s="95" t="n"/>
      <c r="N246" s="95" t="n"/>
      <c r="O246" s="95" t="n"/>
      <c r="P246" s="95" t="n"/>
      <c r="Q246" s="95" t="n"/>
      <c r="R246" s="95" t="n"/>
    </row>
    <row r="247" ht="15.75" customHeight="1" s="230">
      <c r="A247" s="95" t="n"/>
      <c r="B247" s="95" t="n"/>
      <c r="C247" s="95" t="n"/>
      <c r="D247" s="95" t="n"/>
      <c r="E247" s="95" t="n"/>
      <c r="F247" s="120" t="n"/>
      <c r="G247" s="95" t="n"/>
      <c r="H247" s="95" t="n"/>
      <c r="I247" s="95" t="n"/>
      <c r="J247" s="95" t="n"/>
      <c r="K247" s="95" t="n"/>
      <c r="L247" s="95" t="n"/>
      <c r="M247" s="95" t="n"/>
      <c r="N247" s="95" t="n"/>
      <c r="O247" s="95" t="n"/>
      <c r="P247" s="95" t="n"/>
      <c r="Q247" s="95" t="n"/>
      <c r="R247" s="95" t="n"/>
    </row>
    <row r="248" ht="15.75" customHeight="1" s="230">
      <c r="A248" s="95" t="n"/>
      <c r="B248" s="95" t="n"/>
      <c r="C248" s="95" t="n"/>
      <c r="D248" s="95" t="n"/>
      <c r="E248" s="95" t="n"/>
      <c r="F248" s="120" t="n"/>
      <c r="G248" s="95" t="n"/>
      <c r="H248" s="95" t="n"/>
      <c r="I248" s="95" t="n"/>
      <c r="J248" s="95" t="n"/>
      <c r="K248" s="95" t="n"/>
      <c r="L248" s="95" t="n"/>
      <c r="M248" s="95" t="n"/>
      <c r="N248" s="95" t="n"/>
      <c r="O248" s="95" t="n"/>
      <c r="P248" s="95" t="n"/>
      <c r="Q248" s="95" t="n"/>
      <c r="R248" s="95" t="n"/>
    </row>
    <row r="249" ht="15.75" customHeight="1" s="230">
      <c r="A249" s="95" t="n"/>
      <c r="B249" s="95" t="n"/>
      <c r="C249" s="95" t="n"/>
      <c r="D249" s="95" t="n"/>
      <c r="E249" s="95" t="n"/>
      <c r="F249" s="120" t="n"/>
      <c r="G249" s="95" t="n"/>
      <c r="H249" s="95" t="n"/>
      <c r="I249" s="95" t="n"/>
      <c r="J249" s="95" t="n"/>
      <c r="K249" s="95" t="n"/>
      <c r="L249" s="95" t="n"/>
      <c r="M249" s="95" t="n"/>
      <c r="N249" s="95" t="n"/>
      <c r="O249" s="95" t="n"/>
      <c r="P249" s="95" t="n"/>
      <c r="Q249" s="95" t="n"/>
      <c r="R249" s="95" t="n"/>
    </row>
    <row r="250" ht="15.75" customHeight="1" s="230">
      <c r="A250" s="95" t="n"/>
      <c r="B250" s="95" t="n"/>
      <c r="C250" s="95" t="n"/>
      <c r="D250" s="95" t="n"/>
      <c r="E250" s="95" t="n"/>
      <c r="F250" s="120" t="n"/>
      <c r="G250" s="95" t="n"/>
      <c r="H250" s="95" t="n"/>
      <c r="I250" s="95" t="n"/>
      <c r="J250" s="95" t="n"/>
      <c r="K250" s="95" t="n"/>
      <c r="L250" s="95" t="n"/>
      <c r="M250" s="95" t="n"/>
      <c r="N250" s="95" t="n"/>
      <c r="O250" s="95" t="n"/>
      <c r="P250" s="95" t="n"/>
      <c r="Q250" s="95" t="n"/>
      <c r="R250" s="95" t="n"/>
    </row>
    <row r="251" ht="15.75" customHeight="1" s="230">
      <c r="A251" s="95" t="n"/>
      <c r="B251" s="95" t="n"/>
      <c r="C251" s="95" t="n"/>
      <c r="D251" s="95" t="n"/>
      <c r="E251" s="95" t="n"/>
      <c r="F251" s="120" t="n"/>
      <c r="G251" s="95" t="n"/>
      <c r="H251" s="95" t="n"/>
      <c r="I251" s="95" t="n"/>
      <c r="J251" s="95" t="n"/>
      <c r="K251" s="95" t="n"/>
      <c r="L251" s="95" t="n"/>
      <c r="M251" s="95" t="n"/>
      <c r="N251" s="95" t="n"/>
      <c r="O251" s="95" t="n"/>
      <c r="P251" s="95" t="n"/>
      <c r="Q251" s="95" t="n"/>
      <c r="R251" s="95" t="n"/>
    </row>
    <row r="252" ht="15.75" customHeight="1" s="230">
      <c r="A252" s="95" t="n"/>
      <c r="B252" s="95" t="n"/>
      <c r="C252" s="95" t="n"/>
      <c r="D252" s="95" t="n"/>
      <c r="E252" s="95" t="n"/>
      <c r="F252" s="120" t="n"/>
      <c r="G252" s="95" t="n"/>
      <c r="H252" s="95" t="n"/>
      <c r="I252" s="95" t="n"/>
      <c r="J252" s="95" t="n"/>
      <c r="K252" s="95" t="n"/>
      <c r="L252" s="95" t="n"/>
      <c r="M252" s="95" t="n"/>
      <c r="N252" s="95" t="n"/>
      <c r="O252" s="95" t="n"/>
      <c r="P252" s="95" t="n"/>
      <c r="Q252" s="95" t="n"/>
      <c r="R252" s="95" t="n"/>
    </row>
    <row r="253" ht="15.75" customHeight="1" s="230">
      <c r="A253" s="95" t="n"/>
      <c r="B253" s="95" t="n"/>
      <c r="C253" s="95" t="n"/>
      <c r="D253" s="95" t="n"/>
      <c r="E253" s="95" t="n"/>
      <c r="F253" s="120" t="n"/>
      <c r="G253" s="95" t="n"/>
      <c r="H253" s="95" t="n"/>
      <c r="I253" s="95" t="n"/>
      <c r="J253" s="95" t="n"/>
      <c r="K253" s="95" t="n"/>
      <c r="L253" s="95" t="n"/>
      <c r="M253" s="95" t="n"/>
      <c r="N253" s="95" t="n"/>
      <c r="O253" s="95" t="n"/>
      <c r="P253" s="95" t="n"/>
      <c r="Q253" s="95" t="n"/>
      <c r="R253" s="95" t="n"/>
    </row>
    <row r="254" ht="15.75" customHeight="1" s="230">
      <c r="A254" s="95" t="n"/>
      <c r="B254" s="95" t="n"/>
      <c r="C254" s="95" t="n"/>
      <c r="D254" s="95" t="n"/>
      <c r="E254" s="95" t="n"/>
      <c r="F254" s="120" t="n"/>
      <c r="G254" s="95" t="n"/>
      <c r="H254" s="95" t="n"/>
      <c r="I254" s="95" t="n"/>
      <c r="J254" s="95" t="n"/>
      <c r="K254" s="95" t="n"/>
      <c r="L254" s="95" t="n"/>
      <c r="M254" s="95" t="n"/>
      <c r="N254" s="95" t="n"/>
      <c r="O254" s="95" t="n"/>
      <c r="P254" s="95" t="n"/>
      <c r="Q254" s="95" t="n"/>
      <c r="R254" s="95" t="n"/>
    </row>
    <row r="255" ht="15.75" customHeight="1" s="230">
      <c r="A255" s="95" t="n"/>
      <c r="B255" s="95" t="n"/>
      <c r="C255" s="95" t="n"/>
      <c r="D255" s="95" t="n"/>
      <c r="E255" s="95" t="n"/>
      <c r="F255" s="120" t="n"/>
      <c r="G255" s="95" t="n"/>
      <c r="H255" s="95" t="n"/>
      <c r="I255" s="95" t="n"/>
      <c r="J255" s="95" t="n"/>
      <c r="K255" s="95" t="n"/>
      <c r="L255" s="95" t="n"/>
      <c r="M255" s="95" t="n"/>
      <c r="N255" s="95" t="n"/>
      <c r="O255" s="95" t="n"/>
      <c r="P255" s="95" t="n"/>
      <c r="Q255" s="95" t="n"/>
      <c r="R255" s="95" t="n"/>
    </row>
    <row r="256" ht="15.75" customHeight="1" s="230">
      <c r="A256" s="95" t="n"/>
      <c r="B256" s="95" t="n"/>
      <c r="C256" s="95" t="n"/>
      <c r="D256" s="95" t="n"/>
      <c r="E256" s="95" t="n"/>
      <c r="F256" s="120" t="n"/>
      <c r="G256" s="95" t="n"/>
      <c r="H256" s="95" t="n"/>
      <c r="I256" s="95" t="n"/>
      <c r="J256" s="95" t="n"/>
      <c r="K256" s="95" t="n"/>
      <c r="L256" s="95" t="n"/>
      <c r="M256" s="95" t="n"/>
      <c r="N256" s="95" t="n"/>
      <c r="O256" s="95" t="n"/>
      <c r="P256" s="95" t="n"/>
      <c r="Q256" s="95" t="n"/>
      <c r="R256" s="95" t="n"/>
    </row>
    <row r="257" ht="15.75" customHeight="1" s="230">
      <c r="A257" s="95" t="n"/>
      <c r="B257" s="95" t="n"/>
      <c r="C257" s="95" t="n"/>
      <c r="D257" s="95" t="n"/>
      <c r="E257" s="95" t="n"/>
      <c r="F257" s="120" t="n"/>
      <c r="G257" s="95" t="n"/>
      <c r="H257" s="95" t="n"/>
      <c r="I257" s="95" t="n"/>
      <c r="J257" s="95" t="n"/>
      <c r="K257" s="95" t="n"/>
      <c r="L257" s="95" t="n"/>
      <c r="M257" s="95" t="n"/>
      <c r="N257" s="95" t="n"/>
      <c r="O257" s="95" t="n"/>
      <c r="P257" s="95" t="n"/>
      <c r="Q257" s="95" t="n"/>
      <c r="R257" s="95" t="n"/>
    </row>
    <row r="258" ht="15.75" customHeight="1" s="230">
      <c r="A258" s="95" t="n"/>
      <c r="B258" s="95" t="n"/>
      <c r="C258" s="95" t="n"/>
      <c r="D258" s="95" t="n"/>
      <c r="E258" s="95" t="n"/>
      <c r="F258" s="120" t="n"/>
      <c r="G258" s="95" t="n"/>
      <c r="H258" s="95" t="n"/>
      <c r="I258" s="95" t="n"/>
      <c r="J258" s="95" t="n"/>
      <c r="K258" s="95" t="n"/>
      <c r="L258" s="95" t="n"/>
      <c r="M258" s="95" t="n"/>
      <c r="N258" s="95" t="n"/>
      <c r="O258" s="95" t="n"/>
      <c r="P258" s="95" t="n"/>
      <c r="Q258" s="95" t="n"/>
      <c r="R258" s="95" t="n"/>
    </row>
    <row r="259" ht="15.75" customHeight="1" s="230">
      <c r="A259" s="95" t="n"/>
      <c r="B259" s="95" t="n"/>
      <c r="C259" s="95" t="n"/>
      <c r="D259" s="95" t="n"/>
      <c r="E259" s="95" t="n"/>
      <c r="F259" s="120" t="n"/>
      <c r="G259" s="95" t="n"/>
      <c r="H259" s="95" t="n"/>
      <c r="I259" s="95" t="n"/>
      <c r="J259" s="95" t="n"/>
      <c r="K259" s="95" t="n"/>
      <c r="L259" s="95" t="n"/>
      <c r="M259" s="95" t="n"/>
      <c r="N259" s="95" t="n"/>
      <c r="O259" s="95" t="n"/>
      <c r="P259" s="95" t="n"/>
      <c r="Q259" s="95" t="n"/>
      <c r="R259" s="95" t="n"/>
    </row>
    <row r="260" ht="15.75" customHeight="1" s="230">
      <c r="A260" s="95" t="n"/>
      <c r="B260" s="95" t="n"/>
      <c r="C260" s="95" t="n"/>
      <c r="D260" s="95" t="n"/>
      <c r="E260" s="95" t="n"/>
      <c r="F260" s="120" t="n"/>
      <c r="G260" s="95" t="n"/>
      <c r="H260" s="95" t="n"/>
      <c r="I260" s="95" t="n"/>
      <c r="J260" s="95" t="n"/>
      <c r="K260" s="95" t="n"/>
      <c r="L260" s="95" t="n"/>
      <c r="M260" s="95" t="n"/>
      <c r="N260" s="95" t="n"/>
      <c r="O260" s="95" t="n"/>
      <c r="P260" s="95" t="n"/>
      <c r="Q260" s="95" t="n"/>
      <c r="R260" s="95" t="n"/>
    </row>
    <row r="261" ht="15.75" customHeight="1" s="230">
      <c r="A261" s="95" t="n"/>
      <c r="B261" s="95" t="n"/>
      <c r="C261" s="95" t="n"/>
      <c r="D261" s="95" t="n"/>
      <c r="E261" s="95" t="n"/>
      <c r="F261" s="120" t="n"/>
      <c r="G261" s="95" t="n"/>
      <c r="H261" s="95" t="n"/>
      <c r="I261" s="95" t="n"/>
      <c r="J261" s="95" t="n"/>
      <c r="K261" s="95" t="n"/>
      <c r="L261" s="95" t="n"/>
      <c r="M261" s="95" t="n"/>
      <c r="N261" s="95" t="n"/>
      <c r="O261" s="95" t="n"/>
      <c r="P261" s="95" t="n"/>
      <c r="Q261" s="95" t="n"/>
      <c r="R261" s="95" t="n"/>
    </row>
    <row r="262" ht="15.75" customHeight="1" s="230">
      <c r="A262" s="95" t="n"/>
      <c r="B262" s="95" t="n"/>
      <c r="C262" s="95" t="n"/>
      <c r="D262" s="95" t="n"/>
      <c r="E262" s="95" t="n"/>
      <c r="F262" s="120" t="n"/>
      <c r="G262" s="95" t="n"/>
      <c r="H262" s="95" t="n"/>
      <c r="I262" s="95" t="n"/>
      <c r="J262" s="95" t="n"/>
      <c r="K262" s="95" t="n"/>
      <c r="L262" s="95" t="n"/>
      <c r="M262" s="95" t="n"/>
      <c r="N262" s="95" t="n"/>
      <c r="O262" s="95" t="n"/>
      <c r="P262" s="95" t="n"/>
      <c r="Q262" s="95" t="n"/>
      <c r="R262" s="95" t="n"/>
    </row>
    <row r="263" ht="15.75" customHeight="1" s="230">
      <c r="A263" s="95" t="n"/>
      <c r="B263" s="95" t="n"/>
      <c r="C263" s="95" t="n"/>
      <c r="D263" s="95" t="n"/>
      <c r="E263" s="95" t="n"/>
      <c r="F263" s="120" t="n"/>
      <c r="G263" s="95" t="n"/>
      <c r="H263" s="95" t="n"/>
      <c r="I263" s="95" t="n"/>
      <c r="J263" s="95" t="n"/>
      <c r="K263" s="95" t="n"/>
      <c r="L263" s="95" t="n"/>
      <c r="M263" s="95" t="n"/>
      <c r="N263" s="95" t="n"/>
      <c r="O263" s="95" t="n"/>
      <c r="P263" s="95" t="n"/>
      <c r="Q263" s="95" t="n"/>
      <c r="R263" s="95" t="n"/>
    </row>
    <row r="264" ht="15.75" customHeight="1" s="230">
      <c r="A264" s="95" t="n"/>
      <c r="B264" s="95" t="n"/>
      <c r="C264" s="95" t="n"/>
      <c r="D264" s="95" t="n"/>
      <c r="E264" s="95" t="n"/>
      <c r="F264" s="120" t="n"/>
      <c r="G264" s="95" t="n"/>
      <c r="H264" s="95" t="n"/>
      <c r="I264" s="95" t="n"/>
      <c r="J264" s="95" t="n"/>
      <c r="K264" s="95" t="n"/>
      <c r="L264" s="95" t="n"/>
      <c r="M264" s="95" t="n"/>
      <c r="N264" s="95" t="n"/>
      <c r="O264" s="95" t="n"/>
      <c r="P264" s="95" t="n"/>
      <c r="Q264" s="95" t="n"/>
      <c r="R264" s="95" t="n"/>
    </row>
    <row r="265" ht="15.75" customHeight="1" s="230">
      <c r="A265" s="95" t="n"/>
      <c r="B265" s="95" t="n"/>
      <c r="C265" s="95" t="n"/>
      <c r="D265" s="95" t="n"/>
      <c r="E265" s="95" t="n"/>
      <c r="F265" s="120" t="n"/>
      <c r="G265" s="95" t="n"/>
      <c r="H265" s="95" t="n"/>
      <c r="I265" s="95" t="n"/>
      <c r="J265" s="95" t="n"/>
      <c r="K265" s="95" t="n"/>
      <c r="L265" s="95" t="n"/>
      <c r="M265" s="95" t="n"/>
      <c r="N265" s="95" t="n"/>
      <c r="O265" s="95" t="n"/>
      <c r="P265" s="95" t="n"/>
      <c r="Q265" s="95" t="n"/>
      <c r="R265" s="95" t="n"/>
    </row>
    <row r="266" ht="15.75" customHeight="1" s="230">
      <c r="A266" s="95" t="n"/>
      <c r="B266" s="95" t="n"/>
      <c r="C266" s="95" t="n"/>
      <c r="D266" s="95" t="n"/>
      <c r="E266" s="95" t="n"/>
      <c r="F266" s="120" t="n"/>
      <c r="G266" s="95" t="n"/>
      <c r="H266" s="95" t="n"/>
      <c r="I266" s="95" t="n"/>
      <c r="J266" s="95" t="n"/>
      <c r="K266" s="95" t="n"/>
      <c r="L266" s="95" t="n"/>
      <c r="M266" s="95" t="n"/>
      <c r="N266" s="95" t="n"/>
      <c r="O266" s="95" t="n"/>
      <c r="P266" s="95" t="n"/>
      <c r="Q266" s="95" t="n"/>
      <c r="R266" s="95" t="n"/>
    </row>
    <row r="267" ht="15.75" customHeight="1" s="230">
      <c r="A267" s="95" t="n"/>
      <c r="B267" s="95" t="n"/>
      <c r="C267" s="95" t="n"/>
      <c r="D267" s="95" t="n"/>
      <c r="E267" s="95" t="n"/>
      <c r="F267" s="120" t="n"/>
      <c r="G267" s="95" t="n"/>
      <c r="H267" s="95" t="n"/>
      <c r="I267" s="95" t="n"/>
      <c r="J267" s="95" t="n"/>
      <c r="K267" s="95" t="n"/>
      <c r="L267" s="95" t="n"/>
      <c r="M267" s="95" t="n"/>
      <c r="N267" s="95" t="n"/>
      <c r="O267" s="95" t="n"/>
      <c r="P267" s="95" t="n"/>
      <c r="Q267" s="95" t="n"/>
      <c r="R267" s="95" t="n"/>
    </row>
    <row r="268" ht="15.75" customHeight="1" s="230">
      <c r="A268" s="95" t="n"/>
      <c r="B268" s="95" t="n"/>
      <c r="C268" s="95" t="n"/>
      <c r="D268" s="95" t="n"/>
      <c r="E268" s="95" t="n"/>
      <c r="F268" s="120" t="n"/>
      <c r="G268" s="95" t="n"/>
      <c r="H268" s="95" t="n"/>
      <c r="I268" s="95" t="n"/>
      <c r="J268" s="95" t="n"/>
      <c r="K268" s="95" t="n"/>
      <c r="L268" s="95" t="n"/>
      <c r="M268" s="95" t="n"/>
      <c r="N268" s="95" t="n"/>
      <c r="O268" s="95" t="n"/>
      <c r="P268" s="95" t="n"/>
      <c r="Q268" s="95" t="n"/>
      <c r="R268" s="95" t="n"/>
    </row>
    <row r="269" ht="15.75" customHeight="1" s="230">
      <c r="A269" s="95" t="n"/>
      <c r="B269" s="95" t="n"/>
      <c r="C269" s="95" t="n"/>
      <c r="D269" s="95" t="n"/>
      <c r="E269" s="95" t="n"/>
      <c r="F269" s="120" t="n"/>
      <c r="G269" s="95" t="n"/>
      <c r="H269" s="95" t="n"/>
      <c r="I269" s="95" t="n"/>
      <c r="J269" s="95" t="n"/>
      <c r="K269" s="95" t="n"/>
      <c r="L269" s="95" t="n"/>
      <c r="M269" s="95" t="n"/>
      <c r="N269" s="95" t="n"/>
      <c r="O269" s="95" t="n"/>
      <c r="P269" s="95" t="n"/>
      <c r="Q269" s="95" t="n"/>
      <c r="R269" s="95" t="n"/>
    </row>
    <row r="270" ht="15.75" customHeight="1" s="230">
      <c r="A270" s="95" t="n"/>
      <c r="B270" s="95" t="n"/>
      <c r="C270" s="95" t="n"/>
      <c r="D270" s="95" t="n"/>
      <c r="E270" s="95" t="n"/>
      <c r="F270" s="120" t="n"/>
      <c r="G270" s="95" t="n"/>
      <c r="H270" s="95" t="n"/>
      <c r="I270" s="95" t="n"/>
      <c r="J270" s="95" t="n"/>
      <c r="K270" s="95" t="n"/>
      <c r="L270" s="95" t="n"/>
      <c r="M270" s="95" t="n"/>
      <c r="N270" s="95" t="n"/>
      <c r="O270" s="95" t="n"/>
      <c r="P270" s="95" t="n"/>
      <c r="Q270" s="95" t="n"/>
      <c r="R270" s="95" t="n"/>
    </row>
    <row r="271" ht="15.75" customHeight="1" s="230">
      <c r="A271" s="95" t="n"/>
      <c r="B271" s="95" t="n"/>
      <c r="C271" s="95" t="n"/>
      <c r="D271" s="95" t="n"/>
      <c r="E271" s="95" t="n"/>
      <c r="F271" s="120" t="n"/>
      <c r="G271" s="95" t="n"/>
      <c r="H271" s="95" t="n"/>
      <c r="I271" s="95" t="n"/>
      <c r="J271" s="95" t="n"/>
      <c r="K271" s="95" t="n"/>
      <c r="L271" s="95" t="n"/>
      <c r="M271" s="95" t="n"/>
      <c r="N271" s="95" t="n"/>
      <c r="O271" s="95" t="n"/>
      <c r="P271" s="95" t="n"/>
      <c r="Q271" s="95" t="n"/>
      <c r="R271" s="95" t="n"/>
    </row>
    <row r="272" ht="15.75" customHeight="1" s="230">
      <c r="A272" s="95" t="n"/>
      <c r="B272" s="95" t="n"/>
      <c r="C272" s="95" t="n"/>
      <c r="D272" s="95" t="n"/>
      <c r="E272" s="95" t="n"/>
      <c r="F272" s="120" t="n"/>
      <c r="G272" s="95" t="n"/>
      <c r="H272" s="95" t="n"/>
      <c r="I272" s="95" t="n"/>
      <c r="J272" s="95" t="n"/>
      <c r="K272" s="95" t="n"/>
      <c r="L272" s="95" t="n"/>
      <c r="M272" s="95" t="n"/>
      <c r="N272" s="95" t="n"/>
      <c r="O272" s="95" t="n"/>
      <c r="P272" s="95" t="n"/>
      <c r="Q272" s="95" t="n"/>
      <c r="R272" s="95" t="n"/>
    </row>
    <row r="273" ht="15.75" customHeight="1" s="230">
      <c r="A273" s="95" t="n"/>
      <c r="B273" s="95" t="n"/>
      <c r="C273" s="95" t="n"/>
      <c r="D273" s="95" t="n"/>
      <c r="E273" s="95" t="n"/>
      <c r="F273" s="120" t="n"/>
      <c r="G273" s="95" t="n"/>
      <c r="H273" s="95" t="n"/>
      <c r="I273" s="95" t="n"/>
      <c r="J273" s="95" t="n"/>
      <c r="K273" s="95" t="n"/>
      <c r="L273" s="95" t="n"/>
      <c r="M273" s="95" t="n"/>
      <c r="N273" s="95" t="n"/>
      <c r="O273" s="95" t="n"/>
      <c r="P273" s="95" t="n"/>
      <c r="Q273" s="95" t="n"/>
      <c r="R273" s="95" t="n"/>
    </row>
    <row r="274" ht="15.75" customHeight="1" s="230">
      <c r="A274" s="95" t="n"/>
      <c r="B274" s="95" t="n"/>
      <c r="C274" s="95" t="n"/>
      <c r="D274" s="95" t="n"/>
      <c r="E274" s="95" t="n"/>
      <c r="F274" s="120" t="n"/>
      <c r="G274" s="95" t="n"/>
      <c r="H274" s="95" t="n"/>
      <c r="I274" s="95" t="n"/>
      <c r="J274" s="95" t="n"/>
      <c r="K274" s="95" t="n"/>
      <c r="L274" s="95" t="n"/>
      <c r="M274" s="95" t="n"/>
      <c r="N274" s="95" t="n"/>
      <c r="O274" s="95" t="n"/>
      <c r="P274" s="95" t="n"/>
      <c r="Q274" s="95" t="n"/>
      <c r="R274" s="95" t="n"/>
    </row>
    <row r="275" ht="15.75" customHeight="1" s="230">
      <c r="A275" s="95" t="n"/>
      <c r="B275" s="95" t="n"/>
      <c r="C275" s="95" t="n"/>
      <c r="D275" s="95" t="n"/>
      <c r="E275" s="95" t="n"/>
      <c r="F275" s="120" t="n"/>
      <c r="G275" s="95" t="n"/>
      <c r="H275" s="95" t="n"/>
      <c r="I275" s="95" t="n"/>
      <c r="J275" s="95" t="n"/>
      <c r="K275" s="95" t="n"/>
      <c r="L275" s="95" t="n"/>
      <c r="M275" s="95" t="n"/>
      <c r="N275" s="95" t="n"/>
      <c r="O275" s="95" t="n"/>
      <c r="P275" s="95" t="n"/>
      <c r="Q275" s="95" t="n"/>
      <c r="R275" s="95" t="n"/>
    </row>
    <row r="276" ht="15.75" customHeight="1" s="230">
      <c r="A276" s="95" t="n"/>
      <c r="B276" s="95" t="n"/>
      <c r="C276" s="95" t="n"/>
      <c r="D276" s="95" t="n"/>
      <c r="E276" s="95" t="n"/>
      <c r="F276" s="120" t="n"/>
      <c r="G276" s="95" t="n"/>
      <c r="H276" s="95" t="n"/>
      <c r="I276" s="95" t="n"/>
      <c r="J276" s="95" t="n"/>
      <c r="K276" s="95" t="n"/>
      <c r="L276" s="95" t="n"/>
      <c r="M276" s="95" t="n"/>
      <c r="N276" s="95" t="n"/>
      <c r="O276" s="95" t="n"/>
      <c r="P276" s="95" t="n"/>
      <c r="Q276" s="95" t="n"/>
      <c r="R276" s="95" t="n"/>
    </row>
    <row r="277" ht="15.75" customHeight="1" s="230">
      <c r="A277" s="95" t="n"/>
      <c r="B277" s="95" t="n"/>
      <c r="C277" s="95" t="n"/>
      <c r="D277" s="95" t="n"/>
      <c r="E277" s="95" t="n"/>
      <c r="F277" s="120" t="n"/>
      <c r="G277" s="95" t="n"/>
      <c r="H277" s="95" t="n"/>
      <c r="I277" s="95" t="n"/>
      <c r="J277" s="95" t="n"/>
      <c r="K277" s="95" t="n"/>
      <c r="L277" s="95" t="n"/>
      <c r="M277" s="95" t="n"/>
      <c r="N277" s="95" t="n"/>
      <c r="O277" s="95" t="n"/>
      <c r="P277" s="95" t="n"/>
      <c r="Q277" s="95" t="n"/>
      <c r="R277" s="95" t="n"/>
    </row>
    <row r="278" ht="15.75" customHeight="1" s="230">
      <c r="A278" s="95" t="n"/>
      <c r="B278" s="95" t="n"/>
      <c r="C278" s="95" t="n"/>
      <c r="D278" s="95" t="n"/>
      <c r="E278" s="95" t="n"/>
      <c r="F278" s="120" t="n"/>
      <c r="G278" s="95" t="n"/>
      <c r="H278" s="95" t="n"/>
      <c r="I278" s="95" t="n"/>
      <c r="J278" s="95" t="n"/>
      <c r="K278" s="95" t="n"/>
      <c r="L278" s="95" t="n"/>
      <c r="M278" s="95" t="n"/>
      <c r="N278" s="95" t="n"/>
      <c r="O278" s="95" t="n"/>
      <c r="P278" s="95" t="n"/>
      <c r="Q278" s="95" t="n"/>
      <c r="R278" s="95" t="n"/>
    </row>
    <row r="279" ht="15.75" customHeight="1" s="230">
      <c r="A279" s="95" t="n"/>
      <c r="B279" s="95" t="n"/>
      <c r="C279" s="95" t="n"/>
      <c r="D279" s="95" t="n"/>
      <c r="E279" s="95" t="n"/>
      <c r="F279" s="120" t="n"/>
      <c r="G279" s="95" t="n"/>
      <c r="H279" s="95" t="n"/>
      <c r="I279" s="95" t="n"/>
      <c r="J279" s="95" t="n"/>
      <c r="K279" s="95" t="n"/>
      <c r="L279" s="95" t="n"/>
      <c r="M279" s="95" t="n"/>
      <c r="N279" s="95" t="n"/>
      <c r="O279" s="95" t="n"/>
      <c r="P279" s="95" t="n"/>
      <c r="Q279" s="95" t="n"/>
      <c r="R279" s="95" t="n"/>
    </row>
    <row r="280" ht="15.75" customHeight="1" s="230">
      <c r="A280" s="95" t="n"/>
      <c r="B280" s="95" t="n"/>
      <c r="C280" s="95" t="n"/>
      <c r="D280" s="95" t="n"/>
      <c r="E280" s="95" t="n"/>
      <c r="F280" s="120" t="n"/>
      <c r="G280" s="95" t="n"/>
      <c r="H280" s="95" t="n"/>
      <c r="I280" s="95" t="n"/>
      <c r="J280" s="95" t="n"/>
      <c r="K280" s="95" t="n"/>
      <c r="L280" s="95" t="n"/>
      <c r="M280" s="95" t="n"/>
      <c r="N280" s="95" t="n"/>
      <c r="O280" s="95" t="n"/>
      <c r="P280" s="95" t="n"/>
      <c r="Q280" s="95" t="n"/>
      <c r="R280" s="95" t="n"/>
    </row>
    <row r="281" ht="15.75" customHeight="1" s="230">
      <c r="A281" s="95" t="n"/>
      <c r="B281" s="95" t="n"/>
      <c r="C281" s="95" t="n"/>
      <c r="D281" s="95" t="n"/>
      <c r="E281" s="95" t="n"/>
      <c r="F281" s="120" t="n"/>
      <c r="G281" s="95" t="n"/>
      <c r="H281" s="95" t="n"/>
      <c r="I281" s="95" t="n"/>
      <c r="J281" s="95" t="n"/>
      <c r="K281" s="95" t="n"/>
      <c r="L281" s="95" t="n"/>
      <c r="M281" s="95" t="n"/>
      <c r="N281" s="95" t="n"/>
      <c r="O281" s="95" t="n"/>
      <c r="P281" s="95" t="n"/>
      <c r="Q281" s="95" t="n"/>
      <c r="R281" s="95" t="n"/>
    </row>
    <row r="282" ht="15.75" customHeight="1" s="230">
      <c r="A282" s="95" t="n"/>
      <c r="B282" s="95" t="n"/>
      <c r="C282" s="95" t="n"/>
      <c r="D282" s="95" t="n"/>
      <c r="E282" s="95" t="n"/>
      <c r="F282" s="120" t="n"/>
      <c r="G282" s="95" t="n"/>
      <c r="H282" s="95" t="n"/>
      <c r="I282" s="95" t="n"/>
      <c r="J282" s="95" t="n"/>
      <c r="K282" s="95" t="n"/>
      <c r="L282" s="95" t="n"/>
      <c r="M282" s="95" t="n"/>
      <c r="N282" s="95" t="n"/>
      <c r="O282" s="95" t="n"/>
      <c r="P282" s="95" t="n"/>
      <c r="Q282" s="95" t="n"/>
      <c r="R282" s="95" t="n"/>
    </row>
    <row r="283" ht="15.75" customHeight="1" s="230">
      <c r="A283" s="95" t="n"/>
      <c r="B283" s="95" t="n"/>
      <c r="C283" s="95" t="n"/>
      <c r="D283" s="95" t="n"/>
      <c r="E283" s="95" t="n"/>
      <c r="F283" s="120" t="n"/>
      <c r="G283" s="95" t="n"/>
      <c r="H283" s="95" t="n"/>
      <c r="I283" s="95" t="n"/>
      <c r="J283" s="95" t="n"/>
      <c r="K283" s="95" t="n"/>
      <c r="L283" s="95" t="n"/>
      <c r="M283" s="95" t="n"/>
      <c r="N283" s="95" t="n"/>
      <c r="O283" s="95" t="n"/>
      <c r="P283" s="95" t="n"/>
      <c r="Q283" s="95" t="n"/>
      <c r="R283" s="95" t="n"/>
    </row>
    <row r="284" ht="15.75" customHeight="1" s="230">
      <c r="A284" s="95" t="n"/>
      <c r="B284" s="95" t="n"/>
      <c r="C284" s="95" t="n"/>
      <c r="D284" s="95" t="n"/>
      <c r="E284" s="95" t="n"/>
      <c r="F284" s="120" t="n"/>
      <c r="G284" s="95" t="n"/>
      <c r="H284" s="95" t="n"/>
      <c r="I284" s="95" t="n"/>
      <c r="J284" s="95" t="n"/>
      <c r="K284" s="95" t="n"/>
      <c r="L284" s="95" t="n"/>
      <c r="M284" s="95" t="n"/>
      <c r="N284" s="95" t="n"/>
      <c r="O284" s="95" t="n"/>
      <c r="P284" s="95" t="n"/>
      <c r="Q284" s="95" t="n"/>
      <c r="R284" s="95" t="n"/>
    </row>
    <row r="285" ht="15.75" customHeight="1" s="230">
      <c r="A285" s="95" t="n"/>
      <c r="B285" s="95" t="n"/>
      <c r="C285" s="95" t="n"/>
      <c r="D285" s="95" t="n"/>
      <c r="E285" s="95" t="n"/>
      <c r="F285" s="120" t="n"/>
      <c r="G285" s="95" t="n"/>
      <c r="H285" s="95" t="n"/>
      <c r="I285" s="95" t="n"/>
      <c r="J285" s="95" t="n"/>
      <c r="K285" s="95" t="n"/>
      <c r="L285" s="95" t="n"/>
      <c r="M285" s="95" t="n"/>
      <c r="N285" s="95" t="n"/>
      <c r="O285" s="95" t="n"/>
      <c r="P285" s="95" t="n"/>
      <c r="Q285" s="95" t="n"/>
      <c r="R285" s="95" t="n"/>
    </row>
    <row r="286" ht="15.75" customHeight="1" s="230">
      <c r="A286" s="95" t="n"/>
      <c r="B286" s="95" t="n"/>
      <c r="C286" s="95" t="n"/>
      <c r="D286" s="95" t="n"/>
      <c r="E286" s="95" t="n"/>
      <c r="F286" s="120" t="n"/>
      <c r="G286" s="95" t="n"/>
      <c r="H286" s="95" t="n"/>
      <c r="I286" s="95" t="n"/>
      <c r="J286" s="95" t="n"/>
      <c r="K286" s="95" t="n"/>
      <c r="L286" s="95" t="n"/>
      <c r="M286" s="95" t="n"/>
      <c r="N286" s="95" t="n"/>
      <c r="O286" s="95" t="n"/>
      <c r="P286" s="95" t="n"/>
      <c r="Q286" s="95" t="n"/>
      <c r="R286" s="95" t="n"/>
    </row>
    <row r="287" ht="15.75" customHeight="1" s="230">
      <c r="A287" s="95" t="n"/>
      <c r="B287" s="95" t="n"/>
      <c r="C287" s="95" t="n"/>
      <c r="D287" s="95" t="n"/>
      <c r="E287" s="95" t="n"/>
      <c r="F287" s="120" t="n"/>
      <c r="G287" s="95" t="n"/>
      <c r="H287" s="95" t="n"/>
      <c r="I287" s="95" t="n"/>
      <c r="J287" s="95" t="n"/>
      <c r="K287" s="95" t="n"/>
      <c r="L287" s="95" t="n"/>
      <c r="M287" s="95" t="n"/>
      <c r="N287" s="95" t="n"/>
      <c r="O287" s="95" t="n"/>
      <c r="P287" s="95" t="n"/>
      <c r="Q287" s="95" t="n"/>
      <c r="R287" s="95" t="n"/>
    </row>
    <row r="288" ht="15.75" customHeight="1" s="230">
      <c r="A288" s="95" t="n"/>
      <c r="B288" s="95" t="n"/>
      <c r="C288" s="95" t="n"/>
      <c r="D288" s="95" t="n"/>
      <c r="E288" s="95" t="n"/>
      <c r="F288" s="120" t="n"/>
      <c r="G288" s="95" t="n"/>
      <c r="H288" s="95" t="n"/>
      <c r="I288" s="95" t="n"/>
      <c r="J288" s="95" t="n"/>
      <c r="K288" s="95" t="n"/>
      <c r="L288" s="95" t="n"/>
      <c r="M288" s="95" t="n"/>
      <c r="N288" s="95" t="n"/>
      <c r="O288" s="95" t="n"/>
      <c r="P288" s="95" t="n"/>
      <c r="Q288" s="95" t="n"/>
      <c r="R288" s="95" t="n"/>
    </row>
    <row r="289" ht="15.75" customHeight="1" s="230">
      <c r="A289" s="95" t="n"/>
      <c r="B289" s="95" t="n"/>
      <c r="C289" s="95" t="n"/>
      <c r="D289" s="95" t="n"/>
      <c r="E289" s="95" t="n"/>
      <c r="F289" s="120" t="n"/>
      <c r="G289" s="95" t="n"/>
      <c r="H289" s="95" t="n"/>
      <c r="I289" s="95" t="n"/>
      <c r="J289" s="95" t="n"/>
      <c r="K289" s="95" t="n"/>
      <c r="L289" s="95" t="n"/>
      <c r="M289" s="95" t="n"/>
      <c r="N289" s="95" t="n"/>
      <c r="O289" s="95" t="n"/>
      <c r="P289" s="95" t="n"/>
      <c r="Q289" s="95" t="n"/>
      <c r="R289" s="95" t="n"/>
    </row>
    <row r="290" ht="15.75" customHeight="1" s="230">
      <c r="A290" s="95" t="n"/>
      <c r="B290" s="95" t="n"/>
      <c r="C290" s="95" t="n"/>
      <c r="D290" s="95" t="n"/>
      <c r="E290" s="95" t="n"/>
      <c r="F290" s="120" t="n"/>
      <c r="G290" s="95" t="n"/>
      <c r="H290" s="95" t="n"/>
      <c r="I290" s="95" t="n"/>
      <c r="J290" s="95" t="n"/>
      <c r="K290" s="95" t="n"/>
      <c r="L290" s="95" t="n"/>
      <c r="M290" s="95" t="n"/>
      <c r="N290" s="95" t="n"/>
      <c r="O290" s="95" t="n"/>
      <c r="P290" s="95" t="n"/>
      <c r="Q290" s="95" t="n"/>
      <c r="R290" s="95" t="n"/>
    </row>
    <row r="291" ht="15.75" customHeight="1" s="230">
      <c r="A291" s="95" t="n"/>
      <c r="B291" s="95" t="n"/>
      <c r="C291" s="95" t="n"/>
      <c r="D291" s="95" t="n"/>
      <c r="E291" s="95" t="n"/>
      <c r="F291" s="120" t="n"/>
      <c r="G291" s="95" t="n"/>
      <c r="H291" s="95" t="n"/>
      <c r="I291" s="95" t="n"/>
      <c r="J291" s="95" t="n"/>
      <c r="K291" s="95" t="n"/>
      <c r="L291" s="95" t="n"/>
      <c r="M291" s="95" t="n"/>
      <c r="N291" s="95" t="n"/>
      <c r="O291" s="95" t="n"/>
      <c r="P291" s="95" t="n"/>
      <c r="Q291" s="95" t="n"/>
      <c r="R291" s="95" t="n"/>
    </row>
    <row r="292" ht="15.75" customHeight="1" s="230">
      <c r="A292" s="95" t="n"/>
      <c r="B292" s="95" t="n"/>
      <c r="C292" s="95" t="n"/>
      <c r="D292" s="95" t="n"/>
      <c r="E292" s="95" t="n"/>
      <c r="F292" s="120" t="n"/>
      <c r="G292" s="95" t="n"/>
      <c r="H292" s="95" t="n"/>
      <c r="I292" s="95" t="n"/>
      <c r="J292" s="95" t="n"/>
      <c r="K292" s="95" t="n"/>
      <c r="L292" s="95" t="n"/>
      <c r="M292" s="95" t="n"/>
      <c r="N292" s="95" t="n"/>
      <c r="O292" s="95" t="n"/>
      <c r="P292" s="95" t="n"/>
      <c r="Q292" s="95" t="n"/>
      <c r="R292" s="95" t="n"/>
    </row>
    <row r="293" ht="15.75" customHeight="1" s="230">
      <c r="A293" s="95" t="n"/>
      <c r="B293" s="95" t="n"/>
      <c r="C293" s="95" t="n"/>
      <c r="D293" s="95" t="n"/>
      <c r="E293" s="95" t="n"/>
      <c r="F293" s="120" t="n"/>
      <c r="G293" s="95" t="n"/>
      <c r="H293" s="95" t="n"/>
      <c r="I293" s="95" t="n"/>
      <c r="J293" s="95" t="n"/>
      <c r="K293" s="95" t="n"/>
      <c r="L293" s="95" t="n"/>
      <c r="M293" s="95" t="n"/>
      <c r="N293" s="95" t="n"/>
      <c r="O293" s="95" t="n"/>
      <c r="P293" s="95" t="n"/>
      <c r="Q293" s="95" t="n"/>
      <c r="R293" s="95" t="n"/>
    </row>
    <row r="294" ht="15.75" customHeight="1" s="230">
      <c r="A294" s="95" t="n"/>
      <c r="B294" s="95" t="n"/>
      <c r="C294" s="95" t="n"/>
      <c r="D294" s="95" t="n"/>
      <c r="E294" s="95" t="n"/>
      <c r="F294" s="120" t="n"/>
      <c r="G294" s="95" t="n"/>
      <c r="H294" s="95" t="n"/>
      <c r="I294" s="95" t="n"/>
      <c r="J294" s="95" t="n"/>
      <c r="K294" s="95" t="n"/>
      <c r="L294" s="95" t="n"/>
      <c r="M294" s="95" t="n"/>
      <c r="N294" s="95" t="n"/>
      <c r="O294" s="95" t="n"/>
      <c r="P294" s="95" t="n"/>
      <c r="Q294" s="95" t="n"/>
      <c r="R294" s="95" t="n"/>
    </row>
    <row r="295" ht="15.75" customHeight="1" s="230">
      <c r="A295" s="95" t="n"/>
      <c r="B295" s="95" t="n"/>
      <c r="C295" s="95" t="n"/>
      <c r="D295" s="95" t="n"/>
      <c r="E295" s="95" t="n"/>
      <c r="F295" s="120" t="n"/>
      <c r="G295" s="95" t="n"/>
      <c r="H295" s="95" t="n"/>
      <c r="I295" s="95" t="n"/>
      <c r="J295" s="95" t="n"/>
      <c r="K295" s="95" t="n"/>
      <c r="L295" s="95" t="n"/>
      <c r="M295" s="95" t="n"/>
      <c r="N295" s="95" t="n"/>
      <c r="O295" s="95" t="n"/>
      <c r="P295" s="95" t="n"/>
      <c r="Q295" s="95" t="n"/>
      <c r="R295" s="95" t="n"/>
    </row>
    <row r="296" ht="15.75" customHeight="1" s="230">
      <c r="A296" s="95" t="n"/>
      <c r="B296" s="95" t="n"/>
      <c r="C296" s="95" t="n"/>
      <c r="D296" s="95" t="n"/>
      <c r="E296" s="95" t="n"/>
      <c r="F296" s="120" t="n"/>
      <c r="G296" s="95" t="n"/>
      <c r="H296" s="95" t="n"/>
      <c r="I296" s="95" t="n"/>
      <c r="J296" s="95" t="n"/>
      <c r="K296" s="95" t="n"/>
      <c r="L296" s="95" t="n"/>
      <c r="M296" s="95" t="n"/>
      <c r="N296" s="95" t="n"/>
      <c r="O296" s="95" t="n"/>
      <c r="P296" s="95" t="n"/>
      <c r="Q296" s="95" t="n"/>
      <c r="R296" s="95" t="n"/>
    </row>
    <row r="297" ht="15.75" customHeight="1" s="230">
      <c r="A297" s="95" t="n"/>
      <c r="B297" s="95" t="n"/>
      <c r="C297" s="95" t="n"/>
      <c r="D297" s="95" t="n"/>
      <c r="E297" s="95" t="n"/>
      <c r="F297" s="120" t="n"/>
      <c r="G297" s="95" t="n"/>
      <c r="H297" s="95" t="n"/>
      <c r="I297" s="95" t="n"/>
      <c r="J297" s="95" t="n"/>
      <c r="K297" s="95" t="n"/>
      <c r="L297" s="95" t="n"/>
      <c r="M297" s="95" t="n"/>
      <c r="N297" s="95" t="n"/>
      <c r="O297" s="95" t="n"/>
      <c r="P297" s="95" t="n"/>
      <c r="Q297" s="95" t="n"/>
      <c r="R297" s="95" t="n"/>
    </row>
    <row r="298" ht="15.75" customHeight="1" s="230">
      <c r="A298" s="95" t="n"/>
      <c r="B298" s="95" t="n"/>
      <c r="C298" s="95" t="n"/>
      <c r="D298" s="95" t="n"/>
      <c r="E298" s="95" t="n"/>
      <c r="F298" s="120" t="n"/>
      <c r="G298" s="95" t="n"/>
      <c r="H298" s="95" t="n"/>
      <c r="I298" s="95" t="n"/>
      <c r="J298" s="95" t="n"/>
      <c r="K298" s="95" t="n"/>
      <c r="L298" s="95" t="n"/>
      <c r="M298" s="95" t="n"/>
      <c r="N298" s="95" t="n"/>
      <c r="O298" s="95" t="n"/>
      <c r="P298" s="95" t="n"/>
      <c r="Q298" s="95" t="n"/>
      <c r="R298" s="95" t="n"/>
    </row>
    <row r="299" ht="15.75" customHeight="1" s="230">
      <c r="A299" s="95" t="n"/>
      <c r="B299" s="95" t="n"/>
      <c r="C299" s="95" t="n"/>
      <c r="D299" s="95" t="n"/>
      <c r="E299" s="95" t="n"/>
      <c r="F299" s="120" t="n"/>
      <c r="G299" s="95" t="n"/>
      <c r="H299" s="95" t="n"/>
      <c r="I299" s="95" t="n"/>
      <c r="J299" s="95" t="n"/>
      <c r="K299" s="95" t="n"/>
      <c r="L299" s="95" t="n"/>
      <c r="M299" s="95" t="n"/>
      <c r="N299" s="95" t="n"/>
      <c r="O299" s="95" t="n"/>
      <c r="P299" s="95" t="n"/>
      <c r="Q299" s="95" t="n"/>
      <c r="R299" s="95" t="n"/>
    </row>
  </sheetData>
  <autoFilter ref="$A$1:$L$46">
    <sortState ref="A1:L46">
      <sortCondition ref="C1:C46"/>
    </sortState>
  </autoFilter>
  <conditionalFormatting sqref="J2:J299">
    <cfRule type="notContainsBlanks" priority="1" dxfId="0">
      <formula>LEN(TRIM(J2))&gt;0</formula>
    </cfRule>
  </conditionalFormatting>
  <conditionalFormatting sqref="B2:B50">
    <cfRule type="containsBlanks" priority="2" dxfId="1">
      <formula>LEN(TRIM(B2))=0</formula>
    </cfRule>
  </conditionalFormatting>
  <conditionalFormatting sqref="E1:G45 E47:G47">
    <cfRule type="containsBlanks" priority="3" dxfId="1">
      <formula>LEN(TRIM(E1))=0</formula>
    </cfRule>
  </conditionalFormatting>
  <dataValidations count="2">
    <dataValidation sqref="B2:B99 J2:K99" showDropDown="0" showInputMessage="1" showErrorMessage="1" allowBlank="1" prompt="Select Date - Choose a date from the calendar." type="date">
      <formula1>DATE(2000,1,1)</formula1>
      <formula2>DATE(2100,12,31)</formula2>
    </dataValidation>
    <dataValidation sqref="L2:L99" showDropDown="0" showInputMessage="1" showErrorMessage="1" allowBlank="1" prompt="Date Entry - Select a date from the calendar." type="date">
      <formula1>DATE(2000,1,1)</formula1>
      <formula2>DATE(2100,12,31)</formula2>
    </dataValidation>
  </dataValidations>
  <hyperlinks>
    <hyperlink ref="S1" location="'Smart Dashboard'!A1" display="DESHBOARD"/>
  </hyperlink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9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9.630000000000001" customWidth="1" style="230" min="1" max="2"/>
    <col width="11.38" customWidth="1" style="230" min="3" max="3"/>
    <col width="23.63" customWidth="1" style="230" min="4" max="4"/>
    <col width="14.88" customWidth="1" style="230" min="5" max="6"/>
    <col width="17.5" customWidth="1" style="230" min="7" max="7"/>
    <col hidden="1" width="12.25" customWidth="1" style="230" min="8" max="8"/>
    <col hidden="1" width="9.25" customWidth="1" style="230" min="9" max="9"/>
    <col hidden="1" width="26.25" customWidth="1" style="230" min="10" max="10"/>
  </cols>
  <sheetData>
    <row r="1" ht="27.75" customHeight="1" s="230">
      <c r="A1" s="178" t="inlineStr">
        <is>
          <t>Sr. No</t>
        </is>
      </c>
      <c r="B1" s="179" t="inlineStr">
        <is>
          <t>Shed No.</t>
        </is>
      </c>
      <c r="C1" s="179" t="inlineStr">
        <is>
          <t>Stack No.</t>
        </is>
      </c>
      <c r="D1" s="179" t="inlineStr">
        <is>
          <t>Commodity / Crop Year</t>
        </is>
      </c>
      <c r="E1" s="180" t="inlineStr">
        <is>
          <t>LAST FUMIGATION</t>
        </is>
      </c>
      <c r="F1" s="179" t="inlineStr">
        <is>
          <t>Fumigation Period</t>
        </is>
      </c>
      <c r="G1" s="181" t="inlineStr">
        <is>
          <t>TA INSPECTION/FN</t>
        </is>
      </c>
      <c r="H1" s="182" t="inlineStr">
        <is>
          <t>MIR</t>
        </is>
      </c>
      <c r="I1" s="183" t="inlineStr">
        <is>
          <t xml:space="preserve"> Remarks</t>
        </is>
      </c>
      <c r="J1" s="183" t="inlineStr">
        <is>
          <t xml:space="preserve"> Remarks</t>
        </is>
      </c>
      <c r="K1" s="127" t="inlineStr">
        <is>
          <t>DESHOARD</t>
        </is>
      </c>
    </row>
    <row r="2" ht="15" customHeight="1" s="230">
      <c r="A2" s="184">
        <f t="array" ref="A2:A47">SEQUENCE(46,1)</f>
        <v/>
      </c>
      <c r="B2" s="185">
        <f>'Master Stock'!C2</f>
        <v/>
      </c>
      <c r="C2" s="185">
        <f>'Master Stock'!D2</f>
        <v/>
      </c>
      <c r="D2" s="185">
        <f>'Master Stock'!G2</f>
        <v/>
      </c>
      <c r="E2" s="186">
        <f>IF('Master Stock'!L2="","",'Master Stock'!L2)</f>
        <v/>
      </c>
      <c r="F2" s="187">
        <f>IF(E2="","",MAX(0,TODAY()-E2))</f>
        <v/>
      </c>
      <c r="G2" s="188" t="n"/>
      <c r="H2" s="189" t="n"/>
      <c r="I2" s="190" t="n"/>
      <c r="J2" s="191">
        <f>'Master Stock'!L2</f>
        <v/>
      </c>
    </row>
    <row r="3" ht="15" customHeight="1" s="230">
      <c r="A3" s="184" t="n">
        <v>2</v>
      </c>
      <c r="B3" s="185">
        <f>'Master Stock'!C3</f>
        <v/>
      </c>
      <c r="C3" s="185">
        <f>'Master Stock'!D3</f>
        <v/>
      </c>
      <c r="D3" s="185">
        <f>'Master Stock'!G3</f>
        <v/>
      </c>
      <c r="E3" s="186">
        <f>IF('Master Stock'!L3="","",'Master Stock'!L3)</f>
        <v/>
      </c>
      <c r="F3" s="187">
        <f>IF(E3="","",MAX(0,TODAY()-E3))</f>
        <v/>
      </c>
      <c r="G3" s="188" t="n"/>
      <c r="H3" s="189" t="n"/>
      <c r="I3" s="190" t="n"/>
      <c r="J3" s="192">
        <f>'Master Stock'!L3</f>
        <v/>
      </c>
      <c r="K3" s="193" t="n"/>
    </row>
    <row r="4" ht="15" customHeight="1" s="230">
      <c r="A4" s="184" t="n">
        <v>3</v>
      </c>
      <c r="B4" s="185">
        <f>'Master Stock'!C4</f>
        <v/>
      </c>
      <c r="C4" s="185">
        <f>'Master Stock'!D4</f>
        <v/>
      </c>
      <c r="D4" s="185">
        <f>'Master Stock'!G4</f>
        <v/>
      </c>
      <c r="E4" s="186">
        <f>IF('Master Stock'!L4="","",'Master Stock'!L4)</f>
        <v/>
      </c>
      <c r="F4" s="187">
        <f>IF(E4="","",MAX(0,TODAY()-E4))</f>
        <v/>
      </c>
      <c r="G4" s="188" t="n"/>
      <c r="H4" s="189" t="n"/>
      <c r="I4" s="190" t="n"/>
      <c r="J4" s="192">
        <f>'Master Stock'!L4</f>
        <v/>
      </c>
    </row>
    <row r="5" ht="15" customHeight="1" s="230">
      <c r="A5" s="184" t="n">
        <v>4</v>
      </c>
      <c r="B5" s="185">
        <f>'Master Stock'!C5</f>
        <v/>
      </c>
      <c r="C5" s="185">
        <f>'Master Stock'!D5</f>
        <v/>
      </c>
      <c r="D5" s="185">
        <f>'Master Stock'!G5</f>
        <v/>
      </c>
      <c r="E5" s="186">
        <f>IF('Master Stock'!L5="","",'Master Stock'!L5)</f>
        <v/>
      </c>
      <c r="F5" s="187">
        <f>IF(E5="","",MAX(0,TODAY()-E5))</f>
        <v/>
      </c>
      <c r="G5" s="188" t="n"/>
      <c r="H5" s="189" t="n"/>
      <c r="I5" s="190" t="n"/>
      <c r="J5" s="192">
        <f>'Master Stock'!L5</f>
        <v/>
      </c>
    </row>
    <row r="6" ht="15" customHeight="1" s="230">
      <c r="A6" s="184" t="n">
        <v>5</v>
      </c>
      <c r="B6" s="185">
        <f>'Master Stock'!C6</f>
        <v/>
      </c>
      <c r="C6" s="185">
        <f>'Master Stock'!D6</f>
        <v/>
      </c>
      <c r="D6" s="185">
        <f>'Master Stock'!G6</f>
        <v/>
      </c>
      <c r="E6" s="186">
        <f>IF('Master Stock'!L6="","",'Master Stock'!L6)</f>
        <v/>
      </c>
      <c r="F6" s="187">
        <f>IF(E6="","",MAX(0,TODAY()-E6))</f>
        <v/>
      </c>
      <c r="G6" s="188" t="n"/>
      <c r="H6" s="189" t="n"/>
      <c r="I6" s="190" t="n"/>
      <c r="J6" s="192">
        <f>'Master Stock'!L6</f>
        <v/>
      </c>
    </row>
    <row r="7" ht="15" customHeight="1" s="230">
      <c r="A7" s="184" t="n">
        <v>6</v>
      </c>
      <c r="B7" s="185">
        <f>'Master Stock'!C7</f>
        <v/>
      </c>
      <c r="C7" s="185">
        <f>'Master Stock'!D7</f>
        <v/>
      </c>
      <c r="D7" s="185">
        <f>'Master Stock'!G7</f>
        <v/>
      </c>
      <c r="E7" s="186">
        <f>IF('Master Stock'!L7="","",'Master Stock'!L7)</f>
        <v/>
      </c>
      <c r="F7" s="187">
        <f>IF(E7="","",MAX(0,TODAY()-E7))</f>
        <v/>
      </c>
      <c r="G7" s="188" t="n"/>
      <c r="H7" s="189" t="n"/>
      <c r="I7" s="190" t="n"/>
      <c r="J7" s="192">
        <f>'Master Stock'!L7</f>
        <v/>
      </c>
    </row>
    <row r="8" ht="15" customHeight="1" s="230">
      <c r="A8" s="184" t="n">
        <v>7</v>
      </c>
      <c r="B8" s="185">
        <f>'Master Stock'!C8</f>
        <v/>
      </c>
      <c r="C8" s="185">
        <f>'Master Stock'!D8</f>
        <v/>
      </c>
      <c r="D8" s="185">
        <f>'Master Stock'!G8</f>
        <v/>
      </c>
      <c r="E8" s="186">
        <f>IF('Master Stock'!L8="","",'Master Stock'!L8)</f>
        <v/>
      </c>
      <c r="F8" s="187">
        <f>IF(E8="","",MAX(0,TODAY()-E8))</f>
        <v/>
      </c>
      <c r="G8" s="188" t="n"/>
      <c r="H8" s="189" t="n"/>
      <c r="I8" s="190" t="n"/>
      <c r="J8" s="192">
        <f>'Master Stock'!L8</f>
        <v/>
      </c>
    </row>
    <row r="9" ht="15" customHeight="1" s="230">
      <c r="A9" s="184" t="n">
        <v>8</v>
      </c>
      <c r="B9" s="185">
        <f>'Master Stock'!C9</f>
        <v/>
      </c>
      <c r="C9" s="185">
        <f>'Master Stock'!D9</f>
        <v/>
      </c>
      <c r="D9" s="185">
        <f>'Master Stock'!G9</f>
        <v/>
      </c>
      <c r="E9" s="186">
        <f>IF('Master Stock'!L9="","",'Master Stock'!L9)</f>
        <v/>
      </c>
      <c r="F9" s="187">
        <f>IF(E9="","",MAX(0,TODAY()-E9))</f>
        <v/>
      </c>
      <c r="G9" s="188" t="n"/>
      <c r="H9" s="189" t="n"/>
      <c r="I9" s="190" t="n"/>
      <c r="J9" s="192">
        <f>'Master Stock'!L9</f>
        <v/>
      </c>
    </row>
    <row r="10" ht="15" customHeight="1" s="230">
      <c r="A10" s="184" t="n">
        <v>9</v>
      </c>
      <c r="B10" s="185">
        <f>'Master Stock'!C10</f>
        <v/>
      </c>
      <c r="C10" s="185">
        <f>'Master Stock'!D10</f>
        <v/>
      </c>
      <c r="D10" s="185">
        <f>'Master Stock'!G10</f>
        <v/>
      </c>
      <c r="E10" s="186">
        <f>IF('Master Stock'!L10="","",'Master Stock'!L10)</f>
        <v/>
      </c>
      <c r="F10" s="187">
        <f>IF(E10="","",MAX(0,TODAY()-E10))</f>
        <v/>
      </c>
      <c r="G10" s="188" t="n"/>
      <c r="H10" s="189" t="n"/>
      <c r="I10" s="190" t="n"/>
      <c r="J10" s="192">
        <f>'Master Stock'!L10</f>
        <v/>
      </c>
    </row>
    <row r="11" ht="15" customHeight="1" s="230">
      <c r="A11" s="184" t="n">
        <v>10</v>
      </c>
      <c r="B11" s="185">
        <f>'Master Stock'!C11</f>
        <v/>
      </c>
      <c r="C11" s="185">
        <f>'Master Stock'!D11</f>
        <v/>
      </c>
      <c r="D11" s="185">
        <f>'Master Stock'!G11</f>
        <v/>
      </c>
      <c r="E11" s="186">
        <f>IF('Master Stock'!L11="","",'Master Stock'!L11)</f>
        <v/>
      </c>
      <c r="F11" s="187">
        <f>IF(E11="","",MAX(0,TODAY()-E11))</f>
        <v/>
      </c>
      <c r="G11" s="188" t="n"/>
      <c r="H11" s="189" t="n"/>
      <c r="I11" s="190" t="n"/>
      <c r="J11" s="192">
        <f>'Master Stock'!L11</f>
        <v/>
      </c>
    </row>
    <row r="12" ht="15" customHeight="1" s="230">
      <c r="A12" s="184" t="n">
        <v>11</v>
      </c>
      <c r="B12" s="185">
        <f>'Master Stock'!C12</f>
        <v/>
      </c>
      <c r="C12" s="185">
        <f>'Master Stock'!D12</f>
        <v/>
      </c>
      <c r="D12" s="185">
        <f>'Master Stock'!G12</f>
        <v/>
      </c>
      <c r="E12" s="186">
        <f>IF('Master Stock'!L12="","",'Master Stock'!L12)</f>
        <v/>
      </c>
      <c r="F12" s="187">
        <f>IF(E12="","",MAX(0,TODAY()-E12))</f>
        <v/>
      </c>
      <c r="G12" s="188" t="n"/>
      <c r="H12" s="189" t="n"/>
      <c r="I12" s="190" t="n"/>
      <c r="J12" s="192">
        <f>'Master Stock'!L12</f>
        <v/>
      </c>
    </row>
    <row r="13" ht="15" customHeight="1" s="230">
      <c r="A13" s="184" t="n">
        <v>12</v>
      </c>
      <c r="B13" s="185">
        <f>'Master Stock'!C13</f>
        <v/>
      </c>
      <c r="C13" s="185">
        <f>'Master Stock'!D13</f>
        <v/>
      </c>
      <c r="D13" s="185">
        <f>'Master Stock'!G13</f>
        <v/>
      </c>
      <c r="E13" s="186">
        <f>IF('Master Stock'!L13="","",'Master Stock'!L13)</f>
        <v/>
      </c>
      <c r="F13" s="187">
        <f>IF(E13="","",MAX(0,TODAY()-E13))</f>
        <v/>
      </c>
      <c r="G13" s="188" t="n"/>
      <c r="H13" s="189" t="n"/>
      <c r="I13" s="190" t="n"/>
      <c r="J13" s="192">
        <f>'Master Stock'!L13</f>
        <v/>
      </c>
    </row>
    <row r="14" ht="15" customHeight="1" s="230">
      <c r="A14" s="184" t="n">
        <v>13</v>
      </c>
      <c r="B14" s="185">
        <f>'Master Stock'!C14</f>
        <v/>
      </c>
      <c r="C14" s="185">
        <f>'Master Stock'!D14</f>
        <v/>
      </c>
      <c r="D14" s="185">
        <f>'Master Stock'!G14</f>
        <v/>
      </c>
      <c r="E14" s="186">
        <f>IF('Master Stock'!L14="","",'Master Stock'!L14)</f>
        <v/>
      </c>
      <c r="F14" s="187">
        <f>IF(E14="","",MAX(0,TODAY()-E14))</f>
        <v/>
      </c>
      <c r="G14" s="188" t="n"/>
      <c r="H14" s="189" t="n"/>
      <c r="I14" s="190" t="n"/>
      <c r="J14" s="192">
        <f>'Master Stock'!L14</f>
        <v/>
      </c>
    </row>
    <row r="15" ht="15" customHeight="1" s="230">
      <c r="A15" s="184" t="n">
        <v>14</v>
      </c>
      <c r="B15" s="185">
        <f>'Master Stock'!C15</f>
        <v/>
      </c>
      <c r="C15" s="185">
        <f>'Master Stock'!D15</f>
        <v/>
      </c>
      <c r="D15" s="185">
        <f>'Master Stock'!G15</f>
        <v/>
      </c>
      <c r="E15" s="186">
        <f>IF('Master Stock'!L15="","",'Master Stock'!L15)</f>
        <v/>
      </c>
      <c r="F15" s="187">
        <f>IF(E15="","",MAX(0,TODAY()-E15))</f>
        <v/>
      </c>
      <c r="G15" s="188" t="n"/>
      <c r="H15" s="189" t="n"/>
      <c r="I15" s="190" t="n"/>
      <c r="J15" s="192">
        <f>'Master Stock'!L15</f>
        <v/>
      </c>
    </row>
    <row r="16" ht="15" customHeight="1" s="230">
      <c r="A16" s="184" t="n">
        <v>15</v>
      </c>
      <c r="B16" s="185">
        <f>'Master Stock'!C16</f>
        <v/>
      </c>
      <c r="C16" s="185">
        <f>'Master Stock'!D16</f>
        <v/>
      </c>
      <c r="D16" s="185">
        <f>'Master Stock'!G16</f>
        <v/>
      </c>
      <c r="E16" s="186">
        <f>IF('Master Stock'!L16="","",'Master Stock'!L16)</f>
        <v/>
      </c>
      <c r="F16" s="187">
        <f>IF(E16="","",MAX(0,TODAY()-E16))</f>
        <v/>
      </c>
      <c r="G16" s="188" t="n"/>
      <c r="H16" s="189" t="n"/>
      <c r="I16" s="190" t="n"/>
      <c r="J16" s="192">
        <f>'Master Stock'!L16</f>
        <v/>
      </c>
    </row>
    <row r="17" ht="15" customHeight="1" s="230">
      <c r="A17" s="184" t="n">
        <v>16</v>
      </c>
      <c r="B17" s="185">
        <f>'Master Stock'!C17</f>
        <v/>
      </c>
      <c r="C17" s="185">
        <f>'Master Stock'!D17</f>
        <v/>
      </c>
      <c r="D17" s="185">
        <f>'Master Stock'!G17</f>
        <v/>
      </c>
      <c r="E17" s="186">
        <f>IF('Master Stock'!L17="","",'Master Stock'!L17)</f>
        <v/>
      </c>
      <c r="F17" s="187">
        <f>IF(E17="","",MAX(0,TODAY()-E17))</f>
        <v/>
      </c>
      <c r="G17" s="188" t="n"/>
      <c r="H17" s="189" t="n"/>
      <c r="I17" s="190" t="n"/>
      <c r="J17" s="192">
        <f>'Master Stock'!L17</f>
        <v/>
      </c>
    </row>
    <row r="18" ht="15" customHeight="1" s="230">
      <c r="A18" s="184" t="n">
        <v>17</v>
      </c>
      <c r="B18" s="185">
        <f>'Master Stock'!C18</f>
        <v/>
      </c>
      <c r="C18" s="185">
        <f>'Master Stock'!D18</f>
        <v/>
      </c>
      <c r="D18" s="185">
        <f>'Master Stock'!G18</f>
        <v/>
      </c>
      <c r="E18" s="186">
        <f>IF('Master Stock'!L18="","",'Master Stock'!L18)</f>
        <v/>
      </c>
      <c r="F18" s="187">
        <f>IF(E18="","",MAX(0,TODAY()-E18))</f>
        <v/>
      </c>
      <c r="G18" s="188" t="n"/>
      <c r="H18" s="189" t="n"/>
      <c r="I18" s="190" t="n"/>
      <c r="J18" s="192">
        <f>'Master Stock'!L18</f>
        <v/>
      </c>
    </row>
    <row r="19" ht="15" customHeight="1" s="230">
      <c r="A19" s="184" t="n">
        <v>18</v>
      </c>
      <c r="B19" s="185">
        <f>'Master Stock'!C19</f>
        <v/>
      </c>
      <c r="C19" s="185">
        <f>'Master Stock'!D19</f>
        <v/>
      </c>
      <c r="D19" s="185">
        <f>'Master Stock'!G19</f>
        <v/>
      </c>
      <c r="E19" s="186">
        <f>IF('Master Stock'!L19="","",'Master Stock'!L19)</f>
        <v/>
      </c>
      <c r="F19" s="187">
        <f>IF(E19="","",MAX(0,TODAY()-E19))</f>
        <v/>
      </c>
      <c r="G19" s="188" t="n"/>
      <c r="H19" s="189" t="n"/>
      <c r="I19" s="190" t="n"/>
      <c r="J19" s="192">
        <f>'Master Stock'!L19</f>
        <v/>
      </c>
    </row>
    <row r="20" ht="15" customHeight="1" s="230">
      <c r="A20" s="184" t="n">
        <v>19</v>
      </c>
      <c r="B20" s="185">
        <f>'Master Stock'!C20</f>
        <v/>
      </c>
      <c r="C20" s="185">
        <f>'Master Stock'!D20</f>
        <v/>
      </c>
      <c r="D20" s="185">
        <f>'Master Stock'!G20</f>
        <v/>
      </c>
      <c r="E20" s="186">
        <f>IF('Master Stock'!L20="","",'Master Stock'!L20)</f>
        <v/>
      </c>
      <c r="F20" s="187">
        <f>IF(E20="","",MAX(0,TODAY()-E20))</f>
        <v/>
      </c>
      <c r="G20" s="188" t="n"/>
      <c r="H20" s="189" t="n"/>
      <c r="I20" s="190" t="n"/>
      <c r="J20" s="192">
        <f>'Master Stock'!L20</f>
        <v/>
      </c>
    </row>
    <row r="21" ht="15.75" customHeight="1" s="230">
      <c r="A21" s="184" t="n">
        <v>20</v>
      </c>
      <c r="B21" s="185">
        <f>'Master Stock'!C21</f>
        <v/>
      </c>
      <c r="C21" s="185">
        <f>'Master Stock'!D21</f>
        <v/>
      </c>
      <c r="D21" s="185">
        <f>'Master Stock'!G21</f>
        <v/>
      </c>
      <c r="E21" s="186">
        <f>IF('Master Stock'!L21="","",'Master Stock'!L21)</f>
        <v/>
      </c>
      <c r="F21" s="187">
        <f>IF(E21="","",MAX(0,TODAY()-E21))</f>
        <v/>
      </c>
      <c r="G21" s="188" t="n"/>
      <c r="H21" s="189" t="n"/>
      <c r="I21" s="190" t="n"/>
      <c r="J21" s="192">
        <f>'Master Stock'!L21</f>
        <v/>
      </c>
    </row>
    <row r="22" ht="15.75" customHeight="1" s="230">
      <c r="A22" s="184" t="n">
        <v>21</v>
      </c>
      <c r="B22" s="185">
        <f>'Master Stock'!C22</f>
        <v/>
      </c>
      <c r="C22" s="185">
        <f>'Master Stock'!D22</f>
        <v/>
      </c>
      <c r="D22" s="185">
        <f>'Master Stock'!G22</f>
        <v/>
      </c>
      <c r="E22" s="186">
        <f>IF('Master Stock'!L22="","",'Master Stock'!L22)</f>
        <v/>
      </c>
      <c r="F22" s="187">
        <f>IF(E22="","",MAX(0,TODAY()-E22))</f>
        <v/>
      </c>
      <c r="G22" s="188" t="n"/>
      <c r="H22" s="189" t="n"/>
      <c r="I22" s="190" t="n"/>
      <c r="J22" s="192">
        <f>'Master Stock'!L22</f>
        <v/>
      </c>
    </row>
    <row r="23" ht="15.75" customHeight="1" s="230">
      <c r="A23" s="184" t="n">
        <v>22</v>
      </c>
      <c r="B23" s="185">
        <f>'Master Stock'!C23</f>
        <v/>
      </c>
      <c r="C23" s="185">
        <f>'Master Stock'!D23</f>
        <v/>
      </c>
      <c r="D23" s="185">
        <f>'Master Stock'!G23</f>
        <v/>
      </c>
      <c r="E23" s="186">
        <f>IF('Master Stock'!L23="","",'Master Stock'!L23)</f>
        <v/>
      </c>
      <c r="F23" s="187">
        <f>IF(E23="","",MAX(0,TODAY()-E23))</f>
        <v/>
      </c>
      <c r="G23" s="188" t="n"/>
      <c r="H23" s="189" t="n"/>
      <c r="I23" s="190" t="n"/>
      <c r="J23" s="192">
        <f>'Master Stock'!L23</f>
        <v/>
      </c>
    </row>
    <row r="24" ht="15.75" customHeight="1" s="230">
      <c r="A24" s="184" t="n">
        <v>23</v>
      </c>
      <c r="B24" s="185">
        <f>'Master Stock'!C24</f>
        <v/>
      </c>
      <c r="C24" s="185">
        <f>'Master Stock'!D24</f>
        <v/>
      </c>
      <c r="D24" s="185">
        <f>'Master Stock'!G24</f>
        <v/>
      </c>
      <c r="E24" s="186">
        <f>IF('Master Stock'!L24="","",'Master Stock'!L24)</f>
        <v/>
      </c>
      <c r="F24" s="187">
        <f>IF(E24="","",MAX(0,TODAY()-E24))</f>
        <v/>
      </c>
      <c r="G24" s="188" t="n"/>
      <c r="H24" s="189" t="n"/>
      <c r="I24" s="190" t="n"/>
      <c r="J24" s="192">
        <f>'Master Stock'!L24</f>
        <v/>
      </c>
    </row>
    <row r="25" ht="15.75" customHeight="1" s="230">
      <c r="A25" s="184" t="n">
        <v>24</v>
      </c>
      <c r="B25" s="185">
        <f>'Master Stock'!C25</f>
        <v/>
      </c>
      <c r="C25" s="185">
        <f>'Master Stock'!D25</f>
        <v/>
      </c>
      <c r="D25" s="185">
        <f>'Master Stock'!G25</f>
        <v/>
      </c>
      <c r="E25" s="186">
        <f>IF('Master Stock'!L25="","",'Master Stock'!L25)</f>
        <v/>
      </c>
      <c r="F25" s="187">
        <f>IF(E25="","",MAX(0,TODAY()-E25))</f>
        <v/>
      </c>
      <c r="G25" s="188" t="n"/>
      <c r="H25" s="189" t="n"/>
      <c r="I25" s="190" t="n"/>
      <c r="J25" s="192">
        <f>'Master Stock'!L25</f>
        <v/>
      </c>
    </row>
    <row r="26" ht="15.75" customHeight="1" s="230">
      <c r="A26" s="184" t="n">
        <v>25</v>
      </c>
      <c r="B26" s="185">
        <f>'Master Stock'!C26</f>
        <v/>
      </c>
      <c r="C26" s="185">
        <f>'Master Stock'!D26</f>
        <v/>
      </c>
      <c r="D26" s="185">
        <f>'Master Stock'!G26</f>
        <v/>
      </c>
      <c r="E26" s="186">
        <f>IF('Master Stock'!L26="","",'Master Stock'!L26)</f>
        <v/>
      </c>
      <c r="F26" s="187">
        <f>IF(E26="","",MAX(0,TODAY()-E26))</f>
        <v/>
      </c>
      <c r="G26" s="188" t="n"/>
      <c r="H26" s="189" t="n"/>
      <c r="I26" s="190" t="n"/>
      <c r="J26" s="192">
        <f>'Master Stock'!L26</f>
        <v/>
      </c>
    </row>
    <row r="27" ht="15.75" customHeight="1" s="230">
      <c r="A27" s="184" t="n">
        <v>26</v>
      </c>
      <c r="B27" s="185">
        <f>'Master Stock'!C27</f>
        <v/>
      </c>
      <c r="C27" s="185">
        <f>'Master Stock'!D27</f>
        <v/>
      </c>
      <c r="D27" s="185">
        <f>'Master Stock'!G27</f>
        <v/>
      </c>
      <c r="E27" s="186">
        <f>IF('Master Stock'!L27="","",'Master Stock'!L27)</f>
        <v/>
      </c>
      <c r="F27" s="187">
        <f>IF(E27="","",MAX(0,TODAY()-E27))</f>
        <v/>
      </c>
      <c r="G27" s="188" t="n"/>
      <c r="H27" s="189" t="n"/>
      <c r="I27" s="190" t="n"/>
      <c r="J27" s="192">
        <f>'Master Stock'!L27</f>
        <v/>
      </c>
    </row>
    <row r="28" ht="15.75" customHeight="1" s="230">
      <c r="A28" s="184" t="n">
        <v>27</v>
      </c>
      <c r="B28" s="185">
        <f>'Master Stock'!C28</f>
        <v/>
      </c>
      <c r="C28" s="185">
        <f>'Master Stock'!D28</f>
        <v/>
      </c>
      <c r="D28" s="185">
        <f>'Master Stock'!G28</f>
        <v/>
      </c>
      <c r="E28" s="186">
        <f>IF('Master Stock'!L28="","",'Master Stock'!L28)</f>
        <v/>
      </c>
      <c r="F28" s="187">
        <f>IF(E28="","",MAX(0,TODAY()-E28))</f>
        <v/>
      </c>
      <c r="G28" s="188" t="n"/>
      <c r="H28" s="189" t="n"/>
      <c r="I28" s="190" t="n"/>
      <c r="J28" s="192">
        <f>'Master Stock'!L28</f>
        <v/>
      </c>
    </row>
    <row r="29" ht="15.75" customHeight="1" s="230">
      <c r="A29" s="184" t="n">
        <v>28</v>
      </c>
      <c r="B29" s="185">
        <f>'Master Stock'!C29</f>
        <v/>
      </c>
      <c r="C29" s="185">
        <f>'Master Stock'!D29</f>
        <v/>
      </c>
      <c r="D29" s="185">
        <f>'Master Stock'!G29</f>
        <v/>
      </c>
      <c r="E29" s="186">
        <f>IF('Master Stock'!L29="","",'Master Stock'!L29)</f>
        <v/>
      </c>
      <c r="F29" s="187">
        <f>IF(E29="","",MAX(0,TODAY()-E29))</f>
        <v/>
      </c>
      <c r="G29" s="188" t="n"/>
      <c r="H29" s="189" t="n"/>
      <c r="I29" s="190" t="n"/>
      <c r="J29" s="192">
        <f>'Master Stock'!L29</f>
        <v/>
      </c>
    </row>
    <row r="30" ht="15.75" customHeight="1" s="230">
      <c r="A30" s="184" t="n">
        <v>29</v>
      </c>
      <c r="B30" s="185">
        <f>'Master Stock'!C30</f>
        <v/>
      </c>
      <c r="C30" s="185">
        <f>'Master Stock'!D30</f>
        <v/>
      </c>
      <c r="D30" s="185">
        <f>'Master Stock'!G30</f>
        <v/>
      </c>
      <c r="E30" s="186">
        <f>IF('Master Stock'!L30="","",'Master Stock'!L30)</f>
        <v/>
      </c>
      <c r="F30" s="187">
        <f>IF(E30="","",MAX(0,TODAY()-E30))</f>
        <v/>
      </c>
      <c r="G30" s="188" t="n"/>
      <c r="H30" s="189" t="n"/>
      <c r="I30" s="190" t="n"/>
      <c r="J30" s="192">
        <f>'Master Stock'!L30</f>
        <v/>
      </c>
    </row>
    <row r="31" ht="15.75" customHeight="1" s="230">
      <c r="A31" s="184" t="n">
        <v>30</v>
      </c>
      <c r="B31" s="185">
        <f>'Master Stock'!C31</f>
        <v/>
      </c>
      <c r="C31" s="185">
        <f>'Master Stock'!D31</f>
        <v/>
      </c>
      <c r="D31" s="185">
        <f>'Master Stock'!G31</f>
        <v/>
      </c>
      <c r="E31" s="186">
        <f>IF('Master Stock'!L31="","",'Master Stock'!L31)</f>
        <v/>
      </c>
      <c r="F31" s="187">
        <f>IF(E31="","",MAX(0,TODAY()-E31))</f>
        <v/>
      </c>
      <c r="G31" s="188" t="n"/>
      <c r="H31" s="189" t="n"/>
      <c r="I31" s="190" t="n"/>
      <c r="J31" s="192">
        <f>'Master Stock'!L31</f>
        <v/>
      </c>
    </row>
    <row r="32" ht="15.75" customHeight="1" s="230">
      <c r="A32" s="184" t="n">
        <v>31</v>
      </c>
      <c r="B32" s="185">
        <f>'Master Stock'!C32</f>
        <v/>
      </c>
      <c r="C32" s="185">
        <f>'Master Stock'!D32</f>
        <v/>
      </c>
      <c r="D32" s="185">
        <f>'Master Stock'!G32</f>
        <v/>
      </c>
      <c r="E32" s="186">
        <f>IF('Master Stock'!L32="","",'Master Stock'!L32)</f>
        <v/>
      </c>
      <c r="F32" s="187">
        <f>IF(E32="","",MAX(0,TODAY()-E32))</f>
        <v/>
      </c>
      <c r="G32" s="188" t="n"/>
      <c r="H32" s="189" t="n"/>
      <c r="I32" s="190" t="n"/>
      <c r="J32" s="192">
        <f>'Master Stock'!L32</f>
        <v/>
      </c>
    </row>
    <row r="33" ht="15.75" customHeight="1" s="230">
      <c r="A33" s="184" t="n">
        <v>32</v>
      </c>
      <c r="B33" s="185">
        <f>'Master Stock'!C33</f>
        <v/>
      </c>
      <c r="C33" s="185">
        <f>'Master Stock'!D33</f>
        <v/>
      </c>
      <c r="D33" s="185">
        <f>'Master Stock'!G33</f>
        <v/>
      </c>
      <c r="E33" s="186">
        <f>IF('Master Stock'!L33="","",'Master Stock'!L33)</f>
        <v/>
      </c>
      <c r="F33" s="187">
        <f>IF(E33="","",MAX(0,TODAY()-E33))</f>
        <v/>
      </c>
      <c r="G33" s="188" t="n"/>
      <c r="H33" s="189" t="n"/>
      <c r="I33" s="190" t="n"/>
      <c r="J33" s="192">
        <f>'Master Stock'!L33</f>
        <v/>
      </c>
    </row>
    <row r="34" ht="15.75" customHeight="1" s="230">
      <c r="A34" s="184" t="n">
        <v>33</v>
      </c>
      <c r="B34" s="185">
        <f>'Master Stock'!C34</f>
        <v/>
      </c>
      <c r="C34" s="185">
        <f>'Master Stock'!D34</f>
        <v/>
      </c>
      <c r="D34" s="185">
        <f>'Master Stock'!G34</f>
        <v/>
      </c>
      <c r="E34" s="186">
        <f>IF('Master Stock'!L34="","",'Master Stock'!L34)</f>
        <v/>
      </c>
      <c r="F34" s="187">
        <f>IF(E34="","",MAX(0,TODAY()-E34))</f>
        <v/>
      </c>
      <c r="G34" s="188" t="n"/>
      <c r="H34" s="189" t="n"/>
      <c r="I34" s="190" t="n"/>
      <c r="J34" s="192">
        <f>'Master Stock'!L34</f>
        <v/>
      </c>
    </row>
    <row r="35" ht="15.75" customHeight="1" s="230">
      <c r="A35" s="184" t="n">
        <v>34</v>
      </c>
      <c r="B35" s="185">
        <f>'Master Stock'!C35</f>
        <v/>
      </c>
      <c r="C35" s="185">
        <f>'Master Stock'!D35</f>
        <v/>
      </c>
      <c r="D35" s="185">
        <f>'Master Stock'!G35</f>
        <v/>
      </c>
      <c r="E35" s="186">
        <f>IF('Master Stock'!L35="","",'Master Stock'!L35)</f>
        <v/>
      </c>
      <c r="F35" s="187">
        <f>IF(E35="","",MAX(0,TODAY()-E35))</f>
        <v/>
      </c>
      <c r="G35" s="188" t="n"/>
      <c r="H35" s="189" t="n"/>
      <c r="I35" s="190" t="n"/>
      <c r="J35" s="192">
        <f>'Master Stock'!L35</f>
        <v/>
      </c>
    </row>
    <row r="36" ht="15.75" customHeight="1" s="230">
      <c r="A36" s="184" t="n">
        <v>35</v>
      </c>
      <c r="B36" s="185">
        <f>'Master Stock'!C36</f>
        <v/>
      </c>
      <c r="C36" s="185">
        <f>'Master Stock'!D36</f>
        <v/>
      </c>
      <c r="D36" s="185">
        <f>'Master Stock'!G36</f>
        <v/>
      </c>
      <c r="E36" s="186">
        <f>IF('Master Stock'!L36="","",'Master Stock'!L36)</f>
        <v/>
      </c>
      <c r="F36" s="187">
        <f>IF(E36="","",MAX(0,TODAY()-E36))</f>
        <v/>
      </c>
      <c r="G36" s="188" t="n"/>
      <c r="H36" s="189" t="n"/>
      <c r="I36" s="190" t="n"/>
      <c r="J36" s="192">
        <f>'Master Stock'!L36</f>
        <v/>
      </c>
    </row>
    <row r="37" ht="15.75" customHeight="1" s="230">
      <c r="A37" s="184" t="n">
        <v>36</v>
      </c>
      <c r="B37" s="185">
        <f>'Master Stock'!C37</f>
        <v/>
      </c>
      <c r="C37" s="185">
        <f>'Master Stock'!D37</f>
        <v/>
      </c>
      <c r="D37" s="185">
        <f>'Master Stock'!G37</f>
        <v/>
      </c>
      <c r="E37" s="186">
        <f>IF('Master Stock'!L37="","",'Master Stock'!L37)</f>
        <v/>
      </c>
      <c r="F37" s="187">
        <f>IF(E37="","",MAX(0,TODAY()-E37))</f>
        <v/>
      </c>
      <c r="G37" s="188" t="n"/>
      <c r="H37" s="189" t="n"/>
      <c r="I37" s="190" t="n"/>
      <c r="J37" s="192">
        <f>'Master Stock'!L37</f>
        <v/>
      </c>
    </row>
    <row r="38" ht="15.75" customHeight="1" s="230">
      <c r="A38" s="184" t="n">
        <v>37</v>
      </c>
      <c r="B38" s="185">
        <f>'Master Stock'!C38</f>
        <v/>
      </c>
      <c r="C38" s="185">
        <f>'Master Stock'!D38</f>
        <v/>
      </c>
      <c r="D38" s="185">
        <f>'Master Stock'!G38</f>
        <v/>
      </c>
      <c r="E38" s="186">
        <f>IF('Master Stock'!L38="","",'Master Stock'!L38)</f>
        <v/>
      </c>
      <c r="F38" s="187">
        <f>IF(E38="","",MAX(0,TODAY()-E38))</f>
        <v/>
      </c>
      <c r="G38" s="188" t="n"/>
      <c r="H38" s="189" t="n"/>
      <c r="I38" s="190" t="n"/>
      <c r="J38" s="192">
        <f>'Master Stock'!L38</f>
        <v/>
      </c>
    </row>
    <row r="39" ht="15.75" customHeight="1" s="230">
      <c r="A39" s="184" t="n">
        <v>38</v>
      </c>
      <c r="B39" s="185">
        <f>'Master Stock'!C39</f>
        <v/>
      </c>
      <c r="C39" s="185">
        <f>'Master Stock'!D39</f>
        <v/>
      </c>
      <c r="D39" s="185">
        <f>'Master Stock'!G39</f>
        <v/>
      </c>
      <c r="E39" s="186">
        <f>IF('Master Stock'!L39="","",'Master Stock'!L39)</f>
        <v/>
      </c>
      <c r="F39" s="187">
        <f>IF(E39="","",MAX(0,TODAY()-E39))</f>
        <v/>
      </c>
      <c r="G39" s="188" t="n"/>
      <c r="H39" s="189" t="n"/>
      <c r="I39" s="190" t="n"/>
      <c r="J39" s="192">
        <f>'Master Stock'!L39</f>
        <v/>
      </c>
    </row>
    <row r="40" ht="15.75" customHeight="1" s="230">
      <c r="A40" s="184" t="n">
        <v>39</v>
      </c>
      <c r="B40" s="185">
        <f>'Master Stock'!C40</f>
        <v/>
      </c>
      <c r="C40" s="185">
        <f>'Master Stock'!D40</f>
        <v/>
      </c>
      <c r="D40" s="185">
        <f>'Master Stock'!G40</f>
        <v/>
      </c>
      <c r="E40" s="186">
        <f>IF('Master Stock'!L40="","",'Master Stock'!L40)</f>
        <v/>
      </c>
      <c r="F40" s="187">
        <f>IF(E40="","",MAX(0,TODAY()-E40))</f>
        <v/>
      </c>
      <c r="G40" s="188" t="n"/>
      <c r="H40" s="189" t="n"/>
      <c r="I40" s="190" t="n"/>
      <c r="J40" s="192">
        <f>'Master Stock'!L40</f>
        <v/>
      </c>
    </row>
    <row r="41" ht="15.75" customHeight="1" s="230">
      <c r="A41" s="184" t="n">
        <v>40</v>
      </c>
      <c r="B41" s="185">
        <f>'Master Stock'!C41</f>
        <v/>
      </c>
      <c r="C41" s="185">
        <f>'Master Stock'!D41</f>
        <v/>
      </c>
      <c r="D41" s="185">
        <f>'Master Stock'!G41</f>
        <v/>
      </c>
      <c r="E41" s="186">
        <f>IF('Master Stock'!L41="","",'Master Stock'!L41)</f>
        <v/>
      </c>
      <c r="F41" s="187">
        <f>IF(E41="","",MAX(0,TODAY()-E41))</f>
        <v/>
      </c>
      <c r="G41" s="188" t="n"/>
      <c r="H41" s="189" t="n"/>
      <c r="I41" s="190" t="n"/>
      <c r="J41" s="192">
        <f>'Master Stock'!L41</f>
        <v/>
      </c>
    </row>
    <row r="42" ht="15.75" customHeight="1" s="230">
      <c r="A42" s="184" t="n">
        <v>41</v>
      </c>
      <c r="B42" s="185">
        <f>'Master Stock'!C42</f>
        <v/>
      </c>
      <c r="C42" s="185">
        <f>'Master Stock'!D42</f>
        <v/>
      </c>
      <c r="D42" s="185">
        <f>'Master Stock'!G42</f>
        <v/>
      </c>
      <c r="E42" s="186">
        <f>IF('Master Stock'!L42="","",'Master Stock'!L42)</f>
        <v/>
      </c>
      <c r="F42" s="187">
        <f>IF(E42="","",MAX(0,TODAY()-E42))</f>
        <v/>
      </c>
      <c r="G42" s="188" t="n"/>
      <c r="H42" s="189" t="n"/>
      <c r="I42" s="190" t="n"/>
      <c r="J42" s="192">
        <f>'Master Stock'!L42</f>
        <v/>
      </c>
    </row>
    <row r="43" ht="15.75" customHeight="1" s="230">
      <c r="A43" s="184" t="n">
        <v>42</v>
      </c>
      <c r="B43" s="185">
        <f>'Master Stock'!C43</f>
        <v/>
      </c>
      <c r="C43" s="185">
        <f>'Master Stock'!D43</f>
        <v/>
      </c>
      <c r="D43" s="185">
        <f>'Master Stock'!G43</f>
        <v/>
      </c>
      <c r="E43" s="186">
        <f>IF('Master Stock'!L43="","",'Master Stock'!L43)</f>
        <v/>
      </c>
      <c r="F43" s="187">
        <f>IF(E43="","",MAX(0,TODAY()-E43))</f>
        <v/>
      </c>
      <c r="G43" s="188" t="n"/>
      <c r="H43" s="189" t="n"/>
      <c r="I43" s="190" t="n"/>
      <c r="J43" s="192">
        <f>'Master Stock'!L43</f>
        <v/>
      </c>
    </row>
    <row r="44" ht="15.75" customHeight="1" s="230">
      <c r="A44" s="184" t="n">
        <v>43</v>
      </c>
      <c r="B44" s="185">
        <f>'Master Stock'!C44</f>
        <v/>
      </c>
      <c r="C44" s="185">
        <f>'Master Stock'!D44</f>
        <v/>
      </c>
      <c r="D44" s="185">
        <f>'Master Stock'!G44</f>
        <v/>
      </c>
      <c r="E44" s="186">
        <f>IF('Master Stock'!L44="","",'Master Stock'!L44)</f>
        <v/>
      </c>
      <c r="F44" s="187">
        <f>IF(E44="","",MAX(0,TODAY()-E44))</f>
        <v/>
      </c>
      <c r="G44" s="188" t="n"/>
      <c r="H44" s="189" t="n"/>
      <c r="I44" s="190" t="n"/>
      <c r="J44" s="192">
        <f>'Master Stock'!L44</f>
        <v/>
      </c>
    </row>
    <row r="45" ht="15.75" customHeight="1" s="230">
      <c r="A45" s="184" t="n">
        <v>44</v>
      </c>
      <c r="B45" s="185">
        <f>'Master Stock'!C45</f>
        <v/>
      </c>
      <c r="C45" s="185">
        <f>'Master Stock'!D45</f>
        <v/>
      </c>
      <c r="D45" s="185">
        <f>'Master Stock'!G45</f>
        <v/>
      </c>
      <c r="E45" s="186">
        <f>IF('Master Stock'!L45="","",'Master Stock'!L45)</f>
        <v/>
      </c>
      <c r="F45" s="187">
        <f>IF(E45="","",MAX(0,TODAY()-E45))</f>
        <v/>
      </c>
      <c r="G45" s="188" t="n"/>
      <c r="H45" s="189" t="n"/>
      <c r="I45" s="190" t="n"/>
      <c r="J45" s="192">
        <f>'Master Stock'!L45</f>
        <v/>
      </c>
    </row>
    <row r="46" ht="15.75" customHeight="1" s="230">
      <c r="A46" s="194" t="n">
        <v>45</v>
      </c>
      <c r="B46" s="195">
        <f>'Master Stock'!C46</f>
        <v/>
      </c>
      <c r="C46" s="195">
        <f>'Master Stock'!D46</f>
        <v/>
      </c>
      <c r="D46" s="195">
        <f>'Master Stock'!G46</f>
        <v/>
      </c>
      <c r="E46" s="196">
        <f>IF('Master Stock'!L46="","",'Master Stock'!L46)</f>
        <v/>
      </c>
      <c r="F46" s="197">
        <f>IF(E46="","",MAX(0,TODAY()-E46))</f>
        <v/>
      </c>
      <c r="G46" s="198" t="n"/>
      <c r="H46" s="189" t="n"/>
      <c r="I46" s="190" t="n"/>
      <c r="J46" s="192">
        <f>'Master Stock'!L46</f>
        <v/>
      </c>
    </row>
    <row r="47" ht="15.75" customHeight="1" s="230">
      <c r="A47" s="199" t="n">
        <v>46</v>
      </c>
      <c r="B47" s="199">
        <f>'Master Stock'!C47</f>
        <v/>
      </c>
      <c r="C47" s="200">
        <f>'Master Stock'!D47</f>
        <v/>
      </c>
      <c r="D47" s="200">
        <f>'Master Stock'!G47</f>
        <v/>
      </c>
      <c r="E47" s="201">
        <f>IF('Master Stock'!L47="","",'Master Stock'!L47)</f>
        <v/>
      </c>
      <c r="F47" s="202">
        <f>IF(E47="","",MAX(0,TODAY()-E47))</f>
        <v/>
      </c>
      <c r="G47" s="203" t="n"/>
      <c r="H47" s="190" t="n"/>
      <c r="I47" s="190" t="n"/>
      <c r="J47" s="204">
        <f>'Master Stock'!L47</f>
        <v/>
      </c>
    </row>
    <row r="48" ht="15.75" customHeight="1" s="230">
      <c r="A48" s="205" t="n">
        <v>47</v>
      </c>
      <c r="B48" s="205">
        <f>'Master Stock'!C48</f>
        <v/>
      </c>
      <c r="C48" s="185">
        <f>'Master Stock'!D48</f>
        <v/>
      </c>
      <c r="D48" s="185">
        <f>'Master Stock'!G48</f>
        <v/>
      </c>
      <c r="E48" s="186">
        <f>IF('Master Stock'!L48="","",'Master Stock'!L48)</f>
        <v/>
      </c>
      <c r="F48" s="187">
        <f>IF(E48="","",MAX(0,TODAY()-E48))</f>
        <v/>
      </c>
      <c r="G48" s="190" t="n"/>
      <c r="H48" s="190" t="n"/>
      <c r="I48" s="190" t="n"/>
      <c r="J48" s="204">
        <f>'Master Stock'!L48</f>
        <v/>
      </c>
    </row>
    <row r="49" ht="15.75" customHeight="1" s="230">
      <c r="A49" s="205" t="n"/>
      <c r="B49" s="205">
        <f>'Master Stock'!C49</f>
        <v/>
      </c>
      <c r="C49" s="185">
        <f>'Master Stock'!D49</f>
        <v/>
      </c>
      <c r="D49" s="185">
        <f>'Master Stock'!G49</f>
        <v/>
      </c>
      <c r="E49" s="186">
        <f>IF('Master Stock'!L49="","",'Master Stock'!L49)</f>
        <v/>
      </c>
      <c r="F49" s="187">
        <f>IF(E49="","",MAX(0,TODAY()-E49))</f>
        <v/>
      </c>
      <c r="G49" s="190" t="n"/>
      <c r="H49" s="190" t="n"/>
      <c r="I49" s="190" t="n"/>
      <c r="J49" s="204">
        <f>'Master Stock'!L49</f>
        <v/>
      </c>
    </row>
    <row r="50" ht="15.75" customHeight="1" s="230">
      <c r="A50" s="205" t="n"/>
      <c r="B50" s="205">
        <f>'Master Stock'!C50</f>
        <v/>
      </c>
      <c r="C50" s="185">
        <f>'Master Stock'!D50</f>
        <v/>
      </c>
      <c r="D50" s="185">
        <f>'Master Stock'!G50</f>
        <v/>
      </c>
      <c r="E50" s="186">
        <f>IF('Master Stock'!L50="","",'Master Stock'!L50)</f>
        <v/>
      </c>
      <c r="F50" s="187">
        <f>IF(E50="","",MAX(0,TODAY()-E50))</f>
        <v/>
      </c>
      <c r="G50" s="190" t="n"/>
      <c r="H50" s="190" t="n"/>
      <c r="I50" s="190" t="n"/>
      <c r="J50" s="204">
        <f>'Master Stock'!L50</f>
        <v/>
      </c>
    </row>
    <row r="51" ht="15.75" customHeight="1" s="230">
      <c r="A51" s="205" t="n"/>
      <c r="B51" s="205">
        <f>'Master Stock'!C51</f>
        <v/>
      </c>
      <c r="C51" s="185">
        <f>'Master Stock'!D51</f>
        <v/>
      </c>
      <c r="D51" s="185">
        <f>'Master Stock'!G51</f>
        <v/>
      </c>
      <c r="E51" s="186">
        <f>IF('Master Stock'!L51="","",'Master Stock'!L51)</f>
        <v/>
      </c>
      <c r="F51" s="187">
        <f>IF(E51="","",MAX(0,TODAY()-E51))</f>
        <v/>
      </c>
      <c r="G51" s="190" t="n"/>
      <c r="H51" s="190" t="n"/>
      <c r="I51" s="190" t="n"/>
      <c r="J51" s="204">
        <f>'Master Stock'!L51</f>
        <v/>
      </c>
    </row>
    <row r="52" hidden="1" ht="15.75" customHeight="1" s="230">
      <c r="A52" s="206" t="n"/>
      <c r="B52" s="174">
        <f>'Master Stock'!C52</f>
        <v/>
      </c>
      <c r="C52" s="174">
        <f>'Master Stock'!D52</f>
        <v/>
      </c>
      <c r="D52" s="174">
        <f>'Master Stock'!G52</f>
        <v/>
      </c>
      <c r="E52" s="207">
        <f>IF('Master Stock'!L52="","",'Master Stock'!L52)</f>
        <v/>
      </c>
      <c r="F52" s="136">
        <f>IF(E52="","",MAX(0,TODAY()-E52))</f>
        <v/>
      </c>
      <c r="G52" s="175" t="n"/>
      <c r="H52" s="175" t="n"/>
      <c r="I52" s="174" t="n"/>
      <c r="J52" s="204">
        <f>'Master Stock'!L52</f>
        <v/>
      </c>
    </row>
    <row r="53" hidden="1" ht="15.75" customHeight="1" s="230">
      <c r="A53" s="206" t="n"/>
      <c r="B53" s="174">
        <f>'Master Stock'!C53</f>
        <v/>
      </c>
      <c r="C53" s="174">
        <f>'Master Stock'!D53</f>
        <v/>
      </c>
      <c r="D53" s="174">
        <f>'Master Stock'!G53</f>
        <v/>
      </c>
      <c r="E53" s="207">
        <f>IF('Master Stock'!L53="","",'Master Stock'!L53)</f>
        <v/>
      </c>
      <c r="F53" s="136">
        <f>IF(E53="","",MAX(0,TODAY()-E53))</f>
        <v/>
      </c>
      <c r="G53" s="175" t="n"/>
      <c r="H53" s="175" t="n"/>
      <c r="I53" s="174" t="n"/>
      <c r="J53" s="204">
        <f>'Master Stock'!L53</f>
        <v/>
      </c>
    </row>
    <row r="54" hidden="1" ht="15.75" customHeight="1" s="230">
      <c r="A54" s="206" t="n"/>
      <c r="B54" s="174">
        <f>'Master Stock'!C54</f>
        <v/>
      </c>
      <c r="C54" s="174">
        <f>'Master Stock'!D54</f>
        <v/>
      </c>
      <c r="D54" s="174">
        <f>'Master Stock'!G54</f>
        <v/>
      </c>
      <c r="E54" s="207">
        <f>IF('Master Stock'!L54="","",'Master Stock'!L54)</f>
        <v/>
      </c>
      <c r="F54" s="136">
        <f>IF(E54="","",MAX(0,TODAY()-E54))</f>
        <v/>
      </c>
      <c r="G54" s="175" t="n"/>
      <c r="H54" s="175" t="n"/>
      <c r="I54" s="174" t="n"/>
      <c r="J54" s="204">
        <f>'Master Stock'!L54</f>
        <v/>
      </c>
    </row>
    <row r="55" hidden="1" ht="15.75" customHeight="1" s="230">
      <c r="A55" s="206" t="n"/>
      <c r="B55" s="174">
        <f>'Master Stock'!C55</f>
        <v/>
      </c>
      <c r="C55" s="174">
        <f>'Master Stock'!D55</f>
        <v/>
      </c>
      <c r="D55" s="174">
        <f>'Master Stock'!G55</f>
        <v/>
      </c>
      <c r="E55" s="207">
        <f>IF('Master Stock'!L55="","",'Master Stock'!L55)</f>
        <v/>
      </c>
      <c r="F55" s="136">
        <f>IF(E55="","",MAX(0,TODAY()-E55))</f>
        <v/>
      </c>
      <c r="G55" s="175" t="n"/>
      <c r="H55" s="175" t="n"/>
      <c r="I55" s="174" t="n"/>
      <c r="J55" s="204">
        <f>'Master Stock'!L55</f>
        <v/>
      </c>
    </row>
    <row r="56" hidden="1" ht="15.75" customHeight="1" s="230">
      <c r="A56" s="206" t="n"/>
      <c r="B56" s="174">
        <f>'Master Stock'!C56</f>
        <v/>
      </c>
      <c r="C56" s="174">
        <f>'Master Stock'!D56</f>
        <v/>
      </c>
      <c r="D56" s="174">
        <f>'Master Stock'!G56</f>
        <v/>
      </c>
      <c r="E56" s="207">
        <f>IF('Master Stock'!L56="","",'Master Stock'!L56)</f>
        <v/>
      </c>
      <c r="F56" s="136">
        <f>IF(E56="","",MAX(0,TODAY()-E56))</f>
        <v/>
      </c>
      <c r="G56" s="175" t="n"/>
      <c r="H56" s="175" t="n"/>
      <c r="I56" s="174" t="n"/>
      <c r="J56" s="204">
        <f>'Master Stock'!L56</f>
        <v/>
      </c>
    </row>
    <row r="57" hidden="1" ht="15.75" customHeight="1" s="230">
      <c r="A57" s="206" t="n"/>
      <c r="B57" s="174">
        <f>'Master Stock'!C57</f>
        <v/>
      </c>
      <c r="C57" s="174">
        <f>'Master Stock'!D57</f>
        <v/>
      </c>
      <c r="D57" s="174">
        <f>'Master Stock'!G57</f>
        <v/>
      </c>
      <c r="E57" s="207">
        <f>IF('Master Stock'!L57="","",'Master Stock'!L57)</f>
        <v/>
      </c>
      <c r="F57" s="136">
        <f>IF(E57="","",MAX(0,TODAY()-E57))</f>
        <v/>
      </c>
      <c r="G57" s="175" t="n"/>
      <c r="H57" s="175" t="n"/>
      <c r="I57" s="174" t="n"/>
      <c r="J57" s="204">
        <f>'Master Stock'!L57</f>
        <v/>
      </c>
    </row>
    <row r="58" hidden="1" ht="15.75" customHeight="1" s="230">
      <c r="A58" s="206" t="n"/>
      <c r="B58" s="174">
        <f>'Master Stock'!C58</f>
        <v/>
      </c>
      <c r="C58" s="174">
        <f>'Master Stock'!D58</f>
        <v/>
      </c>
      <c r="D58" s="174">
        <f>'Master Stock'!G58</f>
        <v/>
      </c>
      <c r="E58" s="207">
        <f>IF('Master Stock'!L58="","",'Master Stock'!L58)</f>
        <v/>
      </c>
      <c r="F58" s="136">
        <f>IF(E58="","",MAX(0,TODAY()-E58))</f>
        <v/>
      </c>
      <c r="G58" s="175" t="n"/>
      <c r="H58" s="175" t="n"/>
      <c r="I58" s="174" t="n"/>
      <c r="J58" s="204">
        <f>'Master Stock'!L58</f>
        <v/>
      </c>
    </row>
    <row r="59" hidden="1" ht="15.75" customHeight="1" s="230">
      <c r="A59" s="206" t="n"/>
      <c r="B59" s="174">
        <f>'Master Stock'!C59</f>
        <v/>
      </c>
      <c r="C59" s="174">
        <f>'Master Stock'!D59</f>
        <v/>
      </c>
      <c r="D59" s="174">
        <f>'Master Stock'!G59</f>
        <v/>
      </c>
      <c r="E59" s="207">
        <f>IF('Master Stock'!L59="","",'Master Stock'!L59)</f>
        <v/>
      </c>
      <c r="F59" s="136">
        <f>IF(E59="","",MAX(0,TODAY()-E59))</f>
        <v/>
      </c>
      <c r="G59" s="175" t="n"/>
      <c r="H59" s="175" t="n"/>
      <c r="I59" s="174" t="n"/>
      <c r="J59" s="204">
        <f>'Master Stock'!L59</f>
        <v/>
      </c>
    </row>
    <row r="60" hidden="1" ht="15.75" customHeight="1" s="230">
      <c r="A60" s="206" t="n"/>
      <c r="B60" s="174">
        <f>'Master Stock'!C60</f>
        <v/>
      </c>
      <c r="C60" s="174">
        <f>'Master Stock'!D60</f>
        <v/>
      </c>
      <c r="D60" s="174">
        <f>'Master Stock'!G60</f>
        <v/>
      </c>
      <c r="E60" s="207">
        <f>IF('Master Stock'!L60="","",'Master Stock'!L60)</f>
        <v/>
      </c>
      <c r="F60" s="136">
        <f>IF(E60="","",MAX(0,TODAY()-E60))</f>
        <v/>
      </c>
      <c r="G60" s="175" t="n"/>
      <c r="H60" s="175" t="n"/>
      <c r="I60" s="174" t="n"/>
      <c r="J60" s="204">
        <f>'Master Stock'!L60</f>
        <v/>
      </c>
    </row>
    <row r="61" hidden="1" ht="15.75" customHeight="1" s="230">
      <c r="A61" s="206" t="n"/>
      <c r="B61" s="174">
        <f>'Master Stock'!C61</f>
        <v/>
      </c>
      <c r="C61" s="174">
        <f>'Master Stock'!D61</f>
        <v/>
      </c>
      <c r="D61" s="174">
        <f>'Master Stock'!G61</f>
        <v/>
      </c>
      <c r="E61" s="207">
        <f>IF('Master Stock'!L61="","",'Master Stock'!L61)</f>
        <v/>
      </c>
      <c r="F61" s="136">
        <f>IF(E61="","",MAX(0,TODAY()-E61))</f>
        <v/>
      </c>
      <c r="G61" s="175" t="n"/>
      <c r="H61" s="175" t="n"/>
      <c r="I61" s="174" t="n"/>
      <c r="J61" s="204">
        <f>'Master Stock'!L61</f>
        <v/>
      </c>
    </row>
    <row r="62" hidden="1" ht="15.75" customHeight="1" s="230">
      <c r="A62" s="206" t="n"/>
      <c r="B62" s="174">
        <f>'Master Stock'!C62</f>
        <v/>
      </c>
      <c r="C62" s="174">
        <f>'Master Stock'!D62</f>
        <v/>
      </c>
      <c r="D62" s="174">
        <f>'Master Stock'!G62</f>
        <v/>
      </c>
      <c r="E62" s="207">
        <f>IF('Master Stock'!L62="","",'Master Stock'!L62)</f>
        <v/>
      </c>
      <c r="F62" s="136">
        <f>IF(E62="","",MAX(0,TODAY()-E62))</f>
        <v/>
      </c>
      <c r="G62" s="175" t="n"/>
      <c r="H62" s="175" t="n"/>
      <c r="I62" s="174" t="n"/>
      <c r="J62" s="204">
        <f>'Master Stock'!L62</f>
        <v/>
      </c>
    </row>
    <row r="63" hidden="1" ht="15.75" customHeight="1" s="230">
      <c r="A63" s="206" t="n"/>
      <c r="B63" s="174">
        <f>'Master Stock'!C63</f>
        <v/>
      </c>
      <c r="C63" s="174">
        <f>'Master Stock'!D63</f>
        <v/>
      </c>
      <c r="D63" s="174">
        <f>'Master Stock'!G63</f>
        <v/>
      </c>
      <c r="E63" s="207">
        <f>IF('Master Stock'!L63="","",'Master Stock'!L63)</f>
        <v/>
      </c>
      <c r="F63" s="136">
        <f>IF(E63="","",MAX(0,TODAY()-E63))</f>
        <v/>
      </c>
      <c r="G63" s="175" t="n"/>
      <c r="H63" s="175" t="n"/>
      <c r="I63" s="174" t="n"/>
      <c r="J63" s="204">
        <f>'Master Stock'!L63</f>
        <v/>
      </c>
    </row>
    <row r="64" hidden="1" ht="15.75" customHeight="1" s="230">
      <c r="A64" s="206" t="n"/>
      <c r="B64" s="174">
        <f>'Master Stock'!C64</f>
        <v/>
      </c>
      <c r="C64" s="174">
        <f>'Master Stock'!D64</f>
        <v/>
      </c>
      <c r="D64" s="174">
        <f>'Master Stock'!G64</f>
        <v/>
      </c>
      <c r="E64" s="207">
        <f>IF('Master Stock'!L64="","",'Master Stock'!L64)</f>
        <v/>
      </c>
      <c r="F64" s="136">
        <f>IF(E64="","",MAX(0,TODAY()-E64))</f>
        <v/>
      </c>
      <c r="G64" s="175" t="n"/>
      <c r="H64" s="175" t="n"/>
      <c r="I64" s="174" t="n"/>
      <c r="J64" s="204">
        <f>'Master Stock'!L64</f>
        <v/>
      </c>
    </row>
    <row r="65" hidden="1" ht="15.75" customHeight="1" s="230">
      <c r="A65" s="206" t="n"/>
      <c r="B65" s="174">
        <f>'Master Stock'!C65</f>
        <v/>
      </c>
      <c r="C65" s="174">
        <f>'Master Stock'!D65</f>
        <v/>
      </c>
      <c r="D65" s="174">
        <f>'Master Stock'!G65</f>
        <v/>
      </c>
      <c r="E65" s="207">
        <f>IF('Master Stock'!L65="","",'Master Stock'!L65)</f>
        <v/>
      </c>
      <c r="F65" s="136">
        <f>IF(E65="","",MAX(0,TODAY()-E65))</f>
        <v/>
      </c>
      <c r="G65" s="175" t="n"/>
      <c r="H65" s="175" t="n"/>
      <c r="I65" s="174" t="n"/>
      <c r="J65" s="204">
        <f>'Master Stock'!L65</f>
        <v/>
      </c>
    </row>
    <row r="66" hidden="1" ht="15.75" customHeight="1" s="230">
      <c r="A66" s="206" t="n"/>
      <c r="B66" s="174">
        <f>'Master Stock'!C66</f>
        <v/>
      </c>
      <c r="C66" s="174">
        <f>'Master Stock'!D66</f>
        <v/>
      </c>
      <c r="D66" s="174">
        <f>'Master Stock'!G66</f>
        <v/>
      </c>
      <c r="E66" s="207">
        <f>IF('Master Stock'!L66="","",'Master Stock'!L66)</f>
        <v/>
      </c>
      <c r="F66" s="136">
        <f>IF(E66="","",MAX(0,TODAY()-E66))</f>
        <v/>
      </c>
      <c r="G66" s="175" t="n"/>
      <c r="H66" s="175" t="n"/>
      <c r="I66" s="174" t="n"/>
      <c r="J66" s="204">
        <f>'Master Stock'!L66</f>
        <v/>
      </c>
    </row>
    <row r="67" hidden="1" ht="15.75" customHeight="1" s="230">
      <c r="A67" s="206" t="n"/>
      <c r="B67" s="174">
        <f>'Master Stock'!C67</f>
        <v/>
      </c>
      <c r="C67" s="174">
        <f>'Master Stock'!D67</f>
        <v/>
      </c>
      <c r="D67" s="174">
        <f>'Master Stock'!G67</f>
        <v/>
      </c>
      <c r="E67" s="207">
        <f>IF('Master Stock'!L67="","",'Master Stock'!L67)</f>
        <v/>
      </c>
      <c r="F67" s="136">
        <f>IF(E67="","",MAX(0,TODAY()-E67))</f>
        <v/>
      </c>
      <c r="G67" s="175" t="n"/>
      <c r="H67" s="175" t="n"/>
      <c r="I67" s="174" t="n"/>
      <c r="J67" s="204">
        <f>'Master Stock'!L67</f>
        <v/>
      </c>
    </row>
    <row r="68" hidden="1" ht="15.75" customHeight="1" s="230">
      <c r="A68" s="206" t="n"/>
      <c r="B68" s="174">
        <f>'Master Stock'!C68</f>
        <v/>
      </c>
      <c r="C68" s="174">
        <f>'Master Stock'!D68</f>
        <v/>
      </c>
      <c r="D68" s="174">
        <f>'Master Stock'!G68</f>
        <v/>
      </c>
      <c r="E68" s="207">
        <f>IF('Master Stock'!L68="","",'Master Stock'!L68)</f>
        <v/>
      </c>
      <c r="F68" s="136">
        <f>IF(E68="","",MAX(0,TODAY()-E68))</f>
        <v/>
      </c>
      <c r="G68" s="175" t="n"/>
      <c r="H68" s="175" t="n"/>
      <c r="I68" s="174" t="n"/>
      <c r="J68" s="204">
        <f>'Master Stock'!L68</f>
        <v/>
      </c>
    </row>
    <row r="69" hidden="1" ht="15.75" customHeight="1" s="230">
      <c r="A69" s="206" t="n"/>
      <c r="B69" s="174">
        <f>'Master Stock'!C69</f>
        <v/>
      </c>
      <c r="C69" s="174">
        <f>'Master Stock'!D69</f>
        <v/>
      </c>
      <c r="D69" s="174">
        <f>'Master Stock'!G69</f>
        <v/>
      </c>
      <c r="E69" s="207">
        <f>IF('Master Stock'!L69="","",'Master Stock'!L69)</f>
        <v/>
      </c>
      <c r="F69" s="136">
        <f>IF(E69="","",MAX(0,TODAY()-E69))</f>
        <v/>
      </c>
      <c r="G69" s="175" t="n"/>
      <c r="H69" s="175" t="n"/>
      <c r="I69" s="174" t="n"/>
      <c r="J69" s="204">
        <f>'Master Stock'!L69</f>
        <v/>
      </c>
    </row>
    <row r="70" hidden="1" ht="15.75" customHeight="1" s="230">
      <c r="A70" s="206" t="n"/>
      <c r="B70" s="174">
        <f>'Master Stock'!C70</f>
        <v/>
      </c>
      <c r="C70" s="174">
        <f>'Master Stock'!D70</f>
        <v/>
      </c>
      <c r="D70" s="174">
        <f>'Master Stock'!G70</f>
        <v/>
      </c>
      <c r="E70" s="207">
        <f>IF('Master Stock'!L70="","",'Master Stock'!L70)</f>
        <v/>
      </c>
      <c r="F70" s="136">
        <f>IF(E70="","",MAX(0,TODAY()-E70))</f>
        <v/>
      </c>
      <c r="G70" s="175" t="n"/>
      <c r="H70" s="175" t="n"/>
      <c r="I70" s="174" t="n"/>
      <c r="J70" s="204">
        <f>'Master Stock'!L70</f>
        <v/>
      </c>
    </row>
    <row r="71" hidden="1" ht="15.75" customHeight="1" s="230">
      <c r="A71" s="206" t="n"/>
      <c r="B71" s="174">
        <f>'Master Stock'!C71</f>
        <v/>
      </c>
      <c r="C71" s="174">
        <f>'Master Stock'!D71</f>
        <v/>
      </c>
      <c r="D71" s="174">
        <f>'Master Stock'!G71</f>
        <v/>
      </c>
      <c r="E71" s="207">
        <f>IF('Master Stock'!L71="","",'Master Stock'!L71)</f>
        <v/>
      </c>
      <c r="F71" s="136">
        <f>IF(E71="","",MAX(0,TODAY()-E71))</f>
        <v/>
      </c>
      <c r="G71" s="175" t="n"/>
      <c r="H71" s="175" t="n"/>
      <c r="I71" s="174" t="n"/>
      <c r="J71" s="204">
        <f>'Master Stock'!L71</f>
        <v/>
      </c>
    </row>
    <row r="72" hidden="1" ht="15.75" customHeight="1" s="230">
      <c r="A72" s="206" t="n"/>
      <c r="B72" s="174">
        <f>'Master Stock'!C72</f>
        <v/>
      </c>
      <c r="C72" s="174">
        <f>'Master Stock'!D72</f>
        <v/>
      </c>
      <c r="D72" s="174">
        <f>'Master Stock'!G72</f>
        <v/>
      </c>
      <c r="E72" s="207">
        <f>IF('Master Stock'!L72="","",'Master Stock'!L72)</f>
        <v/>
      </c>
      <c r="F72" s="136">
        <f>IF(E72="","",MAX(0,TODAY()-E72))</f>
        <v/>
      </c>
      <c r="G72" s="175" t="n"/>
      <c r="H72" s="175" t="n"/>
      <c r="I72" s="174" t="n"/>
      <c r="J72" s="204">
        <f>'Master Stock'!L72</f>
        <v/>
      </c>
    </row>
    <row r="73" hidden="1" ht="15.75" customHeight="1" s="230">
      <c r="A73" s="206" t="n"/>
      <c r="B73" s="174">
        <f>'Master Stock'!C73</f>
        <v/>
      </c>
      <c r="C73" s="174">
        <f>'Master Stock'!D73</f>
        <v/>
      </c>
      <c r="D73" s="174">
        <f>'Master Stock'!G73</f>
        <v/>
      </c>
      <c r="E73" s="207">
        <f>IF('Master Stock'!L73="","",'Master Stock'!L73)</f>
        <v/>
      </c>
      <c r="F73" s="136">
        <f>IF(E73="","",MAX(0,TODAY()-E73))</f>
        <v/>
      </c>
      <c r="G73" s="175" t="n"/>
      <c r="H73" s="175" t="n"/>
      <c r="I73" s="174" t="n"/>
      <c r="J73" s="204">
        <f>'Master Stock'!L73</f>
        <v/>
      </c>
    </row>
    <row r="74" hidden="1" ht="15.75" customHeight="1" s="230">
      <c r="A74" s="206" t="n"/>
      <c r="B74" s="174">
        <f>'Master Stock'!C74</f>
        <v/>
      </c>
      <c r="C74" s="174">
        <f>'Master Stock'!D74</f>
        <v/>
      </c>
      <c r="D74" s="174">
        <f>'Master Stock'!G74</f>
        <v/>
      </c>
      <c r="E74" s="207">
        <f>IF('Master Stock'!L74="","",'Master Stock'!L74)</f>
        <v/>
      </c>
      <c r="F74" s="136">
        <f>IF(E74="","",MAX(0,TODAY()-E74))</f>
        <v/>
      </c>
      <c r="G74" s="175" t="n"/>
      <c r="H74" s="175" t="n"/>
      <c r="I74" s="174" t="n"/>
      <c r="J74" s="204">
        <f>'Master Stock'!L74</f>
        <v/>
      </c>
    </row>
    <row r="75" hidden="1" ht="15.75" customHeight="1" s="230">
      <c r="A75" s="206" t="n"/>
      <c r="B75" s="174">
        <f>'Master Stock'!C75</f>
        <v/>
      </c>
      <c r="C75" s="174">
        <f>'Master Stock'!D75</f>
        <v/>
      </c>
      <c r="D75" s="174">
        <f>'Master Stock'!G75</f>
        <v/>
      </c>
      <c r="E75" s="207">
        <f>IF('Master Stock'!L75="","",'Master Stock'!L75)</f>
        <v/>
      </c>
      <c r="F75" s="136">
        <f>IF(E75="","",MAX(0,TODAY()-E75))</f>
        <v/>
      </c>
      <c r="G75" s="175" t="n"/>
      <c r="H75" s="175" t="n"/>
      <c r="I75" s="174" t="n"/>
      <c r="J75" s="204">
        <f>'Master Stock'!L75</f>
        <v/>
      </c>
    </row>
    <row r="76" hidden="1" ht="15.75" customHeight="1" s="230">
      <c r="A76" s="206" t="n"/>
      <c r="B76" s="174">
        <f>'Master Stock'!C76</f>
        <v/>
      </c>
      <c r="C76" s="174">
        <f>'Master Stock'!D76</f>
        <v/>
      </c>
      <c r="D76" s="174">
        <f>'Master Stock'!G76</f>
        <v/>
      </c>
      <c r="E76" s="207">
        <f>IF('Master Stock'!L76="","",'Master Stock'!L76)</f>
        <v/>
      </c>
      <c r="F76" s="136">
        <f>IF(E76="","",MAX(0,TODAY()-E76))</f>
        <v/>
      </c>
      <c r="G76" s="175" t="n"/>
      <c r="H76" s="175" t="n"/>
      <c r="I76" s="174" t="n"/>
      <c r="J76" s="204">
        <f>'Master Stock'!L76</f>
        <v/>
      </c>
    </row>
    <row r="77" hidden="1" ht="15.75" customHeight="1" s="230">
      <c r="A77" s="206" t="n"/>
      <c r="B77" s="174">
        <f>'Master Stock'!C77</f>
        <v/>
      </c>
      <c r="C77" s="174">
        <f>'Master Stock'!D77</f>
        <v/>
      </c>
      <c r="D77" s="174">
        <f>'Master Stock'!G77</f>
        <v/>
      </c>
      <c r="E77" s="207">
        <f>IF('Master Stock'!L77="","",'Master Stock'!L77)</f>
        <v/>
      </c>
      <c r="F77" s="136">
        <f>IF(E77="","",MAX(0,TODAY()-E77))</f>
        <v/>
      </c>
      <c r="G77" s="175" t="n"/>
      <c r="H77" s="175" t="n"/>
      <c r="I77" s="174" t="n"/>
      <c r="J77" s="204">
        <f>'Master Stock'!L77</f>
        <v/>
      </c>
    </row>
    <row r="78" hidden="1" ht="15.75" customHeight="1" s="230">
      <c r="A78" s="206" t="n"/>
      <c r="B78" s="174">
        <f>'Master Stock'!C78</f>
        <v/>
      </c>
      <c r="C78" s="174">
        <f>'Master Stock'!D78</f>
        <v/>
      </c>
      <c r="D78" s="174">
        <f>'Master Stock'!G78</f>
        <v/>
      </c>
      <c r="E78" s="207">
        <f>IF('Master Stock'!L78="","",'Master Stock'!L78)</f>
        <v/>
      </c>
      <c r="F78" s="136">
        <f>IF(E78="","",MAX(0,TODAY()-E78))</f>
        <v/>
      </c>
      <c r="G78" s="175" t="n"/>
      <c r="H78" s="175" t="n"/>
      <c r="I78" s="174" t="n"/>
      <c r="J78" s="204">
        <f>'Master Stock'!L78</f>
        <v/>
      </c>
    </row>
    <row r="79" hidden="1" ht="15.75" customHeight="1" s="230">
      <c r="A79" s="206" t="n"/>
      <c r="B79" s="174">
        <f>'Master Stock'!C79</f>
        <v/>
      </c>
      <c r="C79" s="174">
        <f>'Master Stock'!D79</f>
        <v/>
      </c>
      <c r="D79" s="174">
        <f>'Master Stock'!G79</f>
        <v/>
      </c>
      <c r="E79" s="207">
        <f>IF('Master Stock'!L79="","",'Master Stock'!L79)</f>
        <v/>
      </c>
      <c r="F79" s="136">
        <f>IF(E79="","",MAX(0,TODAY()-E79))</f>
        <v/>
      </c>
      <c r="G79" s="175" t="n"/>
      <c r="H79" s="175" t="n"/>
      <c r="I79" s="174" t="n"/>
      <c r="J79" s="204">
        <f>'Master Stock'!L79</f>
        <v/>
      </c>
    </row>
    <row r="80" hidden="1" ht="15.75" customHeight="1" s="230">
      <c r="A80" s="206" t="n"/>
      <c r="B80" s="174">
        <f>'Master Stock'!C80</f>
        <v/>
      </c>
      <c r="C80" s="174">
        <f>'Master Stock'!D80</f>
        <v/>
      </c>
      <c r="D80" s="174">
        <f>'Master Stock'!G80</f>
        <v/>
      </c>
      <c r="E80" s="207">
        <f>IF('Master Stock'!L80="","",'Master Stock'!L80)</f>
        <v/>
      </c>
      <c r="F80" s="136">
        <f>IF(E80="","",MAX(0,TODAY()-E80))</f>
        <v/>
      </c>
      <c r="G80" s="175" t="n"/>
      <c r="H80" s="175" t="n"/>
      <c r="I80" s="174" t="n"/>
      <c r="J80" s="204">
        <f>'Master Stock'!L80</f>
        <v/>
      </c>
    </row>
    <row r="81" hidden="1" ht="15.75" customHeight="1" s="230">
      <c r="A81" s="206" t="n"/>
      <c r="B81" s="174">
        <f>'Master Stock'!C81</f>
        <v/>
      </c>
      <c r="C81" s="174">
        <f>'Master Stock'!D81</f>
        <v/>
      </c>
      <c r="D81" s="174">
        <f>'Master Stock'!G81</f>
        <v/>
      </c>
      <c r="E81" s="207">
        <f>IF('Master Stock'!L81="","",'Master Stock'!L81)</f>
        <v/>
      </c>
      <c r="F81" s="136">
        <f>IF(E81="","",MAX(0,TODAY()-E81))</f>
        <v/>
      </c>
      <c r="G81" s="175" t="n"/>
      <c r="H81" s="175" t="n"/>
      <c r="I81" s="174" t="n"/>
      <c r="J81" s="204">
        <f>'Master Stock'!L81</f>
        <v/>
      </c>
    </row>
    <row r="82" hidden="1" ht="15.75" customHeight="1" s="230">
      <c r="A82" s="206" t="n"/>
      <c r="B82" s="174">
        <f>'Master Stock'!C82</f>
        <v/>
      </c>
      <c r="C82" s="174">
        <f>'Master Stock'!D82</f>
        <v/>
      </c>
      <c r="D82" s="174">
        <f>'Master Stock'!G82</f>
        <v/>
      </c>
      <c r="E82" s="207">
        <f>IF('Master Stock'!L82="","",'Master Stock'!L82)</f>
        <v/>
      </c>
      <c r="F82" s="136">
        <f>IF(E82="","",MAX(0,TODAY()-E82))</f>
        <v/>
      </c>
      <c r="G82" s="175" t="n"/>
      <c r="H82" s="175" t="n"/>
      <c r="I82" s="174" t="n"/>
      <c r="J82" s="204">
        <f>'Master Stock'!L82</f>
        <v/>
      </c>
    </row>
    <row r="83" hidden="1" ht="15.75" customHeight="1" s="230">
      <c r="A83" s="206" t="n"/>
      <c r="B83" s="174">
        <f>'Master Stock'!C83</f>
        <v/>
      </c>
      <c r="C83" s="174">
        <f>'Master Stock'!D83</f>
        <v/>
      </c>
      <c r="D83" s="174">
        <f>'Master Stock'!G83</f>
        <v/>
      </c>
      <c r="E83" s="207">
        <f>IF('Master Stock'!L83="","",'Master Stock'!L83)</f>
        <v/>
      </c>
      <c r="F83" s="136">
        <f>IF(E83="","",MAX(0,TODAY()-E83))</f>
        <v/>
      </c>
      <c r="G83" s="175" t="n"/>
      <c r="H83" s="175" t="n"/>
      <c r="I83" s="174" t="n"/>
      <c r="J83" s="204">
        <f>'Master Stock'!L83</f>
        <v/>
      </c>
    </row>
    <row r="84" hidden="1" ht="15.75" customHeight="1" s="230">
      <c r="A84" s="206" t="n"/>
      <c r="B84" s="174">
        <f>'Master Stock'!C84</f>
        <v/>
      </c>
      <c r="C84" s="174">
        <f>'Master Stock'!D84</f>
        <v/>
      </c>
      <c r="D84" s="174">
        <f>'Master Stock'!G84</f>
        <v/>
      </c>
      <c r="E84" s="207">
        <f>IF('Master Stock'!L84="","",'Master Stock'!L84)</f>
        <v/>
      </c>
      <c r="F84" s="136">
        <f>IF(E84="","",MAX(0,TODAY()-E84))</f>
        <v/>
      </c>
      <c r="G84" s="175" t="n"/>
      <c r="H84" s="175" t="n"/>
      <c r="I84" s="174" t="n"/>
      <c r="J84" s="204">
        <f>'Master Stock'!L84</f>
        <v/>
      </c>
    </row>
    <row r="85" hidden="1" ht="15.75" customHeight="1" s="230">
      <c r="A85" s="206" t="n"/>
      <c r="B85" s="174">
        <f>'Master Stock'!C85</f>
        <v/>
      </c>
      <c r="C85" s="174">
        <f>'Master Stock'!D85</f>
        <v/>
      </c>
      <c r="D85" s="174">
        <f>'Master Stock'!G85</f>
        <v/>
      </c>
      <c r="E85" s="207">
        <f>IF('Master Stock'!L85="","",'Master Stock'!L85)</f>
        <v/>
      </c>
      <c r="F85" s="136">
        <f>IF(E85="","",MAX(0,TODAY()-E85))</f>
        <v/>
      </c>
      <c r="G85" s="175" t="n"/>
      <c r="H85" s="175" t="n"/>
      <c r="I85" s="174" t="n"/>
      <c r="J85" s="204">
        <f>'Master Stock'!L85</f>
        <v/>
      </c>
    </row>
    <row r="86" hidden="1" ht="15.75" customHeight="1" s="230">
      <c r="A86" s="206" t="n"/>
      <c r="B86" s="174">
        <f>'Master Stock'!C86</f>
        <v/>
      </c>
      <c r="C86" s="174">
        <f>'Master Stock'!D86</f>
        <v/>
      </c>
      <c r="D86" s="174">
        <f>'Master Stock'!G86</f>
        <v/>
      </c>
      <c r="E86" s="207">
        <f>IF('Master Stock'!L86="","",'Master Stock'!L86)</f>
        <v/>
      </c>
      <c r="F86" s="136">
        <f>IF(E86="","",MAX(0,TODAY()-E86))</f>
        <v/>
      </c>
      <c r="G86" s="175" t="n"/>
      <c r="H86" s="175" t="n"/>
      <c r="I86" s="174" t="n"/>
      <c r="J86" s="204">
        <f>'Master Stock'!L86</f>
        <v/>
      </c>
    </row>
    <row r="87" hidden="1" ht="15.75" customHeight="1" s="230">
      <c r="A87" s="206" t="n"/>
      <c r="B87" s="174">
        <f>'Master Stock'!C87</f>
        <v/>
      </c>
      <c r="C87" s="174">
        <f>'Master Stock'!D87</f>
        <v/>
      </c>
      <c r="D87" s="174">
        <f>'Master Stock'!G87</f>
        <v/>
      </c>
      <c r="E87" s="207">
        <f>IF('Master Stock'!L87="","",'Master Stock'!L87)</f>
        <v/>
      </c>
      <c r="F87" s="136">
        <f>IF(E87="","",MAX(0,TODAY()-E87))</f>
        <v/>
      </c>
      <c r="G87" s="175" t="n"/>
      <c r="H87" s="175" t="n"/>
      <c r="I87" s="174" t="n"/>
      <c r="J87" s="204">
        <f>'Master Stock'!L87</f>
        <v/>
      </c>
    </row>
    <row r="88" hidden="1" ht="15.75" customHeight="1" s="230">
      <c r="A88" s="206" t="n"/>
      <c r="B88" s="174">
        <f>'Master Stock'!C88</f>
        <v/>
      </c>
      <c r="C88" s="174">
        <f>'Master Stock'!D88</f>
        <v/>
      </c>
      <c r="D88" s="174">
        <f>'Master Stock'!G88</f>
        <v/>
      </c>
      <c r="E88" s="207">
        <f>IF('Master Stock'!L88="","",'Master Stock'!L88)</f>
        <v/>
      </c>
      <c r="F88" s="136">
        <f>IF(E88="","",MAX(0,TODAY()-E88))</f>
        <v/>
      </c>
      <c r="G88" s="175" t="n"/>
      <c r="H88" s="175" t="n"/>
      <c r="I88" s="174" t="n"/>
      <c r="J88" s="204">
        <f>'Master Stock'!L88</f>
        <v/>
      </c>
    </row>
    <row r="89" hidden="1" ht="15.75" customHeight="1" s="230">
      <c r="A89" s="206" t="n"/>
      <c r="B89" s="174">
        <f>'Master Stock'!C89</f>
        <v/>
      </c>
      <c r="C89" s="174">
        <f>'Master Stock'!D89</f>
        <v/>
      </c>
      <c r="D89" s="174">
        <f>'Master Stock'!G89</f>
        <v/>
      </c>
      <c r="E89" s="207">
        <f>IF('Master Stock'!L89="","",'Master Stock'!L89)</f>
        <v/>
      </c>
      <c r="F89" s="136">
        <f>IF(E89="","",MAX(0,TODAY()-E89))</f>
        <v/>
      </c>
      <c r="G89" s="175" t="n"/>
      <c r="H89" s="175" t="n"/>
      <c r="I89" s="174" t="n"/>
      <c r="J89" s="204">
        <f>'Master Stock'!L89</f>
        <v/>
      </c>
    </row>
    <row r="90" hidden="1" ht="15.75" customHeight="1" s="230">
      <c r="A90" s="206" t="n"/>
      <c r="B90" s="174">
        <f>'Master Stock'!C90</f>
        <v/>
      </c>
      <c r="C90" s="174">
        <f>'Master Stock'!D90</f>
        <v/>
      </c>
      <c r="D90" s="174">
        <f>'Master Stock'!G90</f>
        <v/>
      </c>
      <c r="E90" s="207">
        <f>IF('Master Stock'!L90="","",'Master Stock'!L90)</f>
        <v/>
      </c>
      <c r="F90" s="136">
        <f>IF(E90="","",MAX(0,TODAY()-E90))</f>
        <v/>
      </c>
      <c r="G90" s="175" t="n"/>
      <c r="H90" s="175" t="n"/>
      <c r="I90" s="174" t="n"/>
      <c r="J90" s="204">
        <f>'Master Stock'!L90</f>
        <v/>
      </c>
    </row>
    <row r="91" hidden="1" ht="15.75" customHeight="1" s="230">
      <c r="A91" s="206" t="n"/>
      <c r="B91" s="174">
        <f>'Master Stock'!C91</f>
        <v/>
      </c>
      <c r="C91" s="174">
        <f>'Master Stock'!D91</f>
        <v/>
      </c>
      <c r="D91" s="174">
        <f>'Master Stock'!G91</f>
        <v/>
      </c>
      <c r="E91" s="207">
        <f>IF('Master Stock'!L91="","",'Master Stock'!L91)</f>
        <v/>
      </c>
      <c r="F91" s="136">
        <f>IF(E91="","",MAX(0,TODAY()-E91))</f>
        <v/>
      </c>
      <c r="G91" s="175" t="n"/>
      <c r="H91" s="175" t="n"/>
      <c r="I91" s="174" t="n"/>
      <c r="J91" s="204">
        <f>'Master Stock'!L91</f>
        <v/>
      </c>
    </row>
    <row r="92" hidden="1" ht="15.75" customHeight="1" s="230">
      <c r="A92" s="206" t="n"/>
      <c r="B92" s="174">
        <f>'Master Stock'!C92</f>
        <v/>
      </c>
      <c r="C92" s="174">
        <f>'Master Stock'!D92</f>
        <v/>
      </c>
      <c r="D92" s="174">
        <f>'Master Stock'!G92</f>
        <v/>
      </c>
      <c r="E92" s="207">
        <f>IF('Master Stock'!L92="","",'Master Stock'!L92)</f>
        <v/>
      </c>
      <c r="F92" s="136">
        <f>IF(E92="","",MAX(0,TODAY()-E92))</f>
        <v/>
      </c>
      <c r="G92" s="175" t="n"/>
      <c r="H92" s="175" t="n"/>
      <c r="I92" s="174" t="n"/>
      <c r="J92" s="204">
        <f>'Master Stock'!L92</f>
        <v/>
      </c>
    </row>
    <row r="93" hidden="1" ht="15.75" customHeight="1" s="230">
      <c r="A93" s="206" t="n"/>
      <c r="B93" s="174">
        <f>'Master Stock'!C93</f>
        <v/>
      </c>
      <c r="C93" s="174">
        <f>'Master Stock'!D93</f>
        <v/>
      </c>
      <c r="D93" s="174">
        <f>'Master Stock'!G93</f>
        <v/>
      </c>
      <c r="E93" s="207">
        <f>IF('Master Stock'!L93="","",'Master Stock'!L93)</f>
        <v/>
      </c>
      <c r="F93" s="136">
        <f>IF(E93="","",MAX(0,TODAY()-E93))</f>
        <v/>
      </c>
      <c r="G93" s="175" t="n"/>
      <c r="H93" s="175" t="n"/>
      <c r="I93" s="174" t="n"/>
      <c r="J93" s="204">
        <f>'Master Stock'!L93</f>
        <v/>
      </c>
    </row>
    <row r="94" hidden="1" ht="15.75" customHeight="1" s="230">
      <c r="A94" s="206" t="n"/>
      <c r="B94" s="174">
        <f>'Master Stock'!C94</f>
        <v/>
      </c>
      <c r="C94" s="174">
        <f>'Master Stock'!D94</f>
        <v/>
      </c>
      <c r="D94" s="174">
        <f>'Master Stock'!G94</f>
        <v/>
      </c>
      <c r="E94" s="207">
        <f>IF('Master Stock'!L94="","",'Master Stock'!L94)</f>
        <v/>
      </c>
      <c r="F94" s="136">
        <f>IF(E94="","",MAX(0,TODAY()-E94))</f>
        <v/>
      </c>
      <c r="G94" s="175" t="n"/>
      <c r="H94" s="175" t="n"/>
      <c r="I94" s="174" t="n"/>
      <c r="J94" s="204">
        <f>'Master Stock'!L94</f>
        <v/>
      </c>
    </row>
    <row r="95" hidden="1" ht="15.75" customHeight="1" s="230">
      <c r="A95" s="206" t="n"/>
      <c r="B95" s="174">
        <f>'Master Stock'!C95</f>
        <v/>
      </c>
      <c r="C95" s="174">
        <f>'Master Stock'!D95</f>
        <v/>
      </c>
      <c r="D95" s="174">
        <f>'Master Stock'!G95</f>
        <v/>
      </c>
      <c r="E95" s="207">
        <f>IF('Master Stock'!L95="","",'Master Stock'!L95)</f>
        <v/>
      </c>
      <c r="F95" s="136">
        <f>IF(E95="","",MAX(0,TODAY()-E95))</f>
        <v/>
      </c>
      <c r="G95" s="175" t="n"/>
      <c r="H95" s="175" t="n"/>
      <c r="I95" s="174" t="n"/>
      <c r="J95" s="204">
        <f>'Master Stock'!L95</f>
        <v/>
      </c>
    </row>
    <row r="96" hidden="1" ht="15.75" customHeight="1" s="230">
      <c r="A96" s="206" t="n"/>
      <c r="B96" s="174">
        <f>'Master Stock'!C96</f>
        <v/>
      </c>
      <c r="C96" s="174">
        <f>'Master Stock'!D96</f>
        <v/>
      </c>
      <c r="D96" s="174">
        <f>'Master Stock'!G96</f>
        <v/>
      </c>
      <c r="E96" s="207">
        <f>IF('Master Stock'!L96="","",'Master Stock'!L96)</f>
        <v/>
      </c>
      <c r="F96" s="136">
        <f>IF(E96="","",MAX(0,TODAY()-E96))</f>
        <v/>
      </c>
      <c r="G96" s="175" t="n"/>
      <c r="H96" s="175" t="n"/>
      <c r="I96" s="174" t="n"/>
      <c r="J96" s="204">
        <f>'Master Stock'!L96</f>
        <v/>
      </c>
    </row>
    <row r="97" hidden="1" ht="15.75" customHeight="1" s="230">
      <c r="A97" s="206" t="n"/>
      <c r="B97" s="174">
        <f>'Master Stock'!C97</f>
        <v/>
      </c>
      <c r="C97" s="174">
        <f>'Master Stock'!D97</f>
        <v/>
      </c>
      <c r="D97" s="174">
        <f>'Master Stock'!G97</f>
        <v/>
      </c>
      <c r="E97" s="207">
        <f>IF('Master Stock'!L97="","",'Master Stock'!L97)</f>
        <v/>
      </c>
      <c r="F97" s="136">
        <f>IF(E97="","",MAX(0,TODAY()-E97))</f>
        <v/>
      </c>
      <c r="G97" s="175" t="n"/>
      <c r="H97" s="175" t="n"/>
      <c r="I97" s="174" t="n"/>
      <c r="J97" s="204">
        <f>'Master Stock'!L97</f>
        <v/>
      </c>
    </row>
    <row r="98" hidden="1" ht="15.75" customHeight="1" s="230">
      <c r="A98" s="206" t="n"/>
      <c r="B98" s="174">
        <f>'Master Stock'!C98</f>
        <v/>
      </c>
      <c r="C98" s="174">
        <f>'Master Stock'!D98</f>
        <v/>
      </c>
      <c r="D98" s="174">
        <f>'Master Stock'!G98</f>
        <v/>
      </c>
      <c r="E98" s="207">
        <f>IF('Master Stock'!L98="","",'Master Stock'!L98)</f>
        <v/>
      </c>
      <c r="F98" s="136">
        <f>IF(E98="","",MAX(0,TODAY()-E98))</f>
        <v/>
      </c>
      <c r="G98" s="175" t="n"/>
      <c r="H98" s="175" t="n"/>
      <c r="I98" s="174" t="n"/>
      <c r="J98" s="204">
        <f>'Master Stock'!L98</f>
        <v/>
      </c>
    </row>
    <row r="99" hidden="1" ht="15.75" customHeight="1" s="230">
      <c r="A99" s="206" t="n"/>
      <c r="B99" s="174">
        <f>'Master Stock'!C99</f>
        <v/>
      </c>
      <c r="C99" s="174">
        <f>'Master Stock'!D99</f>
        <v/>
      </c>
      <c r="D99" s="174">
        <f>'Master Stock'!G99</f>
        <v/>
      </c>
      <c r="E99" s="207">
        <f>IF('Master Stock'!L99="","",'Master Stock'!L99)</f>
        <v/>
      </c>
      <c r="F99" s="136">
        <f>IF(E99="","",MAX(0,TODAY()-E99))</f>
        <v/>
      </c>
      <c r="G99" s="175" t="n"/>
      <c r="H99" s="175" t="n"/>
      <c r="I99" s="174" t="n"/>
      <c r="J99" s="204">
        <f>'Master Stock'!L99</f>
        <v/>
      </c>
    </row>
    <row r="100" hidden="1" ht="15.75" customHeight="1" s="230">
      <c r="A100" s="95" t="n"/>
      <c r="B100" s="95" t="n"/>
      <c r="C100" s="95" t="n"/>
      <c r="D100" s="95" t="n"/>
      <c r="E100" s="95" t="n"/>
      <c r="F100" s="95" t="n"/>
      <c r="G100" s="95" t="n"/>
      <c r="H100" s="95" t="n"/>
      <c r="I100" s="95" t="n"/>
      <c r="J100" s="95" t="n"/>
    </row>
    <row r="101" hidden="1" ht="15.75" customHeight="1" s="230">
      <c r="A101" s="95" t="n"/>
      <c r="B101" s="95" t="n"/>
      <c r="C101" s="95" t="n"/>
      <c r="D101" s="95" t="n"/>
      <c r="E101" s="95" t="n"/>
      <c r="F101" s="95" t="n"/>
      <c r="G101" s="95" t="n"/>
      <c r="H101" s="95" t="n"/>
      <c r="I101" s="95" t="n"/>
      <c r="J101" s="95" t="n"/>
    </row>
    <row r="102" hidden="1" ht="15.75" customHeight="1" s="230">
      <c r="A102" s="95" t="n"/>
      <c r="B102" s="95" t="n"/>
      <c r="C102" s="95" t="n"/>
      <c r="D102" s="95" t="n"/>
      <c r="E102" s="95" t="n"/>
      <c r="F102" s="95" t="n"/>
      <c r="G102" s="95" t="n"/>
      <c r="H102" s="95" t="n"/>
      <c r="I102" s="95" t="n"/>
      <c r="J102" s="95" t="n"/>
    </row>
    <row r="103" hidden="1" ht="15.75" customHeight="1" s="230">
      <c r="A103" s="95" t="n"/>
      <c r="B103" s="95" t="n"/>
      <c r="C103" s="95" t="n"/>
      <c r="D103" s="95" t="n"/>
      <c r="E103" s="95" t="n"/>
      <c r="F103" s="95" t="n"/>
      <c r="G103" s="95" t="n"/>
      <c r="H103" s="95" t="n"/>
      <c r="I103" s="95" t="n"/>
      <c r="J103" s="95" t="n"/>
    </row>
    <row r="104" hidden="1" ht="15.75" customHeight="1" s="230">
      <c r="A104" s="95" t="n"/>
      <c r="B104" s="95" t="n"/>
      <c r="C104" s="95" t="n"/>
      <c r="D104" s="95" t="n"/>
      <c r="E104" s="95" t="n"/>
      <c r="F104" s="95" t="n"/>
      <c r="G104" s="95" t="n"/>
      <c r="H104" s="95" t="n"/>
      <c r="I104" s="95" t="n"/>
      <c r="J104" s="95" t="n"/>
    </row>
    <row r="105" hidden="1" ht="15.75" customHeight="1" s="230">
      <c r="A105" s="95" t="n"/>
      <c r="B105" s="95" t="n"/>
      <c r="C105" s="95" t="n"/>
      <c r="D105" s="95" t="n"/>
      <c r="E105" s="95" t="n"/>
      <c r="F105" s="95" t="n"/>
      <c r="G105" s="95" t="n"/>
      <c r="H105" s="95" t="n"/>
      <c r="I105" s="95" t="n"/>
      <c r="J105" s="95" t="n"/>
    </row>
    <row r="106" hidden="1" ht="15.75" customHeight="1" s="230">
      <c r="A106" s="95" t="n"/>
      <c r="B106" s="95" t="n"/>
      <c r="C106" s="95" t="n"/>
      <c r="D106" s="95" t="n"/>
      <c r="E106" s="95" t="n"/>
      <c r="F106" s="95" t="n"/>
      <c r="G106" s="95" t="n"/>
      <c r="H106" s="95" t="n"/>
      <c r="I106" s="95" t="n"/>
      <c r="J106" s="95" t="n"/>
    </row>
    <row r="107" hidden="1" ht="15.75" customHeight="1" s="230">
      <c r="A107" s="95" t="n"/>
      <c r="B107" s="95" t="n"/>
      <c r="C107" s="95" t="n"/>
      <c r="D107" s="95" t="n"/>
      <c r="E107" s="95" t="n"/>
      <c r="F107" s="95" t="n"/>
      <c r="G107" s="95" t="n"/>
      <c r="H107" s="95" t="n"/>
      <c r="I107" s="95" t="n"/>
      <c r="J107" s="95" t="n"/>
    </row>
    <row r="108" hidden="1" ht="15.75" customHeight="1" s="230">
      <c r="A108" s="95" t="n"/>
      <c r="B108" s="95" t="n"/>
      <c r="C108" s="95" t="n"/>
      <c r="D108" s="95" t="n"/>
      <c r="E108" s="95" t="n"/>
      <c r="F108" s="95" t="n"/>
      <c r="G108" s="95" t="n"/>
      <c r="H108" s="95" t="n"/>
      <c r="I108" s="95" t="n"/>
      <c r="J108" s="95" t="n"/>
    </row>
    <row r="109" hidden="1" ht="15.75" customHeight="1" s="230">
      <c r="A109" s="95" t="n"/>
      <c r="B109" s="95" t="n"/>
      <c r="C109" s="95" t="n"/>
      <c r="D109" s="95" t="n"/>
      <c r="E109" s="95" t="n"/>
      <c r="F109" s="95" t="n"/>
      <c r="G109" s="95" t="n"/>
      <c r="H109" s="95" t="n"/>
      <c r="I109" s="95" t="n"/>
      <c r="J109" s="95" t="n"/>
    </row>
    <row r="110" hidden="1" ht="15.75" customHeight="1" s="230">
      <c r="A110" s="95" t="n"/>
      <c r="B110" s="95" t="n"/>
      <c r="C110" s="95" t="n"/>
      <c r="D110" s="95" t="n"/>
      <c r="E110" s="95" t="n"/>
      <c r="F110" s="95" t="n"/>
      <c r="G110" s="95" t="n"/>
      <c r="H110" s="95" t="n"/>
      <c r="I110" s="95" t="n"/>
      <c r="J110" s="95" t="n"/>
    </row>
    <row r="111" hidden="1" ht="15.75" customHeight="1" s="230">
      <c r="A111" s="95" t="n"/>
      <c r="B111" s="95" t="n"/>
      <c r="C111" s="95" t="n"/>
      <c r="D111" s="95" t="n"/>
      <c r="E111" s="95" t="n"/>
      <c r="F111" s="95" t="n"/>
      <c r="G111" s="95" t="n"/>
      <c r="H111" s="95" t="n"/>
      <c r="I111" s="95" t="n"/>
      <c r="J111" s="95" t="n"/>
    </row>
    <row r="112" hidden="1" ht="15.75" customHeight="1" s="230">
      <c r="A112" s="95" t="n"/>
      <c r="B112" s="95" t="n"/>
      <c r="C112" s="95" t="n"/>
      <c r="D112" s="95" t="n"/>
      <c r="E112" s="95" t="n"/>
      <c r="F112" s="95" t="n"/>
      <c r="G112" s="95" t="n"/>
      <c r="H112" s="95" t="n"/>
      <c r="I112" s="95" t="n"/>
      <c r="J112" s="95" t="n"/>
    </row>
    <row r="113" hidden="1" ht="15.75" customHeight="1" s="230">
      <c r="A113" s="95" t="n"/>
      <c r="B113" s="95" t="n"/>
      <c r="C113" s="95" t="n"/>
      <c r="D113" s="95" t="n"/>
      <c r="E113" s="95" t="n"/>
      <c r="F113" s="95" t="n"/>
      <c r="G113" s="95" t="n"/>
      <c r="H113" s="95" t="n"/>
      <c r="I113" s="95" t="n"/>
      <c r="J113" s="95" t="n"/>
    </row>
    <row r="114" hidden="1" ht="15.75" customHeight="1" s="230">
      <c r="A114" s="95" t="n"/>
      <c r="B114" s="95" t="n"/>
      <c r="C114" s="95" t="n"/>
      <c r="D114" s="95" t="n"/>
      <c r="E114" s="95" t="n"/>
      <c r="F114" s="95" t="n"/>
      <c r="G114" s="95" t="n"/>
      <c r="H114" s="95" t="n"/>
      <c r="I114" s="95" t="n"/>
      <c r="J114" s="95" t="n"/>
    </row>
    <row r="115" hidden="1" ht="15.75" customHeight="1" s="230">
      <c r="A115" s="95" t="n"/>
      <c r="B115" s="95" t="n"/>
      <c r="C115" s="95" t="n"/>
      <c r="D115" s="95" t="n"/>
      <c r="E115" s="95" t="n"/>
      <c r="F115" s="95" t="n"/>
      <c r="G115" s="95" t="n"/>
      <c r="H115" s="95" t="n"/>
      <c r="I115" s="95" t="n"/>
      <c r="J115" s="95" t="n"/>
    </row>
    <row r="116" hidden="1" ht="15.75" customHeight="1" s="230">
      <c r="A116" s="95" t="n"/>
      <c r="B116" s="95" t="n"/>
      <c r="C116" s="95" t="n"/>
      <c r="D116" s="95" t="n"/>
      <c r="E116" s="95" t="n"/>
      <c r="F116" s="95" t="n"/>
      <c r="G116" s="95" t="n"/>
      <c r="H116" s="95" t="n"/>
      <c r="I116" s="95" t="n"/>
      <c r="J116" s="95" t="n"/>
    </row>
    <row r="117" hidden="1" ht="15.75" customHeight="1" s="230">
      <c r="A117" s="95" t="n"/>
      <c r="B117" s="95" t="n"/>
      <c r="C117" s="95" t="n"/>
      <c r="D117" s="95" t="n"/>
      <c r="E117" s="95" t="n"/>
      <c r="F117" s="95" t="n"/>
      <c r="G117" s="95" t="n"/>
      <c r="H117" s="95" t="n"/>
      <c r="I117" s="95" t="n"/>
      <c r="J117" s="95" t="n"/>
    </row>
    <row r="118" hidden="1" ht="15.75" customHeight="1" s="230">
      <c r="A118" s="95" t="n"/>
      <c r="B118" s="95" t="n"/>
      <c r="C118" s="95" t="n"/>
      <c r="D118" s="95" t="n"/>
      <c r="E118" s="95" t="n"/>
      <c r="F118" s="95" t="n"/>
      <c r="G118" s="95" t="n"/>
      <c r="H118" s="95" t="n"/>
      <c r="I118" s="95" t="n"/>
      <c r="J118" s="95" t="n"/>
    </row>
    <row r="119" hidden="1" ht="15.75" customHeight="1" s="230">
      <c r="A119" s="95" t="n"/>
      <c r="B119" s="95" t="n"/>
      <c r="C119" s="95" t="n"/>
      <c r="D119" s="95" t="n"/>
      <c r="E119" s="95" t="n"/>
      <c r="F119" s="95" t="n"/>
      <c r="G119" s="95" t="n"/>
      <c r="H119" s="95" t="n"/>
      <c r="I119" s="95" t="n"/>
      <c r="J119" s="95" t="n"/>
    </row>
    <row r="120" hidden="1" ht="15.75" customHeight="1" s="230">
      <c r="A120" s="95" t="n"/>
      <c r="B120" s="95" t="n"/>
      <c r="C120" s="95" t="n"/>
      <c r="D120" s="95" t="n"/>
      <c r="E120" s="95" t="n"/>
      <c r="F120" s="95" t="n"/>
      <c r="G120" s="95" t="n"/>
      <c r="H120" s="95" t="n"/>
      <c r="I120" s="95" t="n"/>
      <c r="J120" s="95" t="n"/>
    </row>
    <row r="121" hidden="1" ht="15.75" customHeight="1" s="230">
      <c r="A121" s="95" t="n"/>
      <c r="B121" s="95" t="n"/>
      <c r="C121" s="95" t="n"/>
      <c r="D121" s="95" t="n"/>
      <c r="E121" s="95" t="n"/>
      <c r="F121" s="95" t="n"/>
      <c r="G121" s="95" t="n"/>
      <c r="H121" s="95" t="n"/>
      <c r="I121" s="95" t="n"/>
      <c r="J121" s="95" t="n"/>
    </row>
    <row r="122" hidden="1" ht="15.75" customHeight="1" s="230">
      <c r="A122" s="95" t="n"/>
      <c r="B122" s="95" t="n"/>
      <c r="C122" s="95" t="n"/>
      <c r="D122" s="95" t="n"/>
      <c r="E122" s="95" t="n"/>
      <c r="F122" s="95" t="n"/>
      <c r="G122" s="95" t="n"/>
      <c r="H122" s="95" t="n"/>
      <c r="I122" s="95" t="n"/>
      <c r="J122" s="95" t="n"/>
    </row>
    <row r="123" hidden="1" ht="15.75" customHeight="1" s="230">
      <c r="A123" s="95" t="n"/>
      <c r="B123" s="95" t="n"/>
      <c r="C123" s="95" t="n"/>
      <c r="D123" s="95" t="n"/>
      <c r="E123" s="95" t="n"/>
      <c r="F123" s="95" t="n"/>
      <c r="G123" s="95" t="n"/>
      <c r="H123" s="95" t="n"/>
      <c r="I123" s="95" t="n"/>
      <c r="J123" s="95" t="n"/>
    </row>
    <row r="124" hidden="1" ht="15.75" customHeight="1" s="230">
      <c r="A124" s="95" t="n"/>
      <c r="B124" s="95" t="n"/>
      <c r="C124" s="95" t="n"/>
      <c r="D124" s="95" t="n"/>
      <c r="E124" s="95" t="n"/>
      <c r="F124" s="95" t="n"/>
      <c r="G124" s="95" t="n"/>
      <c r="H124" s="95" t="n"/>
      <c r="I124" s="95" t="n"/>
      <c r="J124" s="95" t="n"/>
    </row>
    <row r="125" hidden="1" ht="15.75" customHeight="1" s="230">
      <c r="A125" s="95" t="n"/>
      <c r="B125" s="95" t="n"/>
      <c r="C125" s="95" t="n"/>
      <c r="D125" s="95" t="n"/>
      <c r="E125" s="95" t="n"/>
      <c r="F125" s="95" t="n"/>
      <c r="G125" s="95" t="n"/>
      <c r="H125" s="95" t="n"/>
      <c r="I125" s="95" t="n"/>
      <c r="J125" s="95" t="n"/>
    </row>
    <row r="126" hidden="1" ht="15.75" customHeight="1" s="230">
      <c r="A126" s="95" t="n"/>
      <c r="B126" s="95" t="n"/>
      <c r="C126" s="95" t="n"/>
      <c r="D126" s="95" t="n"/>
      <c r="E126" s="95" t="n"/>
      <c r="F126" s="95" t="n"/>
      <c r="G126" s="95" t="n"/>
      <c r="H126" s="95" t="n"/>
      <c r="I126" s="95" t="n"/>
      <c r="J126" s="95" t="n"/>
    </row>
    <row r="127" hidden="1" ht="15.75" customHeight="1" s="230">
      <c r="A127" s="95" t="n"/>
      <c r="B127" s="95" t="n"/>
      <c r="C127" s="95" t="n"/>
      <c r="D127" s="95" t="n"/>
      <c r="E127" s="95" t="n"/>
      <c r="F127" s="95" t="n"/>
      <c r="G127" s="95" t="n"/>
      <c r="H127" s="95" t="n"/>
      <c r="I127" s="95" t="n"/>
      <c r="J127" s="95" t="n"/>
    </row>
    <row r="128" hidden="1" ht="15.75" customHeight="1" s="230">
      <c r="A128" s="95" t="n"/>
      <c r="B128" s="95" t="n"/>
      <c r="C128" s="95" t="n"/>
      <c r="D128" s="95" t="n"/>
      <c r="E128" s="95" t="n"/>
      <c r="F128" s="95" t="n"/>
      <c r="G128" s="95" t="n"/>
      <c r="H128" s="95" t="n"/>
      <c r="I128" s="95" t="n"/>
      <c r="J128" s="95" t="n"/>
    </row>
    <row r="129" hidden="1" ht="15.75" customHeight="1" s="230">
      <c r="A129" s="95" t="n"/>
      <c r="B129" s="95" t="n"/>
      <c r="C129" s="95" t="n"/>
      <c r="D129" s="95" t="n"/>
      <c r="E129" s="95" t="n"/>
      <c r="F129" s="95" t="n"/>
      <c r="G129" s="95" t="n"/>
      <c r="H129" s="95" t="n"/>
      <c r="I129" s="95" t="n"/>
      <c r="J129" s="95" t="n"/>
    </row>
    <row r="130" hidden="1" ht="15.75" customHeight="1" s="230">
      <c r="A130" s="95" t="n"/>
      <c r="B130" s="95" t="n"/>
      <c r="C130" s="95" t="n"/>
      <c r="D130" s="95" t="n"/>
      <c r="E130" s="95" t="n"/>
      <c r="F130" s="95" t="n"/>
      <c r="G130" s="95" t="n"/>
      <c r="H130" s="95" t="n"/>
      <c r="I130" s="95" t="n"/>
      <c r="J130" s="95" t="n"/>
    </row>
    <row r="131" hidden="1" ht="15.75" customHeight="1" s="230">
      <c r="A131" s="95" t="n"/>
      <c r="B131" s="95" t="n"/>
      <c r="C131" s="95" t="n"/>
      <c r="D131" s="95" t="n"/>
      <c r="E131" s="95" t="n"/>
      <c r="F131" s="95" t="n"/>
      <c r="G131" s="95" t="n"/>
      <c r="H131" s="95" t="n"/>
      <c r="I131" s="95" t="n"/>
      <c r="J131" s="95" t="n"/>
    </row>
    <row r="132" hidden="1" ht="15.75" customHeight="1" s="230">
      <c r="A132" s="95" t="n"/>
      <c r="B132" s="95" t="n"/>
      <c r="C132" s="95" t="n"/>
      <c r="D132" s="95" t="n"/>
      <c r="E132" s="95" t="n"/>
      <c r="F132" s="95" t="n"/>
      <c r="G132" s="95" t="n"/>
      <c r="H132" s="95" t="n"/>
      <c r="I132" s="95" t="n"/>
      <c r="J132" s="95" t="n"/>
    </row>
    <row r="133" hidden="1" ht="15.75" customHeight="1" s="230">
      <c r="A133" s="95" t="n"/>
      <c r="B133" s="95" t="n"/>
      <c r="C133" s="95" t="n"/>
      <c r="D133" s="95" t="n"/>
      <c r="E133" s="95" t="n"/>
      <c r="F133" s="95" t="n"/>
      <c r="G133" s="95" t="n"/>
      <c r="H133" s="95" t="n"/>
      <c r="I133" s="95" t="n"/>
      <c r="J133" s="95" t="n"/>
    </row>
    <row r="134" hidden="1" ht="15.75" customHeight="1" s="230">
      <c r="A134" s="95" t="n"/>
      <c r="B134" s="95" t="n"/>
      <c r="C134" s="95" t="n"/>
      <c r="D134" s="95" t="n"/>
      <c r="E134" s="95" t="n"/>
      <c r="F134" s="95" t="n"/>
      <c r="G134" s="95" t="n"/>
      <c r="H134" s="95" t="n"/>
      <c r="I134" s="95" t="n"/>
      <c r="J134" s="95" t="n"/>
    </row>
    <row r="135" hidden="1" ht="15.75" customHeight="1" s="230">
      <c r="A135" s="95" t="n"/>
      <c r="B135" s="95" t="n"/>
      <c r="C135" s="95" t="n"/>
      <c r="D135" s="95" t="n"/>
      <c r="E135" s="95" t="n"/>
      <c r="F135" s="95" t="n"/>
      <c r="G135" s="95" t="n"/>
      <c r="H135" s="95" t="n"/>
      <c r="I135" s="95" t="n"/>
      <c r="J135" s="95" t="n"/>
    </row>
    <row r="136" hidden="1" ht="15.75" customHeight="1" s="230">
      <c r="A136" s="95" t="n"/>
      <c r="B136" s="95" t="n"/>
      <c r="C136" s="95" t="n"/>
      <c r="D136" s="95" t="n"/>
      <c r="E136" s="95" t="n"/>
      <c r="F136" s="95" t="n"/>
      <c r="G136" s="95" t="n"/>
      <c r="H136" s="95" t="n"/>
      <c r="I136" s="95" t="n"/>
      <c r="J136" s="95" t="n"/>
    </row>
    <row r="137" hidden="1" ht="15.75" customHeight="1" s="230">
      <c r="A137" s="95" t="n"/>
      <c r="B137" s="95" t="n"/>
      <c r="C137" s="95" t="n"/>
      <c r="D137" s="95" t="n"/>
      <c r="E137" s="95" t="n"/>
      <c r="F137" s="95" t="n"/>
      <c r="G137" s="95" t="n"/>
      <c r="H137" s="95" t="n"/>
      <c r="I137" s="95" t="n"/>
      <c r="J137" s="95" t="n"/>
    </row>
    <row r="138" hidden="1" ht="15.75" customHeight="1" s="230">
      <c r="A138" s="95" t="n"/>
      <c r="B138" s="95" t="n"/>
      <c r="C138" s="95" t="n"/>
      <c r="D138" s="95" t="n"/>
      <c r="E138" s="95" t="n"/>
      <c r="F138" s="95" t="n"/>
      <c r="G138" s="95" t="n"/>
      <c r="H138" s="95" t="n"/>
      <c r="I138" s="95" t="n"/>
      <c r="J138" s="95" t="n"/>
    </row>
    <row r="139" hidden="1" ht="15.75" customHeight="1" s="230">
      <c r="A139" s="95" t="n"/>
      <c r="B139" s="95" t="n"/>
      <c r="C139" s="95" t="n"/>
      <c r="D139" s="95" t="n"/>
      <c r="E139" s="95" t="n"/>
      <c r="F139" s="95" t="n"/>
      <c r="G139" s="95" t="n"/>
      <c r="H139" s="95" t="n"/>
      <c r="I139" s="95" t="n"/>
      <c r="J139" s="95" t="n"/>
    </row>
    <row r="140" hidden="1" ht="15.75" customHeight="1" s="230">
      <c r="A140" s="95" t="n"/>
      <c r="B140" s="95" t="n"/>
      <c r="C140" s="95" t="n"/>
      <c r="D140" s="95" t="n"/>
      <c r="E140" s="95" t="n"/>
      <c r="F140" s="95" t="n"/>
      <c r="G140" s="95" t="n"/>
      <c r="H140" s="95" t="n"/>
      <c r="I140" s="95" t="n"/>
      <c r="J140" s="95" t="n"/>
    </row>
    <row r="141" hidden="1" ht="15.75" customHeight="1" s="230">
      <c r="A141" s="95" t="n"/>
      <c r="B141" s="95" t="n"/>
      <c r="C141" s="95" t="n"/>
      <c r="D141" s="95" t="n"/>
      <c r="E141" s="95" t="n"/>
      <c r="F141" s="95" t="n"/>
      <c r="G141" s="95" t="n"/>
      <c r="H141" s="95" t="n"/>
      <c r="I141" s="95" t="n"/>
      <c r="J141" s="95" t="n"/>
    </row>
    <row r="142" hidden="1" ht="15.75" customHeight="1" s="230">
      <c r="A142" s="95" t="n"/>
      <c r="B142" s="95" t="n"/>
      <c r="C142" s="95" t="n"/>
      <c r="D142" s="95" t="n"/>
      <c r="E142" s="95" t="n"/>
      <c r="F142" s="95" t="n"/>
      <c r="G142" s="95" t="n"/>
      <c r="H142" s="95" t="n"/>
      <c r="I142" s="95" t="n"/>
      <c r="J142" s="95" t="n"/>
    </row>
    <row r="143" hidden="1" ht="15.75" customHeight="1" s="230">
      <c r="A143" s="95" t="n"/>
      <c r="B143" s="95" t="n"/>
      <c r="C143" s="95" t="n"/>
      <c r="D143" s="95" t="n"/>
      <c r="E143" s="95" t="n"/>
      <c r="F143" s="95" t="n"/>
      <c r="G143" s="95" t="n"/>
      <c r="H143" s="95" t="n"/>
      <c r="I143" s="95" t="n"/>
      <c r="J143" s="95" t="n"/>
    </row>
    <row r="144" hidden="1" ht="15.75" customHeight="1" s="230">
      <c r="A144" s="95" t="n"/>
      <c r="B144" s="95" t="n"/>
      <c r="C144" s="95" t="n"/>
      <c r="D144" s="95" t="n"/>
      <c r="E144" s="95" t="n"/>
      <c r="F144" s="95" t="n"/>
      <c r="G144" s="95" t="n"/>
      <c r="H144" s="95" t="n"/>
      <c r="I144" s="95" t="n"/>
      <c r="J144" s="95" t="n"/>
    </row>
    <row r="145" hidden="1" ht="15.75" customHeight="1" s="230">
      <c r="A145" s="95" t="n"/>
      <c r="B145" s="95" t="n"/>
      <c r="C145" s="95" t="n"/>
      <c r="D145" s="95" t="n"/>
      <c r="E145" s="95" t="n"/>
      <c r="F145" s="95" t="n"/>
      <c r="G145" s="95" t="n"/>
      <c r="H145" s="95" t="n"/>
      <c r="I145" s="95" t="n"/>
      <c r="J145" s="95" t="n"/>
    </row>
    <row r="146" hidden="1" ht="15.75" customHeight="1" s="230">
      <c r="A146" s="95" t="n"/>
      <c r="B146" s="95" t="n"/>
      <c r="C146" s="95" t="n"/>
      <c r="D146" s="95" t="n"/>
      <c r="E146" s="95" t="n"/>
      <c r="F146" s="95" t="n"/>
      <c r="G146" s="95" t="n"/>
      <c r="H146" s="95" t="n"/>
      <c r="I146" s="95" t="n"/>
      <c r="J146" s="95" t="n"/>
    </row>
    <row r="147" hidden="1" ht="15.75" customHeight="1" s="230">
      <c r="A147" s="95" t="n"/>
      <c r="B147" s="95" t="n"/>
      <c r="C147" s="95" t="n"/>
      <c r="D147" s="95" t="n"/>
      <c r="E147" s="95" t="n"/>
      <c r="F147" s="95" t="n"/>
      <c r="G147" s="95" t="n"/>
      <c r="H147" s="95" t="n"/>
      <c r="I147" s="95" t="n"/>
      <c r="J147" s="95" t="n"/>
    </row>
    <row r="148" hidden="1" ht="15.75" customHeight="1" s="230">
      <c r="A148" s="95" t="n"/>
      <c r="B148" s="95" t="n"/>
      <c r="C148" s="95" t="n"/>
      <c r="D148" s="95" t="n"/>
      <c r="E148" s="95" t="n"/>
      <c r="F148" s="95" t="n"/>
      <c r="G148" s="95" t="n"/>
      <c r="H148" s="95" t="n"/>
      <c r="I148" s="95" t="n"/>
      <c r="J148" s="95" t="n"/>
    </row>
    <row r="149" hidden="1" ht="15.75" customHeight="1" s="230">
      <c r="A149" s="95" t="n"/>
      <c r="B149" s="95" t="n"/>
      <c r="C149" s="95" t="n"/>
      <c r="D149" s="95" t="n"/>
      <c r="E149" s="95" t="n"/>
      <c r="F149" s="95" t="n"/>
      <c r="G149" s="95" t="n"/>
      <c r="H149" s="95" t="n"/>
      <c r="I149" s="95" t="n"/>
      <c r="J149" s="95" t="n"/>
    </row>
    <row r="150" hidden="1" ht="15.75" customHeight="1" s="230">
      <c r="A150" s="95" t="n"/>
      <c r="B150" s="95" t="n"/>
      <c r="C150" s="95" t="n"/>
      <c r="D150" s="95" t="n"/>
      <c r="E150" s="95" t="n"/>
      <c r="F150" s="95" t="n"/>
      <c r="G150" s="95" t="n"/>
      <c r="H150" s="95" t="n"/>
      <c r="I150" s="95" t="n"/>
      <c r="J150" s="95" t="n"/>
    </row>
    <row r="151" hidden="1" ht="15.75" customHeight="1" s="230">
      <c r="A151" s="95" t="n"/>
      <c r="B151" s="95" t="n"/>
      <c r="C151" s="95" t="n"/>
      <c r="D151" s="95" t="n"/>
      <c r="E151" s="95" t="n"/>
      <c r="F151" s="95" t="n"/>
      <c r="G151" s="95" t="n"/>
      <c r="H151" s="95" t="n"/>
      <c r="I151" s="95" t="n"/>
      <c r="J151" s="95" t="n"/>
    </row>
    <row r="152" hidden="1" ht="15.75" customHeight="1" s="230">
      <c r="A152" s="95" t="n"/>
      <c r="B152" s="95" t="n"/>
      <c r="C152" s="95" t="n"/>
      <c r="D152" s="95" t="n"/>
      <c r="E152" s="95" t="n"/>
      <c r="F152" s="95" t="n"/>
      <c r="G152" s="95" t="n"/>
      <c r="H152" s="95" t="n"/>
      <c r="I152" s="95" t="n"/>
      <c r="J152" s="95" t="n"/>
    </row>
    <row r="153" hidden="1" ht="15.75" customHeight="1" s="230">
      <c r="A153" s="95" t="n"/>
      <c r="B153" s="95" t="n"/>
      <c r="C153" s="95" t="n"/>
      <c r="D153" s="95" t="n"/>
      <c r="E153" s="95" t="n"/>
      <c r="F153" s="95" t="n"/>
      <c r="G153" s="95" t="n"/>
      <c r="H153" s="95" t="n"/>
      <c r="I153" s="95" t="n"/>
      <c r="J153" s="95" t="n"/>
    </row>
    <row r="154" hidden="1" ht="15.75" customHeight="1" s="230">
      <c r="A154" s="95" t="n"/>
      <c r="B154" s="95" t="n"/>
      <c r="C154" s="95" t="n"/>
      <c r="D154" s="95" t="n"/>
      <c r="E154" s="95" t="n"/>
      <c r="F154" s="95" t="n"/>
      <c r="G154" s="95" t="n"/>
      <c r="H154" s="95" t="n"/>
      <c r="I154" s="95" t="n"/>
      <c r="J154" s="95" t="n"/>
    </row>
    <row r="155" hidden="1" ht="15.75" customHeight="1" s="230">
      <c r="A155" s="95" t="n"/>
      <c r="B155" s="95" t="n"/>
      <c r="C155" s="95" t="n"/>
      <c r="D155" s="95" t="n"/>
      <c r="E155" s="95" t="n"/>
      <c r="F155" s="95" t="n"/>
      <c r="G155" s="95" t="n"/>
      <c r="H155" s="95" t="n"/>
      <c r="I155" s="95" t="n"/>
      <c r="J155" s="95" t="n"/>
    </row>
    <row r="156" hidden="1" ht="15.75" customHeight="1" s="230">
      <c r="A156" s="95" t="n"/>
      <c r="B156" s="95" t="n"/>
      <c r="C156" s="95" t="n"/>
      <c r="D156" s="95" t="n"/>
      <c r="E156" s="95" t="n"/>
      <c r="F156" s="95" t="n"/>
      <c r="G156" s="95" t="n"/>
      <c r="H156" s="95" t="n"/>
      <c r="I156" s="95" t="n"/>
      <c r="J156" s="95" t="n"/>
    </row>
    <row r="157" hidden="1" ht="15.75" customHeight="1" s="230">
      <c r="A157" s="95" t="n"/>
      <c r="B157" s="95" t="n"/>
      <c r="C157" s="95" t="n"/>
      <c r="D157" s="95" t="n"/>
      <c r="E157" s="95" t="n"/>
      <c r="F157" s="95" t="n"/>
      <c r="G157" s="95" t="n"/>
      <c r="H157" s="95" t="n"/>
      <c r="I157" s="95" t="n"/>
      <c r="J157" s="95" t="n"/>
    </row>
    <row r="158" hidden="1" ht="15.75" customHeight="1" s="230">
      <c r="A158" s="95" t="n"/>
      <c r="B158" s="95" t="n"/>
      <c r="C158" s="95" t="n"/>
      <c r="D158" s="95" t="n"/>
      <c r="E158" s="95" t="n"/>
      <c r="F158" s="95" t="n"/>
      <c r="G158" s="95" t="n"/>
      <c r="H158" s="95" t="n"/>
      <c r="I158" s="95" t="n"/>
      <c r="J158" s="95" t="n"/>
    </row>
    <row r="159" hidden="1" ht="15.75" customHeight="1" s="230">
      <c r="A159" s="95" t="n"/>
      <c r="B159" s="95" t="n"/>
      <c r="C159" s="95" t="n"/>
      <c r="D159" s="95" t="n"/>
      <c r="E159" s="95" t="n"/>
      <c r="F159" s="95" t="n"/>
      <c r="G159" s="95" t="n"/>
      <c r="H159" s="95" t="n"/>
      <c r="I159" s="95" t="n"/>
      <c r="J159" s="95" t="n"/>
    </row>
    <row r="160" hidden="1" ht="15.75" customHeight="1" s="230">
      <c r="A160" s="95" t="n"/>
      <c r="B160" s="95" t="n"/>
      <c r="C160" s="95" t="n"/>
      <c r="D160" s="95" t="n"/>
      <c r="E160" s="95" t="n"/>
      <c r="F160" s="95" t="n"/>
      <c r="G160" s="95" t="n"/>
      <c r="H160" s="95" t="n"/>
      <c r="I160" s="95" t="n"/>
      <c r="J160" s="95" t="n"/>
    </row>
    <row r="161" hidden="1" ht="15.75" customHeight="1" s="230">
      <c r="A161" s="95" t="n"/>
      <c r="B161" s="95" t="n"/>
      <c r="C161" s="95" t="n"/>
      <c r="D161" s="95" t="n"/>
      <c r="E161" s="95" t="n"/>
      <c r="F161" s="95" t="n"/>
      <c r="G161" s="95" t="n"/>
      <c r="H161" s="95" t="n"/>
      <c r="I161" s="95" t="n"/>
      <c r="J161" s="95" t="n"/>
    </row>
    <row r="162" hidden="1" ht="15.75" customHeight="1" s="230">
      <c r="A162" s="95" t="n"/>
      <c r="B162" s="95" t="n"/>
      <c r="C162" s="95" t="n"/>
      <c r="D162" s="95" t="n"/>
      <c r="E162" s="95" t="n"/>
      <c r="F162" s="95" t="n"/>
      <c r="G162" s="95" t="n"/>
      <c r="H162" s="95" t="n"/>
      <c r="I162" s="95" t="n"/>
      <c r="J162" s="95" t="n"/>
    </row>
    <row r="163" hidden="1" ht="15.75" customHeight="1" s="230">
      <c r="A163" s="95" t="n"/>
      <c r="B163" s="95" t="n"/>
      <c r="C163" s="95" t="n"/>
      <c r="D163" s="95" t="n"/>
      <c r="E163" s="95" t="n"/>
      <c r="F163" s="95" t="n"/>
      <c r="G163" s="95" t="n"/>
      <c r="H163" s="95" t="n"/>
      <c r="I163" s="95" t="n"/>
      <c r="J163" s="95" t="n"/>
    </row>
    <row r="164" hidden="1" ht="15.75" customHeight="1" s="230">
      <c r="A164" s="95" t="n"/>
      <c r="B164" s="95" t="n"/>
      <c r="C164" s="95" t="n"/>
      <c r="D164" s="95" t="n"/>
      <c r="E164" s="95" t="n"/>
      <c r="F164" s="95" t="n"/>
      <c r="G164" s="95" t="n"/>
      <c r="H164" s="95" t="n"/>
      <c r="I164" s="95" t="n"/>
      <c r="J164" s="95" t="n"/>
    </row>
    <row r="165" hidden="1" ht="15.75" customHeight="1" s="230">
      <c r="A165" s="95" t="n"/>
      <c r="B165" s="95" t="n"/>
      <c r="C165" s="95" t="n"/>
      <c r="D165" s="95" t="n"/>
      <c r="E165" s="95" t="n"/>
      <c r="F165" s="95" t="n"/>
      <c r="G165" s="95" t="n"/>
      <c r="H165" s="95" t="n"/>
      <c r="I165" s="95" t="n"/>
      <c r="J165" s="95" t="n"/>
    </row>
    <row r="166" hidden="1" ht="15.75" customHeight="1" s="230">
      <c r="A166" s="95" t="n"/>
      <c r="B166" s="95" t="n"/>
      <c r="C166" s="95" t="n"/>
      <c r="D166" s="95" t="n"/>
      <c r="E166" s="95" t="n"/>
      <c r="F166" s="95" t="n"/>
      <c r="G166" s="95" t="n"/>
      <c r="H166" s="95" t="n"/>
      <c r="I166" s="95" t="n"/>
      <c r="J166" s="95" t="n"/>
    </row>
    <row r="167" hidden="1" ht="15.75" customHeight="1" s="230">
      <c r="A167" s="95" t="n"/>
      <c r="B167" s="95" t="n"/>
      <c r="C167" s="95" t="n"/>
      <c r="D167" s="95" t="n"/>
      <c r="E167" s="95" t="n"/>
      <c r="F167" s="95" t="n"/>
      <c r="G167" s="95" t="n"/>
      <c r="H167" s="95" t="n"/>
      <c r="I167" s="95" t="n"/>
      <c r="J167" s="95" t="n"/>
    </row>
    <row r="168" hidden="1" ht="15.75" customHeight="1" s="230">
      <c r="A168" s="95" t="n"/>
      <c r="B168" s="95" t="n"/>
      <c r="C168" s="95" t="n"/>
      <c r="D168" s="95" t="n"/>
      <c r="E168" s="95" t="n"/>
      <c r="F168" s="95" t="n"/>
      <c r="G168" s="95" t="n"/>
      <c r="H168" s="95" t="n"/>
      <c r="I168" s="95" t="n"/>
      <c r="J168" s="95" t="n"/>
    </row>
    <row r="169" hidden="1" ht="15.75" customHeight="1" s="230">
      <c r="A169" s="95" t="n"/>
      <c r="B169" s="95" t="n"/>
      <c r="C169" s="95" t="n"/>
      <c r="D169" s="95" t="n"/>
      <c r="E169" s="95" t="n"/>
      <c r="F169" s="95" t="n"/>
      <c r="G169" s="95" t="n"/>
      <c r="H169" s="95" t="n"/>
      <c r="I169" s="95" t="n"/>
      <c r="J169" s="95" t="n"/>
    </row>
    <row r="170" hidden="1" ht="15.75" customHeight="1" s="230">
      <c r="A170" s="95" t="n"/>
      <c r="B170" s="95" t="n"/>
      <c r="C170" s="95" t="n"/>
      <c r="D170" s="95" t="n"/>
      <c r="E170" s="95" t="n"/>
      <c r="F170" s="95" t="n"/>
      <c r="G170" s="95" t="n"/>
      <c r="H170" s="95" t="n"/>
      <c r="I170" s="95" t="n"/>
      <c r="J170" s="95" t="n"/>
    </row>
    <row r="171" hidden="1" ht="15.75" customHeight="1" s="230">
      <c r="A171" s="95" t="n"/>
      <c r="B171" s="95" t="n"/>
      <c r="C171" s="95" t="n"/>
      <c r="D171" s="95" t="n"/>
      <c r="E171" s="95" t="n"/>
      <c r="F171" s="95" t="n"/>
      <c r="G171" s="95" t="n"/>
      <c r="H171" s="95" t="n"/>
      <c r="I171" s="95" t="n"/>
      <c r="J171" s="95" t="n"/>
    </row>
    <row r="172" hidden="1" ht="15.75" customHeight="1" s="230">
      <c r="A172" s="95" t="n"/>
      <c r="B172" s="95" t="n"/>
      <c r="C172" s="95" t="n"/>
      <c r="D172" s="95" t="n"/>
      <c r="E172" s="95" t="n"/>
      <c r="F172" s="95" t="n"/>
      <c r="G172" s="95" t="n"/>
      <c r="H172" s="95" t="n"/>
      <c r="I172" s="95" t="n"/>
      <c r="J172" s="95" t="n"/>
    </row>
    <row r="173" hidden="1" ht="15.75" customHeight="1" s="230">
      <c r="A173" s="95" t="n"/>
      <c r="B173" s="95" t="n"/>
      <c r="C173" s="95" t="n"/>
      <c r="D173" s="95" t="n"/>
      <c r="E173" s="95" t="n"/>
      <c r="F173" s="95" t="n"/>
      <c r="G173" s="95" t="n"/>
      <c r="H173" s="95" t="n"/>
      <c r="I173" s="95" t="n"/>
      <c r="J173" s="95" t="n"/>
    </row>
    <row r="174" hidden="1" ht="15.75" customHeight="1" s="230">
      <c r="A174" s="95" t="n"/>
      <c r="B174" s="95" t="n"/>
      <c r="C174" s="95" t="n"/>
      <c r="D174" s="95" t="n"/>
      <c r="E174" s="95" t="n"/>
      <c r="F174" s="95" t="n"/>
      <c r="G174" s="95" t="n"/>
      <c r="H174" s="95" t="n"/>
      <c r="I174" s="95" t="n"/>
      <c r="J174" s="95" t="n"/>
    </row>
    <row r="175" hidden="1" ht="15.75" customHeight="1" s="230">
      <c r="A175" s="95" t="n"/>
      <c r="B175" s="95" t="n"/>
      <c r="C175" s="95" t="n"/>
      <c r="D175" s="95" t="n"/>
      <c r="E175" s="95" t="n"/>
      <c r="F175" s="95" t="n"/>
      <c r="G175" s="95" t="n"/>
      <c r="H175" s="95" t="n"/>
      <c r="I175" s="95" t="n"/>
      <c r="J175" s="95" t="n"/>
    </row>
    <row r="176" hidden="1" ht="15.75" customHeight="1" s="230">
      <c r="A176" s="95" t="n"/>
      <c r="B176" s="95" t="n"/>
      <c r="C176" s="95" t="n"/>
      <c r="D176" s="95" t="n"/>
      <c r="E176" s="95" t="n"/>
      <c r="F176" s="95" t="n"/>
      <c r="G176" s="95" t="n"/>
      <c r="H176" s="95" t="n"/>
      <c r="I176" s="95" t="n"/>
      <c r="J176" s="95" t="n"/>
    </row>
    <row r="177" hidden="1" ht="15.75" customHeight="1" s="230">
      <c r="A177" s="95" t="n"/>
      <c r="B177" s="95" t="n"/>
      <c r="C177" s="95" t="n"/>
      <c r="D177" s="95" t="n"/>
      <c r="E177" s="95" t="n"/>
      <c r="F177" s="95" t="n"/>
      <c r="G177" s="95" t="n"/>
      <c r="H177" s="95" t="n"/>
      <c r="I177" s="95" t="n"/>
      <c r="J177" s="95" t="n"/>
    </row>
    <row r="178" hidden="1" ht="15.75" customHeight="1" s="230">
      <c r="A178" s="95" t="n"/>
      <c r="B178" s="95" t="n"/>
      <c r="C178" s="95" t="n"/>
      <c r="D178" s="95" t="n"/>
      <c r="E178" s="95" t="n"/>
      <c r="F178" s="95" t="n"/>
      <c r="G178" s="95" t="n"/>
      <c r="H178" s="95" t="n"/>
      <c r="I178" s="95" t="n"/>
      <c r="J178" s="95" t="n"/>
    </row>
    <row r="179" hidden="1" ht="15.75" customHeight="1" s="230">
      <c r="A179" s="95" t="n"/>
      <c r="B179" s="95" t="n"/>
      <c r="C179" s="95" t="n"/>
      <c r="D179" s="95" t="n"/>
      <c r="E179" s="95" t="n"/>
      <c r="F179" s="95" t="n"/>
      <c r="G179" s="95" t="n"/>
      <c r="H179" s="95" t="n"/>
      <c r="I179" s="95" t="n"/>
      <c r="J179" s="95" t="n"/>
    </row>
    <row r="180" hidden="1" ht="15.75" customHeight="1" s="230">
      <c r="A180" s="95" t="n"/>
      <c r="B180" s="95" t="n"/>
      <c r="C180" s="95" t="n"/>
      <c r="D180" s="95" t="n"/>
      <c r="E180" s="95" t="n"/>
      <c r="F180" s="95" t="n"/>
      <c r="G180" s="95" t="n"/>
      <c r="H180" s="95" t="n"/>
      <c r="I180" s="95" t="n"/>
      <c r="J180" s="95" t="n"/>
    </row>
    <row r="181" hidden="1" ht="15.75" customHeight="1" s="230">
      <c r="A181" s="95" t="n"/>
      <c r="B181" s="95" t="n"/>
      <c r="C181" s="95" t="n"/>
      <c r="D181" s="95" t="n"/>
      <c r="E181" s="95" t="n"/>
      <c r="F181" s="95" t="n"/>
      <c r="G181" s="95" t="n"/>
      <c r="H181" s="95" t="n"/>
      <c r="I181" s="95" t="n"/>
      <c r="J181" s="95" t="n"/>
    </row>
    <row r="182" hidden="1" ht="15.75" customHeight="1" s="230">
      <c r="A182" s="95" t="n"/>
      <c r="B182" s="95" t="n"/>
      <c r="C182" s="95" t="n"/>
      <c r="D182" s="95" t="n"/>
      <c r="E182" s="95" t="n"/>
      <c r="F182" s="95" t="n"/>
      <c r="G182" s="95" t="n"/>
      <c r="H182" s="95" t="n"/>
      <c r="I182" s="95" t="n"/>
      <c r="J182" s="95" t="n"/>
    </row>
    <row r="183" hidden="1" ht="15.75" customHeight="1" s="230">
      <c r="A183" s="95" t="n"/>
      <c r="B183" s="95" t="n"/>
      <c r="C183" s="95" t="n"/>
      <c r="D183" s="95" t="n"/>
      <c r="E183" s="95" t="n"/>
      <c r="F183" s="95" t="n"/>
      <c r="G183" s="95" t="n"/>
      <c r="H183" s="95" t="n"/>
      <c r="I183" s="95" t="n"/>
      <c r="J183" s="95" t="n"/>
    </row>
    <row r="184" hidden="1" ht="15.75" customHeight="1" s="230">
      <c r="A184" s="95" t="n"/>
      <c r="B184" s="95" t="n"/>
      <c r="C184" s="95" t="n"/>
      <c r="D184" s="95" t="n"/>
      <c r="E184" s="95" t="n"/>
      <c r="F184" s="95" t="n"/>
      <c r="G184" s="95" t="n"/>
      <c r="H184" s="95" t="n"/>
      <c r="I184" s="95" t="n"/>
      <c r="J184" s="95" t="n"/>
    </row>
    <row r="185" hidden="1" ht="15.75" customHeight="1" s="230">
      <c r="A185" s="95" t="n"/>
      <c r="B185" s="95" t="n"/>
      <c r="C185" s="95" t="n"/>
      <c r="D185" s="95" t="n"/>
      <c r="E185" s="95" t="n"/>
      <c r="F185" s="95" t="n"/>
      <c r="G185" s="95" t="n"/>
      <c r="H185" s="95" t="n"/>
      <c r="I185" s="95" t="n"/>
      <c r="J185" s="95" t="n"/>
    </row>
    <row r="186" hidden="1" ht="15.75" customHeight="1" s="230">
      <c r="A186" s="95" t="n"/>
      <c r="B186" s="95" t="n"/>
      <c r="C186" s="95" t="n"/>
      <c r="D186" s="95" t="n"/>
      <c r="E186" s="95" t="n"/>
      <c r="F186" s="95" t="n"/>
      <c r="G186" s="95" t="n"/>
      <c r="H186" s="95" t="n"/>
      <c r="I186" s="95" t="n"/>
      <c r="J186" s="95" t="n"/>
    </row>
    <row r="187" hidden="1" ht="15.75" customHeight="1" s="230">
      <c r="A187" s="95" t="n"/>
      <c r="B187" s="95" t="n"/>
      <c r="C187" s="95" t="n"/>
      <c r="D187" s="95" t="n"/>
      <c r="E187" s="95" t="n"/>
      <c r="F187" s="95" t="n"/>
      <c r="G187" s="95" t="n"/>
      <c r="H187" s="95" t="n"/>
      <c r="I187" s="95" t="n"/>
      <c r="J187" s="95" t="n"/>
    </row>
    <row r="188" hidden="1" ht="15.75" customHeight="1" s="230">
      <c r="A188" s="95" t="n"/>
      <c r="B188" s="95" t="n"/>
      <c r="C188" s="95" t="n"/>
      <c r="D188" s="95" t="n"/>
      <c r="E188" s="95" t="n"/>
      <c r="F188" s="95" t="n"/>
      <c r="G188" s="95" t="n"/>
      <c r="H188" s="95" t="n"/>
      <c r="I188" s="95" t="n"/>
      <c r="J188" s="95" t="n"/>
    </row>
    <row r="189" hidden="1" ht="15.75" customHeight="1" s="230">
      <c r="A189" s="95" t="n"/>
      <c r="B189" s="95" t="n"/>
      <c r="C189" s="95" t="n"/>
      <c r="D189" s="95" t="n"/>
      <c r="E189" s="95" t="n"/>
      <c r="F189" s="95" t="n"/>
      <c r="G189" s="95" t="n"/>
      <c r="H189" s="95" t="n"/>
      <c r="I189" s="95" t="n"/>
      <c r="J189" s="95" t="n"/>
    </row>
    <row r="190" hidden="1" ht="15.75" customHeight="1" s="230">
      <c r="A190" s="95" t="n"/>
      <c r="B190" s="95" t="n"/>
      <c r="C190" s="95" t="n"/>
      <c r="D190" s="95" t="n"/>
      <c r="E190" s="95" t="n"/>
      <c r="F190" s="95" t="n"/>
      <c r="G190" s="95" t="n"/>
      <c r="H190" s="95" t="n"/>
      <c r="I190" s="95" t="n"/>
      <c r="J190" s="95" t="n"/>
    </row>
    <row r="191" hidden="1" ht="15.75" customHeight="1" s="230">
      <c r="A191" s="95" t="n"/>
      <c r="B191" s="95" t="n"/>
      <c r="C191" s="95" t="n"/>
      <c r="D191" s="95" t="n"/>
      <c r="E191" s="95" t="n"/>
      <c r="F191" s="95" t="n"/>
      <c r="G191" s="95" t="n"/>
      <c r="H191" s="95" t="n"/>
      <c r="I191" s="95" t="n"/>
      <c r="J191" s="95" t="n"/>
    </row>
    <row r="192" hidden="1" ht="15.75" customHeight="1" s="230">
      <c r="A192" s="95" t="n"/>
      <c r="B192" s="95" t="n"/>
      <c r="C192" s="95" t="n"/>
      <c r="D192" s="95" t="n"/>
      <c r="E192" s="95" t="n"/>
      <c r="F192" s="95" t="n"/>
      <c r="G192" s="95" t="n"/>
      <c r="H192" s="95" t="n"/>
      <c r="I192" s="95" t="n"/>
      <c r="J192" s="95" t="n"/>
    </row>
    <row r="193" hidden="1" ht="15.75" customHeight="1" s="230">
      <c r="A193" s="95" t="n"/>
      <c r="B193" s="95" t="n"/>
      <c r="C193" s="95" t="n"/>
      <c r="D193" s="95" t="n"/>
      <c r="E193" s="95" t="n"/>
      <c r="F193" s="95" t="n"/>
      <c r="G193" s="95" t="n"/>
      <c r="H193" s="95" t="n"/>
      <c r="I193" s="95" t="n"/>
      <c r="J193" s="95" t="n"/>
    </row>
    <row r="194" hidden="1" ht="15.75" customHeight="1" s="230">
      <c r="A194" s="95" t="n"/>
      <c r="B194" s="95" t="n"/>
      <c r="C194" s="95" t="n"/>
      <c r="D194" s="95" t="n"/>
      <c r="E194" s="95" t="n"/>
      <c r="F194" s="95" t="n"/>
      <c r="G194" s="95" t="n"/>
      <c r="H194" s="95" t="n"/>
      <c r="I194" s="95" t="n"/>
      <c r="J194" s="95" t="n"/>
    </row>
    <row r="195" hidden="1" ht="15.75" customHeight="1" s="230">
      <c r="A195" s="95" t="n"/>
      <c r="B195" s="95" t="n"/>
      <c r="C195" s="95" t="n"/>
      <c r="D195" s="95" t="n"/>
      <c r="E195" s="95" t="n"/>
      <c r="F195" s="95" t="n"/>
      <c r="G195" s="95" t="n"/>
      <c r="H195" s="95" t="n"/>
      <c r="I195" s="95" t="n"/>
      <c r="J195" s="95" t="n"/>
    </row>
    <row r="196" hidden="1" ht="15.75" customHeight="1" s="230">
      <c r="A196" s="95" t="n"/>
      <c r="B196" s="95" t="n"/>
      <c r="C196" s="95" t="n"/>
      <c r="D196" s="95" t="n"/>
      <c r="E196" s="95" t="n"/>
      <c r="F196" s="95" t="n"/>
      <c r="G196" s="95" t="n"/>
      <c r="H196" s="95" t="n"/>
      <c r="I196" s="95" t="n"/>
      <c r="J196" s="95" t="n"/>
    </row>
    <row r="197" hidden="1" ht="15.75" customHeight="1" s="230">
      <c r="A197" s="95" t="n"/>
      <c r="B197" s="95" t="n"/>
      <c r="C197" s="95" t="n"/>
      <c r="D197" s="95" t="n"/>
      <c r="E197" s="95" t="n"/>
      <c r="F197" s="95" t="n"/>
      <c r="G197" s="95" t="n"/>
      <c r="H197" s="95" t="n"/>
      <c r="I197" s="95" t="n"/>
      <c r="J197" s="95" t="n"/>
    </row>
    <row r="198" hidden="1" ht="15.75" customHeight="1" s="230">
      <c r="A198" s="95" t="n"/>
      <c r="B198" s="95" t="n"/>
      <c r="C198" s="95" t="n"/>
      <c r="D198" s="95" t="n"/>
      <c r="E198" s="95" t="n"/>
      <c r="F198" s="95" t="n"/>
      <c r="G198" s="95" t="n"/>
      <c r="H198" s="95" t="n"/>
      <c r="I198" s="95" t="n"/>
      <c r="J198" s="95" t="n"/>
    </row>
    <row r="199" hidden="1" ht="15.75" customHeight="1" s="230">
      <c r="A199" s="95" t="n"/>
      <c r="B199" s="95" t="n"/>
      <c r="C199" s="95" t="n"/>
      <c r="D199" s="95" t="n"/>
      <c r="E199" s="95" t="n"/>
      <c r="F199" s="95" t="n"/>
      <c r="G199" s="95" t="n"/>
      <c r="H199" s="95" t="n"/>
      <c r="I199" s="95" t="n"/>
      <c r="J199" s="95" t="n"/>
    </row>
    <row r="200" hidden="1" ht="15.75" customHeight="1" s="230">
      <c r="A200" s="95" t="n"/>
      <c r="B200" s="95" t="n"/>
      <c r="C200" s="95" t="n"/>
      <c r="D200" s="95" t="n"/>
      <c r="E200" s="95" t="n"/>
      <c r="F200" s="95" t="n"/>
      <c r="G200" s="95" t="n"/>
      <c r="H200" s="95" t="n"/>
      <c r="I200" s="95" t="n"/>
      <c r="J200" s="95" t="n"/>
    </row>
    <row r="201" hidden="1" ht="15.75" customHeight="1" s="230">
      <c r="A201" s="95" t="n"/>
      <c r="B201" s="95" t="n"/>
      <c r="C201" s="95" t="n"/>
      <c r="D201" s="95" t="n"/>
      <c r="E201" s="95" t="n"/>
      <c r="F201" s="95" t="n"/>
      <c r="G201" s="95" t="n"/>
      <c r="H201" s="95" t="n"/>
      <c r="I201" s="95" t="n"/>
      <c r="J201" s="95" t="n"/>
    </row>
    <row r="202" hidden="1" ht="15.75" customHeight="1" s="230">
      <c r="A202" s="95" t="n"/>
      <c r="B202" s="95" t="n"/>
      <c r="C202" s="95" t="n"/>
      <c r="D202" s="95" t="n"/>
      <c r="E202" s="95" t="n"/>
      <c r="F202" s="95" t="n"/>
      <c r="G202" s="95" t="n"/>
      <c r="H202" s="95" t="n"/>
      <c r="I202" s="95" t="n"/>
      <c r="J202" s="95" t="n"/>
    </row>
    <row r="203" hidden="1" ht="15.75" customHeight="1" s="230">
      <c r="A203" s="95" t="n"/>
      <c r="B203" s="95" t="n"/>
      <c r="C203" s="95" t="n"/>
      <c r="D203" s="95" t="n"/>
      <c r="E203" s="95" t="n"/>
      <c r="F203" s="95" t="n"/>
      <c r="G203" s="95" t="n"/>
      <c r="H203" s="95" t="n"/>
      <c r="I203" s="95" t="n"/>
      <c r="J203" s="95" t="n"/>
    </row>
    <row r="204" hidden="1" ht="15.75" customHeight="1" s="230">
      <c r="A204" s="95" t="n"/>
      <c r="B204" s="95" t="n"/>
      <c r="C204" s="95" t="n"/>
      <c r="D204" s="95" t="n"/>
      <c r="E204" s="95" t="n"/>
      <c r="F204" s="95" t="n"/>
      <c r="G204" s="95" t="n"/>
      <c r="H204" s="95" t="n"/>
      <c r="I204" s="95" t="n"/>
      <c r="J204" s="95" t="n"/>
    </row>
    <row r="205" hidden="1" ht="15.75" customHeight="1" s="230">
      <c r="A205" s="95" t="n"/>
      <c r="B205" s="95" t="n"/>
      <c r="C205" s="95" t="n"/>
      <c r="D205" s="95" t="n"/>
      <c r="E205" s="95" t="n"/>
      <c r="F205" s="95" t="n"/>
      <c r="G205" s="95" t="n"/>
      <c r="H205" s="95" t="n"/>
      <c r="I205" s="95" t="n"/>
      <c r="J205" s="95" t="n"/>
    </row>
    <row r="206" hidden="1" ht="15.75" customHeight="1" s="230">
      <c r="A206" s="95" t="n"/>
      <c r="B206" s="95" t="n"/>
      <c r="C206" s="95" t="n"/>
      <c r="D206" s="95" t="n"/>
      <c r="E206" s="95" t="n"/>
      <c r="F206" s="95" t="n"/>
      <c r="G206" s="95" t="n"/>
      <c r="H206" s="95" t="n"/>
      <c r="I206" s="95" t="n"/>
      <c r="J206" s="95" t="n"/>
    </row>
    <row r="207" hidden="1" ht="15.75" customHeight="1" s="230">
      <c r="A207" s="95" t="n"/>
      <c r="B207" s="95" t="n"/>
      <c r="C207" s="95" t="n"/>
      <c r="D207" s="95" t="n"/>
      <c r="E207" s="95" t="n"/>
      <c r="F207" s="95" t="n"/>
      <c r="G207" s="95" t="n"/>
      <c r="H207" s="95" t="n"/>
      <c r="I207" s="95" t="n"/>
      <c r="J207" s="95" t="n"/>
    </row>
    <row r="208" hidden="1" ht="15.75" customHeight="1" s="230">
      <c r="A208" s="95" t="n"/>
      <c r="B208" s="95" t="n"/>
      <c r="C208" s="95" t="n"/>
      <c r="D208" s="95" t="n"/>
      <c r="E208" s="95" t="n"/>
      <c r="F208" s="95" t="n"/>
      <c r="G208" s="95" t="n"/>
      <c r="H208" s="95" t="n"/>
      <c r="I208" s="95" t="n"/>
      <c r="J208" s="95" t="n"/>
    </row>
    <row r="209" hidden="1" ht="15.75" customHeight="1" s="230">
      <c r="A209" s="95" t="n"/>
      <c r="B209" s="95" t="n"/>
      <c r="C209" s="95" t="n"/>
      <c r="D209" s="95" t="n"/>
      <c r="E209" s="95" t="n"/>
      <c r="F209" s="95" t="n"/>
      <c r="G209" s="95" t="n"/>
      <c r="H209" s="95" t="n"/>
      <c r="I209" s="95" t="n"/>
      <c r="J209" s="95" t="n"/>
    </row>
    <row r="210" hidden="1" ht="15.75" customHeight="1" s="230">
      <c r="A210" s="95" t="n"/>
      <c r="B210" s="95" t="n"/>
      <c r="C210" s="95" t="n"/>
      <c r="D210" s="95" t="n"/>
      <c r="E210" s="95" t="n"/>
      <c r="F210" s="95" t="n"/>
      <c r="G210" s="95" t="n"/>
      <c r="H210" s="95" t="n"/>
      <c r="I210" s="95" t="n"/>
      <c r="J210" s="95" t="n"/>
    </row>
    <row r="211" hidden="1" ht="15.75" customHeight="1" s="230">
      <c r="A211" s="95" t="n"/>
      <c r="B211" s="95" t="n"/>
      <c r="C211" s="95" t="n"/>
      <c r="D211" s="95" t="n"/>
      <c r="E211" s="95" t="n"/>
      <c r="F211" s="95" t="n"/>
      <c r="G211" s="95" t="n"/>
      <c r="H211" s="95" t="n"/>
      <c r="I211" s="95" t="n"/>
      <c r="J211" s="95" t="n"/>
    </row>
    <row r="212" hidden="1" ht="15.75" customHeight="1" s="230">
      <c r="A212" s="95" t="n"/>
      <c r="B212" s="95" t="n"/>
      <c r="C212" s="95" t="n"/>
      <c r="D212" s="95" t="n"/>
      <c r="E212" s="95" t="n"/>
      <c r="F212" s="95" t="n"/>
      <c r="G212" s="95" t="n"/>
      <c r="H212" s="95" t="n"/>
      <c r="I212" s="95" t="n"/>
      <c r="J212" s="95" t="n"/>
    </row>
    <row r="213" hidden="1" ht="15.75" customHeight="1" s="230">
      <c r="A213" s="95" t="n"/>
      <c r="B213" s="95" t="n"/>
      <c r="C213" s="95" t="n"/>
      <c r="D213" s="95" t="n"/>
      <c r="E213" s="95" t="n"/>
      <c r="F213" s="95" t="n"/>
      <c r="G213" s="95" t="n"/>
      <c r="H213" s="95" t="n"/>
      <c r="I213" s="95" t="n"/>
      <c r="J213" s="95" t="n"/>
    </row>
    <row r="214" hidden="1" ht="15.75" customHeight="1" s="230">
      <c r="A214" s="95" t="n"/>
      <c r="B214" s="95" t="n"/>
      <c r="C214" s="95" t="n"/>
      <c r="D214" s="95" t="n"/>
      <c r="E214" s="95" t="n"/>
      <c r="F214" s="95" t="n"/>
      <c r="G214" s="95" t="n"/>
      <c r="H214" s="95" t="n"/>
      <c r="I214" s="95" t="n"/>
      <c r="J214" s="95" t="n"/>
    </row>
    <row r="215" hidden="1" ht="15.75" customHeight="1" s="230">
      <c r="A215" s="95" t="n"/>
      <c r="B215" s="95" t="n"/>
      <c r="C215" s="95" t="n"/>
      <c r="D215" s="95" t="n"/>
      <c r="E215" s="95" t="n"/>
      <c r="F215" s="95" t="n"/>
      <c r="G215" s="95" t="n"/>
      <c r="H215" s="95" t="n"/>
      <c r="I215" s="95" t="n"/>
      <c r="J215" s="95" t="n"/>
    </row>
    <row r="216" hidden="1" ht="15.75" customHeight="1" s="230">
      <c r="A216" s="95" t="n"/>
      <c r="B216" s="95" t="n"/>
      <c r="C216" s="95" t="n"/>
      <c r="D216" s="95" t="n"/>
      <c r="E216" s="95" t="n"/>
      <c r="F216" s="95" t="n"/>
      <c r="G216" s="95" t="n"/>
      <c r="H216" s="95" t="n"/>
      <c r="I216" s="95" t="n"/>
      <c r="J216" s="95" t="n"/>
    </row>
    <row r="217" hidden="1" ht="15.75" customHeight="1" s="230">
      <c r="A217" s="95" t="n"/>
      <c r="B217" s="95" t="n"/>
      <c r="C217" s="95" t="n"/>
      <c r="D217" s="95" t="n"/>
      <c r="E217" s="95" t="n"/>
      <c r="F217" s="95" t="n"/>
      <c r="G217" s="95" t="n"/>
      <c r="H217" s="95" t="n"/>
      <c r="I217" s="95" t="n"/>
      <c r="J217" s="95" t="n"/>
    </row>
    <row r="218" hidden="1" ht="15.75" customHeight="1" s="230">
      <c r="A218" s="95" t="n"/>
      <c r="B218" s="95" t="n"/>
      <c r="C218" s="95" t="n"/>
      <c r="D218" s="95" t="n"/>
      <c r="E218" s="95" t="n"/>
      <c r="F218" s="95" t="n"/>
      <c r="G218" s="95" t="n"/>
      <c r="H218" s="95" t="n"/>
      <c r="I218" s="95" t="n"/>
      <c r="J218" s="95" t="n"/>
    </row>
    <row r="219" hidden="1" ht="15.75" customHeight="1" s="230">
      <c r="A219" s="95" t="n"/>
      <c r="B219" s="95" t="n"/>
      <c r="C219" s="95" t="n"/>
      <c r="D219" s="95" t="n"/>
      <c r="E219" s="95" t="n"/>
      <c r="F219" s="95" t="n"/>
      <c r="G219" s="95" t="n"/>
      <c r="H219" s="95" t="n"/>
      <c r="I219" s="95" t="n"/>
      <c r="J219" s="95" t="n"/>
    </row>
    <row r="220" hidden="1" ht="15.75" customHeight="1" s="230">
      <c r="A220" s="95" t="n"/>
      <c r="B220" s="95" t="n"/>
      <c r="C220" s="95" t="n"/>
      <c r="D220" s="95" t="n"/>
      <c r="E220" s="95" t="n"/>
      <c r="F220" s="95" t="n"/>
      <c r="G220" s="95" t="n"/>
      <c r="H220" s="95" t="n"/>
      <c r="I220" s="95" t="n"/>
      <c r="J220" s="95" t="n"/>
    </row>
    <row r="221" hidden="1" ht="15.75" customHeight="1" s="230">
      <c r="A221" s="95" t="n"/>
      <c r="B221" s="95" t="n"/>
      <c r="C221" s="95" t="n"/>
      <c r="D221" s="95" t="n"/>
      <c r="E221" s="95" t="n"/>
      <c r="F221" s="95" t="n"/>
      <c r="G221" s="95" t="n"/>
      <c r="H221" s="95" t="n"/>
      <c r="I221" s="95" t="n"/>
      <c r="J221" s="95" t="n"/>
    </row>
    <row r="222" hidden="1" ht="15.75" customHeight="1" s="230">
      <c r="A222" s="95" t="n"/>
      <c r="B222" s="95" t="n"/>
      <c r="C222" s="95" t="n"/>
      <c r="D222" s="95" t="n"/>
      <c r="E222" s="95" t="n"/>
      <c r="F222" s="95" t="n"/>
      <c r="G222" s="95" t="n"/>
      <c r="H222" s="95" t="n"/>
      <c r="I222" s="95" t="n"/>
      <c r="J222" s="95" t="n"/>
    </row>
    <row r="223" hidden="1" ht="15.75" customHeight="1" s="230">
      <c r="A223" s="95" t="n"/>
      <c r="B223" s="95" t="n"/>
      <c r="C223" s="95" t="n"/>
      <c r="D223" s="95" t="n"/>
      <c r="E223" s="95" t="n"/>
      <c r="F223" s="95" t="n"/>
      <c r="G223" s="95" t="n"/>
      <c r="H223" s="95" t="n"/>
      <c r="I223" s="95" t="n"/>
      <c r="J223" s="95" t="n"/>
    </row>
    <row r="224" hidden="1" ht="15.75" customHeight="1" s="230">
      <c r="A224" s="95" t="n"/>
      <c r="B224" s="95" t="n"/>
      <c r="C224" s="95" t="n"/>
      <c r="D224" s="95" t="n"/>
      <c r="E224" s="95" t="n"/>
      <c r="F224" s="95" t="n"/>
      <c r="G224" s="95" t="n"/>
      <c r="H224" s="95" t="n"/>
      <c r="I224" s="95" t="n"/>
      <c r="J224" s="95" t="n"/>
    </row>
    <row r="225" hidden="1" ht="15.75" customHeight="1" s="230">
      <c r="A225" s="95" t="n"/>
      <c r="B225" s="95" t="n"/>
      <c r="C225" s="95" t="n"/>
      <c r="D225" s="95" t="n"/>
      <c r="E225" s="95" t="n"/>
      <c r="F225" s="95" t="n"/>
      <c r="G225" s="95" t="n"/>
      <c r="H225" s="95" t="n"/>
      <c r="I225" s="95" t="n"/>
      <c r="J225" s="95" t="n"/>
    </row>
    <row r="226" hidden="1" ht="15.75" customHeight="1" s="230">
      <c r="A226" s="95" t="n"/>
      <c r="B226" s="95" t="n"/>
      <c r="C226" s="95" t="n"/>
      <c r="D226" s="95" t="n"/>
      <c r="E226" s="95" t="n"/>
      <c r="F226" s="95" t="n"/>
      <c r="G226" s="95" t="n"/>
      <c r="H226" s="95" t="n"/>
      <c r="I226" s="95" t="n"/>
      <c r="J226" s="95" t="n"/>
    </row>
    <row r="227" hidden="1" ht="15.75" customHeight="1" s="230">
      <c r="A227" s="95" t="n"/>
      <c r="B227" s="95" t="n"/>
      <c r="C227" s="95" t="n"/>
      <c r="D227" s="95" t="n"/>
      <c r="E227" s="95" t="n"/>
      <c r="F227" s="95" t="n"/>
      <c r="G227" s="95" t="n"/>
      <c r="H227" s="95" t="n"/>
      <c r="I227" s="95" t="n"/>
      <c r="J227" s="95" t="n"/>
    </row>
    <row r="228" hidden="1" ht="15.75" customHeight="1" s="230">
      <c r="A228" s="95" t="n"/>
      <c r="B228" s="95" t="n"/>
      <c r="C228" s="95" t="n"/>
      <c r="D228" s="95" t="n"/>
      <c r="E228" s="95" t="n"/>
      <c r="F228" s="95" t="n"/>
      <c r="G228" s="95" t="n"/>
      <c r="H228" s="95" t="n"/>
      <c r="I228" s="95" t="n"/>
      <c r="J228" s="95" t="n"/>
    </row>
    <row r="229" hidden="1" ht="15.75" customHeight="1" s="230">
      <c r="A229" s="95" t="n"/>
      <c r="B229" s="95" t="n"/>
      <c r="C229" s="95" t="n"/>
      <c r="D229" s="95" t="n"/>
      <c r="E229" s="95" t="n"/>
      <c r="F229" s="95" t="n"/>
      <c r="G229" s="95" t="n"/>
      <c r="H229" s="95" t="n"/>
      <c r="I229" s="95" t="n"/>
      <c r="J229" s="95" t="n"/>
    </row>
    <row r="230" hidden="1" ht="15.75" customHeight="1" s="230">
      <c r="A230" s="95" t="n"/>
      <c r="B230" s="95" t="n"/>
      <c r="C230" s="95" t="n"/>
      <c r="D230" s="95" t="n"/>
      <c r="E230" s="95" t="n"/>
      <c r="F230" s="95" t="n"/>
      <c r="G230" s="95" t="n"/>
      <c r="H230" s="95" t="n"/>
      <c r="I230" s="95" t="n"/>
      <c r="J230" s="95" t="n"/>
    </row>
    <row r="231" hidden="1" ht="15.75" customHeight="1" s="230">
      <c r="A231" s="95" t="n"/>
      <c r="B231" s="95" t="n"/>
      <c r="C231" s="95" t="n"/>
      <c r="D231" s="95" t="n"/>
      <c r="E231" s="95" t="n"/>
      <c r="F231" s="95" t="n"/>
      <c r="G231" s="95" t="n"/>
      <c r="H231" s="95" t="n"/>
      <c r="I231" s="95" t="n"/>
      <c r="J231" s="95" t="n"/>
    </row>
    <row r="232" hidden="1" ht="15.75" customHeight="1" s="230">
      <c r="A232" s="95" t="n"/>
      <c r="B232" s="95" t="n"/>
      <c r="C232" s="95" t="n"/>
      <c r="D232" s="95" t="n"/>
      <c r="E232" s="95" t="n"/>
      <c r="F232" s="95" t="n"/>
      <c r="G232" s="95" t="n"/>
      <c r="H232" s="95" t="n"/>
      <c r="I232" s="95" t="n"/>
      <c r="J232" s="95" t="n"/>
    </row>
    <row r="233" hidden="1" ht="15.75" customHeight="1" s="230">
      <c r="A233" s="95" t="n"/>
      <c r="B233" s="95" t="n"/>
      <c r="C233" s="95" t="n"/>
      <c r="D233" s="95" t="n"/>
      <c r="E233" s="95" t="n"/>
      <c r="F233" s="95" t="n"/>
      <c r="G233" s="95" t="n"/>
      <c r="H233" s="95" t="n"/>
      <c r="I233" s="95" t="n"/>
      <c r="J233" s="95" t="n"/>
    </row>
    <row r="234" hidden="1" ht="15.75" customHeight="1" s="230">
      <c r="A234" s="95" t="n"/>
      <c r="B234" s="95" t="n"/>
      <c r="C234" s="95" t="n"/>
      <c r="D234" s="95" t="n"/>
      <c r="E234" s="95" t="n"/>
      <c r="F234" s="95" t="n"/>
      <c r="G234" s="95" t="n"/>
      <c r="H234" s="95" t="n"/>
      <c r="I234" s="95" t="n"/>
      <c r="J234" s="95" t="n"/>
    </row>
    <row r="235" hidden="1" ht="15.75" customHeight="1" s="230">
      <c r="A235" s="95" t="n"/>
      <c r="B235" s="95" t="n"/>
      <c r="C235" s="95" t="n"/>
      <c r="D235" s="95" t="n"/>
      <c r="E235" s="95" t="n"/>
      <c r="F235" s="95" t="n"/>
      <c r="G235" s="95" t="n"/>
      <c r="H235" s="95" t="n"/>
      <c r="I235" s="95" t="n"/>
      <c r="J235" s="95" t="n"/>
    </row>
    <row r="236" hidden="1" ht="15.75" customHeight="1" s="230">
      <c r="A236" s="95" t="n"/>
      <c r="B236" s="95" t="n"/>
      <c r="C236" s="95" t="n"/>
      <c r="D236" s="95" t="n"/>
      <c r="E236" s="95" t="n"/>
      <c r="F236" s="95" t="n"/>
      <c r="G236" s="95" t="n"/>
      <c r="H236" s="95" t="n"/>
      <c r="I236" s="95" t="n"/>
      <c r="J236" s="95" t="n"/>
    </row>
    <row r="237" hidden="1" ht="15.75" customHeight="1" s="230">
      <c r="A237" s="95" t="n"/>
      <c r="B237" s="95" t="n"/>
      <c r="C237" s="95" t="n"/>
      <c r="D237" s="95" t="n"/>
      <c r="E237" s="95" t="n"/>
      <c r="F237" s="95" t="n"/>
      <c r="G237" s="95" t="n"/>
      <c r="H237" s="95" t="n"/>
      <c r="I237" s="95" t="n"/>
      <c r="J237" s="95" t="n"/>
    </row>
    <row r="238" hidden="1" ht="15.75" customHeight="1" s="230">
      <c r="A238" s="95" t="n"/>
      <c r="B238" s="95" t="n"/>
      <c r="C238" s="95" t="n"/>
      <c r="D238" s="95" t="n"/>
      <c r="E238" s="95" t="n"/>
      <c r="F238" s="95" t="n"/>
      <c r="G238" s="95" t="n"/>
      <c r="H238" s="95" t="n"/>
      <c r="I238" s="95" t="n"/>
      <c r="J238" s="95" t="n"/>
    </row>
    <row r="239" hidden="1" ht="15.75" customHeight="1" s="230">
      <c r="A239" s="95" t="n"/>
      <c r="B239" s="95" t="n"/>
      <c r="C239" s="95" t="n"/>
      <c r="D239" s="95" t="n"/>
      <c r="E239" s="95" t="n"/>
      <c r="F239" s="95" t="n"/>
      <c r="G239" s="95" t="n"/>
      <c r="H239" s="95" t="n"/>
      <c r="I239" s="95" t="n"/>
      <c r="J239" s="95" t="n"/>
    </row>
    <row r="240" hidden="1" ht="15.75" customHeight="1" s="230">
      <c r="A240" s="95" t="n"/>
      <c r="B240" s="95" t="n"/>
      <c r="C240" s="95" t="n"/>
      <c r="D240" s="95" t="n"/>
      <c r="E240" s="95" t="n"/>
      <c r="F240" s="95" t="n"/>
      <c r="G240" s="95" t="n"/>
      <c r="H240" s="95" t="n"/>
      <c r="I240" s="95" t="n"/>
      <c r="J240" s="95" t="n"/>
    </row>
    <row r="241" hidden="1" ht="15.75" customHeight="1" s="230">
      <c r="A241" s="95" t="n"/>
      <c r="B241" s="95" t="n"/>
      <c r="C241" s="95" t="n"/>
      <c r="D241" s="95" t="n"/>
      <c r="E241" s="95" t="n"/>
      <c r="F241" s="95" t="n"/>
      <c r="G241" s="95" t="n"/>
      <c r="H241" s="95" t="n"/>
      <c r="I241" s="95" t="n"/>
      <c r="J241" s="95" t="n"/>
    </row>
    <row r="242" hidden="1" ht="15.75" customHeight="1" s="230">
      <c r="A242" s="95" t="n"/>
      <c r="B242" s="95" t="n"/>
      <c r="C242" s="95" t="n"/>
      <c r="D242" s="95" t="n"/>
      <c r="E242" s="95" t="n"/>
      <c r="F242" s="95" t="n"/>
      <c r="G242" s="95" t="n"/>
      <c r="H242" s="95" t="n"/>
      <c r="I242" s="95" t="n"/>
      <c r="J242" s="95" t="n"/>
    </row>
    <row r="243" hidden="1" ht="15.75" customHeight="1" s="230">
      <c r="A243" s="95" t="n"/>
      <c r="B243" s="95" t="n"/>
      <c r="C243" s="95" t="n"/>
      <c r="D243" s="95" t="n"/>
      <c r="E243" s="95" t="n"/>
      <c r="F243" s="95" t="n"/>
      <c r="G243" s="95" t="n"/>
      <c r="H243" s="95" t="n"/>
      <c r="I243" s="95" t="n"/>
      <c r="J243" s="95" t="n"/>
    </row>
    <row r="244" hidden="1" ht="15.75" customHeight="1" s="230">
      <c r="A244" s="95" t="n"/>
      <c r="B244" s="95" t="n"/>
      <c r="C244" s="95" t="n"/>
      <c r="D244" s="95" t="n"/>
      <c r="E244" s="95" t="n"/>
      <c r="F244" s="95" t="n"/>
      <c r="G244" s="95" t="n"/>
      <c r="H244" s="95" t="n"/>
      <c r="I244" s="95" t="n"/>
      <c r="J244" s="95" t="n"/>
    </row>
    <row r="245" hidden="1" ht="15.75" customHeight="1" s="230">
      <c r="A245" s="95" t="n"/>
      <c r="B245" s="95" t="n"/>
      <c r="C245" s="95" t="n"/>
      <c r="D245" s="95" t="n"/>
      <c r="E245" s="95" t="n"/>
      <c r="F245" s="95" t="n"/>
      <c r="G245" s="95" t="n"/>
      <c r="H245" s="95" t="n"/>
      <c r="I245" s="95" t="n"/>
      <c r="J245" s="95" t="n"/>
    </row>
    <row r="246" hidden="1" ht="15.75" customHeight="1" s="230">
      <c r="A246" s="95" t="n"/>
      <c r="B246" s="95" t="n"/>
      <c r="C246" s="95" t="n"/>
      <c r="D246" s="95" t="n"/>
      <c r="E246" s="95" t="n"/>
      <c r="F246" s="95" t="n"/>
      <c r="G246" s="95" t="n"/>
      <c r="H246" s="95" t="n"/>
      <c r="I246" s="95" t="n"/>
      <c r="J246" s="95" t="n"/>
    </row>
    <row r="247" hidden="1" ht="15.75" customHeight="1" s="230">
      <c r="A247" s="95" t="n"/>
      <c r="B247" s="95" t="n"/>
      <c r="C247" s="95" t="n"/>
      <c r="D247" s="95" t="n"/>
      <c r="E247" s="95" t="n"/>
      <c r="F247" s="95" t="n"/>
      <c r="G247" s="95" t="n"/>
      <c r="H247" s="95" t="n"/>
      <c r="I247" s="95" t="n"/>
      <c r="J247" s="95" t="n"/>
    </row>
    <row r="248" hidden="1" ht="15.75" customHeight="1" s="230">
      <c r="A248" s="95" t="n"/>
      <c r="B248" s="95" t="n"/>
      <c r="C248" s="95" t="n"/>
      <c r="D248" s="95" t="n"/>
      <c r="E248" s="95" t="n"/>
      <c r="F248" s="95" t="n"/>
      <c r="G248" s="95" t="n"/>
      <c r="H248" s="95" t="n"/>
      <c r="I248" s="95" t="n"/>
      <c r="J248" s="95" t="n"/>
    </row>
    <row r="249" hidden="1" ht="15.75" customHeight="1" s="230">
      <c r="A249" s="95" t="n"/>
      <c r="B249" s="95" t="n"/>
      <c r="C249" s="95" t="n"/>
      <c r="D249" s="95" t="n"/>
      <c r="E249" s="95" t="n"/>
      <c r="F249" s="95" t="n"/>
      <c r="G249" s="95" t="n"/>
      <c r="H249" s="95" t="n"/>
      <c r="I249" s="95" t="n"/>
      <c r="J249" s="95" t="n"/>
    </row>
    <row r="250" hidden="1" ht="15.75" customHeight="1" s="230">
      <c r="A250" s="95" t="n"/>
      <c r="B250" s="95" t="n"/>
      <c r="C250" s="95" t="n"/>
      <c r="D250" s="95" t="n"/>
      <c r="E250" s="95" t="n"/>
      <c r="F250" s="95" t="n"/>
      <c r="G250" s="95" t="n"/>
      <c r="H250" s="95" t="n"/>
      <c r="I250" s="95" t="n"/>
      <c r="J250" s="95" t="n"/>
    </row>
    <row r="251" hidden="1" ht="15.75" customHeight="1" s="230">
      <c r="A251" s="95" t="n"/>
      <c r="B251" s="95" t="n"/>
      <c r="C251" s="95" t="n"/>
      <c r="D251" s="95" t="n"/>
      <c r="E251" s="95" t="n"/>
      <c r="F251" s="95" t="n"/>
      <c r="G251" s="95" t="n"/>
      <c r="H251" s="95" t="n"/>
      <c r="I251" s="95" t="n"/>
      <c r="J251" s="95" t="n"/>
    </row>
    <row r="252" hidden="1" ht="15.75" customHeight="1" s="230">
      <c r="A252" s="95" t="n"/>
      <c r="B252" s="95" t="n"/>
      <c r="C252" s="95" t="n"/>
      <c r="D252" s="95" t="n"/>
      <c r="E252" s="95" t="n"/>
      <c r="F252" s="95" t="n"/>
      <c r="G252" s="95" t="n"/>
      <c r="H252" s="95" t="n"/>
      <c r="I252" s="95" t="n"/>
      <c r="J252" s="95" t="n"/>
    </row>
    <row r="253" hidden="1" ht="15.75" customHeight="1" s="230">
      <c r="A253" s="95" t="n"/>
      <c r="B253" s="95" t="n"/>
      <c r="C253" s="95" t="n"/>
      <c r="D253" s="95" t="n"/>
      <c r="E253" s="95" t="n"/>
      <c r="F253" s="95" t="n"/>
      <c r="G253" s="95" t="n"/>
      <c r="H253" s="95" t="n"/>
      <c r="I253" s="95" t="n"/>
      <c r="J253" s="95" t="n"/>
    </row>
    <row r="254" hidden="1" ht="15.75" customHeight="1" s="230">
      <c r="A254" s="95" t="n"/>
      <c r="B254" s="95" t="n"/>
      <c r="C254" s="95" t="n"/>
      <c r="D254" s="95" t="n"/>
      <c r="E254" s="95" t="n"/>
      <c r="F254" s="95" t="n"/>
      <c r="G254" s="95" t="n"/>
      <c r="H254" s="95" t="n"/>
      <c r="I254" s="95" t="n"/>
      <c r="J254" s="95" t="n"/>
    </row>
    <row r="255" ht="15.75" customHeight="1" s="230">
      <c r="A255" s="95" t="n"/>
      <c r="B255" s="95" t="n"/>
      <c r="C255" s="95" t="n"/>
      <c r="D255" s="95" t="n"/>
      <c r="E255" s="95" t="n"/>
      <c r="F255" s="95" t="n"/>
      <c r="G255" s="95" t="n"/>
      <c r="H255" s="95" t="n"/>
      <c r="I255" s="95" t="n"/>
      <c r="J255" s="95" t="n"/>
    </row>
    <row r="256" ht="15.75" customHeight="1" s="230">
      <c r="A256" s="95" t="n"/>
      <c r="B256" s="95" t="n"/>
      <c r="C256" s="95" t="n"/>
      <c r="D256" s="95" t="n"/>
      <c r="E256" s="95" t="n"/>
      <c r="F256" s="95" t="n"/>
      <c r="G256" s="95" t="n"/>
      <c r="H256" s="95" t="n"/>
      <c r="I256" s="95" t="n"/>
      <c r="J256" s="95" t="n"/>
    </row>
    <row r="257" ht="15.75" customHeight="1" s="230">
      <c r="A257" s="95" t="n"/>
      <c r="B257" s="95" t="n"/>
      <c r="C257" s="95" t="n"/>
      <c r="D257" s="95" t="n"/>
      <c r="E257" s="95" t="n"/>
      <c r="F257" s="95" t="n"/>
      <c r="G257" s="95" t="n"/>
      <c r="H257" s="95" t="n"/>
      <c r="I257" s="95" t="n"/>
      <c r="J257" s="95" t="n"/>
    </row>
    <row r="258" ht="15.75" customHeight="1" s="230">
      <c r="A258" s="95" t="n"/>
      <c r="B258" s="95" t="n"/>
      <c r="C258" s="95" t="n"/>
      <c r="D258" s="95" t="n"/>
      <c r="E258" s="95" t="n"/>
      <c r="F258" s="95" t="n"/>
      <c r="G258" s="95" t="n"/>
      <c r="H258" s="95" t="n"/>
      <c r="I258" s="95" t="n"/>
      <c r="J258" s="95" t="n"/>
    </row>
    <row r="259" ht="15.75" customHeight="1" s="230">
      <c r="A259" s="95" t="n"/>
      <c r="B259" s="95" t="n"/>
      <c r="C259" s="95" t="n"/>
      <c r="D259" s="95" t="n"/>
      <c r="E259" s="95" t="n"/>
      <c r="F259" s="95" t="n"/>
      <c r="G259" s="95" t="n"/>
      <c r="H259" s="95" t="n"/>
      <c r="I259" s="95" t="n"/>
      <c r="J259" s="95" t="n"/>
    </row>
    <row r="260" ht="15.75" customHeight="1" s="230">
      <c r="A260" s="95" t="n"/>
      <c r="B260" s="95" t="n"/>
      <c r="C260" s="95" t="n"/>
      <c r="D260" s="95" t="n"/>
      <c r="E260" s="95" t="n"/>
      <c r="F260" s="95" t="n"/>
      <c r="G260" s="95" t="n"/>
      <c r="H260" s="95" t="n"/>
      <c r="I260" s="95" t="n"/>
      <c r="J260" s="95" t="n"/>
    </row>
    <row r="261" ht="15.75" customHeight="1" s="230">
      <c r="A261" s="95" t="n"/>
      <c r="B261" s="95" t="n"/>
      <c r="C261" s="95" t="n"/>
      <c r="D261" s="95" t="n"/>
      <c r="E261" s="95" t="n"/>
      <c r="F261" s="95" t="n"/>
      <c r="G261" s="95" t="n"/>
      <c r="H261" s="95" t="n"/>
      <c r="I261" s="95" t="n"/>
      <c r="J261" s="95" t="n"/>
    </row>
    <row r="262" ht="15.75" customHeight="1" s="230">
      <c r="A262" s="95" t="n"/>
      <c r="B262" s="95" t="n"/>
      <c r="C262" s="95" t="n"/>
      <c r="D262" s="95" t="n"/>
      <c r="E262" s="95" t="n"/>
      <c r="F262" s="95" t="n"/>
      <c r="G262" s="95" t="n"/>
      <c r="H262" s="95" t="n"/>
      <c r="I262" s="95" t="n"/>
      <c r="J262" s="95" t="n"/>
    </row>
    <row r="263" ht="15.75" customHeight="1" s="230">
      <c r="A263" s="95" t="n"/>
      <c r="B263" s="95" t="n"/>
      <c r="C263" s="95" t="n"/>
      <c r="D263" s="95" t="n"/>
      <c r="E263" s="95" t="n"/>
      <c r="F263" s="95" t="n"/>
      <c r="G263" s="95" t="n"/>
      <c r="H263" s="95" t="n"/>
      <c r="I263" s="95" t="n"/>
      <c r="J263" s="95" t="n"/>
    </row>
    <row r="264" ht="15.75" customHeight="1" s="230">
      <c r="A264" s="95" t="n"/>
      <c r="B264" s="95" t="n"/>
      <c r="C264" s="95" t="n"/>
      <c r="D264" s="95" t="n"/>
      <c r="E264" s="95" t="n"/>
      <c r="F264" s="95" t="n"/>
      <c r="G264" s="95" t="n"/>
      <c r="H264" s="95" t="n"/>
      <c r="I264" s="95" t="n"/>
      <c r="J264" s="95" t="n"/>
    </row>
    <row r="265" ht="15.75" customHeight="1" s="230">
      <c r="A265" s="95" t="n"/>
      <c r="B265" s="95" t="n"/>
      <c r="C265" s="95" t="n"/>
      <c r="D265" s="95" t="n"/>
      <c r="E265" s="95" t="n"/>
      <c r="F265" s="95" t="n"/>
      <c r="G265" s="95" t="n"/>
      <c r="H265" s="95" t="n"/>
      <c r="I265" s="95" t="n"/>
      <c r="J265" s="95" t="n"/>
    </row>
    <row r="266" ht="15.75" customHeight="1" s="230">
      <c r="A266" s="95" t="n"/>
      <c r="B266" s="95" t="n"/>
      <c r="C266" s="95" t="n"/>
      <c r="D266" s="95" t="n"/>
      <c r="E266" s="95" t="n"/>
      <c r="F266" s="95" t="n"/>
      <c r="G266" s="95" t="n"/>
      <c r="H266" s="95" t="n"/>
      <c r="I266" s="95" t="n"/>
      <c r="J266" s="95" t="n"/>
    </row>
    <row r="267" ht="15.75" customHeight="1" s="230">
      <c r="A267" s="95" t="n"/>
      <c r="B267" s="95" t="n"/>
      <c r="C267" s="95" t="n"/>
      <c r="D267" s="95" t="n"/>
      <c r="E267" s="95" t="n"/>
      <c r="F267" s="95" t="n"/>
      <c r="G267" s="95" t="n"/>
      <c r="H267" s="95" t="n"/>
      <c r="I267" s="95" t="n"/>
      <c r="J267" s="95" t="n"/>
    </row>
    <row r="268" ht="15.75" customHeight="1" s="230">
      <c r="A268" s="95" t="n"/>
      <c r="B268" s="95" t="n"/>
      <c r="C268" s="95" t="n"/>
      <c r="D268" s="95" t="n"/>
      <c r="E268" s="95" t="n"/>
      <c r="F268" s="95" t="n"/>
      <c r="G268" s="95" t="n"/>
      <c r="H268" s="95" t="n"/>
      <c r="I268" s="95" t="n"/>
      <c r="J268" s="95" t="n"/>
    </row>
    <row r="269" ht="15.75" customHeight="1" s="230">
      <c r="A269" s="95" t="n"/>
      <c r="B269" s="95" t="n"/>
      <c r="C269" s="95" t="n"/>
      <c r="D269" s="95" t="n"/>
      <c r="E269" s="95" t="n"/>
      <c r="F269" s="95" t="n"/>
      <c r="G269" s="95" t="n"/>
      <c r="H269" s="95" t="n"/>
      <c r="I269" s="95" t="n"/>
      <c r="J269" s="95" t="n"/>
    </row>
    <row r="270" ht="15.75" customHeight="1" s="230">
      <c r="A270" s="95" t="n"/>
      <c r="B270" s="95" t="n"/>
      <c r="C270" s="95" t="n"/>
      <c r="D270" s="95" t="n"/>
      <c r="E270" s="95" t="n"/>
      <c r="F270" s="95" t="n"/>
      <c r="G270" s="95" t="n"/>
      <c r="H270" s="95" t="n"/>
      <c r="I270" s="95" t="n"/>
      <c r="J270" s="95" t="n"/>
    </row>
    <row r="271" ht="15.75" customHeight="1" s="230">
      <c r="A271" s="95" t="n"/>
      <c r="B271" s="95" t="n"/>
      <c r="C271" s="95" t="n"/>
      <c r="D271" s="95" t="n"/>
      <c r="E271" s="95" t="n"/>
      <c r="F271" s="95" t="n"/>
      <c r="G271" s="95" t="n"/>
      <c r="H271" s="95" t="n"/>
      <c r="I271" s="95" t="n"/>
      <c r="J271" s="95" t="n"/>
    </row>
    <row r="272" ht="15.75" customHeight="1" s="230">
      <c r="A272" s="95" t="n"/>
      <c r="B272" s="95" t="n"/>
      <c r="C272" s="95" t="n"/>
      <c r="D272" s="95" t="n"/>
      <c r="E272" s="95" t="n"/>
      <c r="F272" s="95" t="n"/>
      <c r="G272" s="95" t="n"/>
      <c r="H272" s="95" t="n"/>
      <c r="I272" s="95" t="n"/>
      <c r="J272" s="95" t="n"/>
    </row>
    <row r="273" ht="15.75" customHeight="1" s="230">
      <c r="A273" s="95" t="n"/>
      <c r="B273" s="95" t="n"/>
      <c r="C273" s="95" t="n"/>
      <c r="D273" s="95" t="n"/>
      <c r="E273" s="95" t="n"/>
      <c r="F273" s="95" t="n"/>
      <c r="G273" s="95" t="n"/>
      <c r="H273" s="95" t="n"/>
      <c r="I273" s="95" t="n"/>
      <c r="J273" s="95" t="n"/>
    </row>
    <row r="274" ht="15.75" customHeight="1" s="230">
      <c r="A274" s="95" t="n"/>
      <c r="B274" s="95" t="n"/>
      <c r="C274" s="95" t="n"/>
      <c r="D274" s="95" t="n"/>
      <c r="E274" s="95" t="n"/>
      <c r="F274" s="95" t="n"/>
      <c r="G274" s="95" t="n"/>
      <c r="H274" s="95" t="n"/>
      <c r="I274" s="95" t="n"/>
      <c r="J274" s="95" t="n"/>
    </row>
    <row r="275" ht="15.75" customHeight="1" s="230">
      <c r="A275" s="95" t="n"/>
      <c r="B275" s="95" t="n"/>
      <c r="C275" s="95" t="n"/>
      <c r="D275" s="95" t="n"/>
      <c r="E275" s="95" t="n"/>
      <c r="F275" s="95" t="n"/>
      <c r="G275" s="95" t="n"/>
      <c r="H275" s="95" t="n"/>
      <c r="I275" s="95" t="n"/>
      <c r="J275" s="95" t="n"/>
    </row>
    <row r="276" ht="15.75" customHeight="1" s="230">
      <c r="A276" s="95" t="n"/>
      <c r="B276" s="95" t="n"/>
      <c r="C276" s="95" t="n"/>
      <c r="D276" s="95" t="n"/>
      <c r="E276" s="95" t="n"/>
      <c r="F276" s="95" t="n"/>
      <c r="G276" s="95" t="n"/>
      <c r="H276" s="95" t="n"/>
      <c r="I276" s="95" t="n"/>
      <c r="J276" s="95" t="n"/>
    </row>
    <row r="277" ht="15.75" customHeight="1" s="230">
      <c r="A277" s="95" t="n"/>
      <c r="B277" s="95" t="n"/>
      <c r="C277" s="95" t="n"/>
      <c r="D277" s="95" t="n"/>
      <c r="E277" s="95" t="n"/>
      <c r="F277" s="95" t="n"/>
      <c r="G277" s="95" t="n"/>
      <c r="H277" s="95" t="n"/>
      <c r="I277" s="95" t="n"/>
      <c r="J277" s="95" t="n"/>
    </row>
    <row r="278" ht="15.75" customHeight="1" s="230">
      <c r="A278" s="95" t="n"/>
      <c r="B278" s="95" t="n"/>
      <c r="C278" s="95" t="n"/>
      <c r="D278" s="95" t="n"/>
      <c r="E278" s="95" t="n"/>
      <c r="F278" s="95" t="n"/>
      <c r="G278" s="95" t="n"/>
      <c r="H278" s="95" t="n"/>
      <c r="I278" s="95" t="n"/>
      <c r="J278" s="95" t="n"/>
    </row>
    <row r="279" ht="15.75" customHeight="1" s="230">
      <c r="A279" s="95" t="n"/>
      <c r="B279" s="95" t="n"/>
      <c r="C279" s="95" t="n"/>
      <c r="D279" s="95" t="n"/>
      <c r="E279" s="95" t="n"/>
      <c r="F279" s="95" t="n"/>
      <c r="G279" s="95" t="n"/>
      <c r="H279" s="95" t="n"/>
      <c r="I279" s="95" t="n"/>
      <c r="J279" s="95" t="n"/>
    </row>
    <row r="280" ht="15.75" customHeight="1" s="230">
      <c r="A280" s="95" t="n"/>
      <c r="B280" s="95" t="n"/>
      <c r="C280" s="95" t="n"/>
      <c r="D280" s="95" t="n"/>
      <c r="E280" s="95" t="n"/>
      <c r="F280" s="95" t="n"/>
      <c r="G280" s="95" t="n"/>
      <c r="H280" s="95" t="n"/>
      <c r="I280" s="95" t="n"/>
      <c r="J280" s="95" t="n"/>
    </row>
    <row r="281" ht="15.75" customHeight="1" s="230">
      <c r="A281" s="95" t="n"/>
      <c r="B281" s="95" t="n"/>
      <c r="C281" s="95" t="n"/>
      <c r="D281" s="95" t="n"/>
      <c r="E281" s="95" t="n"/>
      <c r="F281" s="95" t="n"/>
      <c r="G281" s="95" t="n"/>
      <c r="H281" s="95" t="n"/>
      <c r="I281" s="95" t="n"/>
      <c r="J281" s="95" t="n"/>
    </row>
    <row r="282" ht="15.75" customHeight="1" s="230">
      <c r="A282" s="95" t="n"/>
      <c r="B282" s="95" t="n"/>
      <c r="C282" s="95" t="n"/>
      <c r="D282" s="95" t="n"/>
      <c r="E282" s="95" t="n"/>
      <c r="F282" s="95" t="n"/>
      <c r="G282" s="95" t="n"/>
      <c r="H282" s="95" t="n"/>
      <c r="I282" s="95" t="n"/>
      <c r="J282" s="95" t="n"/>
    </row>
    <row r="283" ht="15.75" customHeight="1" s="230">
      <c r="A283" s="95" t="n"/>
      <c r="B283" s="95" t="n"/>
      <c r="C283" s="95" t="n"/>
      <c r="D283" s="95" t="n"/>
      <c r="E283" s="95" t="n"/>
      <c r="F283" s="95" t="n"/>
      <c r="G283" s="95" t="n"/>
      <c r="H283" s="95" t="n"/>
      <c r="I283" s="95" t="n"/>
      <c r="J283" s="95" t="n"/>
    </row>
    <row r="284" ht="15.75" customHeight="1" s="230">
      <c r="A284" s="95" t="n"/>
      <c r="B284" s="95" t="n"/>
      <c r="C284" s="95" t="n"/>
      <c r="D284" s="95" t="n"/>
      <c r="E284" s="95" t="n"/>
      <c r="F284" s="95" t="n"/>
      <c r="G284" s="95" t="n"/>
      <c r="H284" s="95" t="n"/>
      <c r="I284" s="95" t="n"/>
      <c r="J284" s="95" t="n"/>
    </row>
    <row r="285" ht="15.75" customHeight="1" s="230">
      <c r="A285" s="95" t="n"/>
      <c r="B285" s="95" t="n"/>
      <c r="C285" s="95" t="n"/>
      <c r="D285" s="95" t="n"/>
      <c r="E285" s="95" t="n"/>
      <c r="F285" s="95" t="n"/>
      <c r="G285" s="95" t="n"/>
      <c r="H285" s="95" t="n"/>
      <c r="I285" s="95" t="n"/>
      <c r="J285" s="95" t="n"/>
    </row>
    <row r="286" ht="15.75" customHeight="1" s="230">
      <c r="A286" s="95" t="n"/>
      <c r="B286" s="95" t="n"/>
      <c r="C286" s="95" t="n"/>
      <c r="D286" s="95" t="n"/>
      <c r="E286" s="95" t="n"/>
      <c r="F286" s="95" t="n"/>
      <c r="G286" s="95" t="n"/>
      <c r="H286" s="95" t="n"/>
      <c r="I286" s="95" t="n"/>
      <c r="J286" s="95" t="n"/>
    </row>
    <row r="287" ht="15.75" customHeight="1" s="230">
      <c r="A287" s="95" t="n"/>
      <c r="B287" s="95" t="n"/>
      <c r="C287" s="95" t="n"/>
      <c r="D287" s="95" t="n"/>
      <c r="E287" s="95" t="n"/>
      <c r="F287" s="95" t="n"/>
      <c r="G287" s="95" t="n"/>
      <c r="H287" s="95" t="n"/>
      <c r="I287" s="95" t="n"/>
      <c r="J287" s="95" t="n"/>
    </row>
    <row r="288" ht="15.75" customHeight="1" s="230">
      <c r="A288" s="95" t="n"/>
      <c r="B288" s="95" t="n"/>
      <c r="C288" s="95" t="n"/>
      <c r="D288" s="95" t="n"/>
      <c r="E288" s="95" t="n"/>
      <c r="F288" s="95" t="n"/>
      <c r="G288" s="95" t="n"/>
      <c r="H288" s="95" t="n"/>
      <c r="I288" s="95" t="n"/>
      <c r="J288" s="95" t="n"/>
    </row>
    <row r="289" ht="15.75" customHeight="1" s="230">
      <c r="A289" s="95" t="n"/>
      <c r="B289" s="95" t="n"/>
      <c r="C289" s="95" t="n"/>
      <c r="D289" s="95" t="n"/>
      <c r="E289" s="95" t="n"/>
      <c r="F289" s="95" t="n"/>
      <c r="G289" s="95" t="n"/>
      <c r="H289" s="95" t="n"/>
      <c r="I289" s="95" t="n"/>
      <c r="J289" s="95" t="n"/>
    </row>
    <row r="290" ht="15.75" customHeight="1" s="230">
      <c r="A290" s="95" t="n"/>
      <c r="B290" s="95" t="n"/>
      <c r="C290" s="95" t="n"/>
      <c r="D290" s="95" t="n"/>
      <c r="E290" s="95" t="n"/>
      <c r="F290" s="95" t="n"/>
      <c r="G290" s="95" t="n"/>
      <c r="H290" s="95" t="n"/>
      <c r="I290" s="95" t="n"/>
      <c r="J290" s="95" t="n"/>
    </row>
    <row r="291" ht="15.75" customHeight="1" s="230">
      <c r="A291" s="95" t="n"/>
      <c r="B291" s="95" t="n"/>
      <c r="C291" s="95" t="n"/>
      <c r="D291" s="95" t="n"/>
      <c r="E291" s="95" t="n"/>
      <c r="F291" s="95" t="n"/>
      <c r="G291" s="95" t="n"/>
      <c r="H291" s="95" t="n"/>
      <c r="I291" s="95" t="n"/>
      <c r="J291" s="95" t="n"/>
    </row>
    <row r="292" ht="15.75" customHeight="1" s="230">
      <c r="A292" s="95" t="n"/>
      <c r="B292" s="95" t="n"/>
      <c r="C292" s="95" t="n"/>
      <c r="D292" s="95" t="n"/>
      <c r="E292" s="95" t="n"/>
      <c r="F292" s="95" t="n"/>
      <c r="G292" s="95" t="n"/>
      <c r="H292" s="95" t="n"/>
      <c r="I292" s="95" t="n"/>
      <c r="J292" s="95" t="n"/>
    </row>
    <row r="293" ht="15.75" customHeight="1" s="230">
      <c r="A293" s="95" t="n"/>
      <c r="B293" s="95" t="n"/>
      <c r="C293" s="95" t="n"/>
      <c r="D293" s="95" t="n"/>
      <c r="E293" s="95" t="n"/>
      <c r="F293" s="95" t="n"/>
      <c r="G293" s="95" t="n"/>
      <c r="H293" s="95" t="n"/>
      <c r="I293" s="95" t="n"/>
      <c r="J293" s="95" t="n"/>
    </row>
    <row r="294" ht="15.75" customHeight="1" s="230">
      <c r="A294" s="95" t="n"/>
      <c r="B294" s="95" t="n"/>
      <c r="C294" s="95" t="n"/>
      <c r="D294" s="95" t="n"/>
      <c r="E294" s="95" t="n"/>
      <c r="F294" s="95" t="n"/>
      <c r="G294" s="95" t="n"/>
      <c r="H294" s="95" t="n"/>
      <c r="I294" s="95" t="n"/>
      <c r="J294" s="95" t="n"/>
    </row>
    <row r="295" ht="15.75" customHeight="1" s="230">
      <c r="A295" s="95" t="n"/>
      <c r="B295" s="95" t="n"/>
      <c r="C295" s="95" t="n"/>
      <c r="D295" s="95" t="n"/>
      <c r="E295" s="95" t="n"/>
      <c r="F295" s="95" t="n"/>
      <c r="G295" s="95" t="n"/>
      <c r="H295" s="95" t="n"/>
      <c r="I295" s="95" t="n"/>
      <c r="J295" s="95" t="n"/>
    </row>
    <row r="296" ht="15.75" customHeight="1" s="230">
      <c r="A296" s="95" t="n"/>
      <c r="B296" s="95" t="n"/>
      <c r="C296" s="95" t="n"/>
      <c r="D296" s="95" t="n"/>
      <c r="E296" s="95" t="n"/>
      <c r="F296" s="95" t="n"/>
      <c r="G296" s="95" t="n"/>
      <c r="H296" s="95" t="n"/>
      <c r="I296" s="95" t="n"/>
      <c r="J296" s="95" t="n"/>
    </row>
    <row r="297" ht="15.75" customHeight="1" s="230">
      <c r="A297" s="95" t="n"/>
      <c r="B297" s="95" t="n"/>
      <c r="C297" s="95" t="n"/>
      <c r="D297" s="95" t="n"/>
      <c r="E297" s="95" t="n"/>
      <c r="F297" s="95" t="n"/>
      <c r="G297" s="95" t="n"/>
      <c r="H297" s="95" t="n"/>
      <c r="I297" s="95" t="n"/>
      <c r="J297" s="95" t="n"/>
    </row>
    <row r="298" ht="15.75" customHeight="1" s="230">
      <c r="A298" s="95" t="n"/>
      <c r="B298" s="95" t="n"/>
      <c r="C298" s="95" t="n"/>
      <c r="D298" s="95" t="n"/>
      <c r="E298" s="95" t="n"/>
      <c r="F298" s="95" t="n"/>
      <c r="G298" s="95" t="n"/>
      <c r="H298" s="95" t="n"/>
      <c r="I298" s="95" t="n"/>
      <c r="J298" s="95" t="n"/>
    </row>
    <row r="299" ht="15.75" customHeight="1" s="230">
      <c r="A299" s="95" t="n"/>
      <c r="B299" s="95" t="n"/>
      <c r="C299" s="95" t="n"/>
      <c r="D299" s="95" t="n"/>
      <c r="E299" s="95" t="n"/>
      <c r="F299" s="95" t="n"/>
      <c r="G299" s="95" t="n"/>
      <c r="H299" s="95" t="n"/>
      <c r="I299" s="95" t="n"/>
      <c r="J299" s="95" t="n"/>
    </row>
  </sheetData>
  <conditionalFormatting sqref="D1">
    <cfRule type="containsBlanks" priority="1" dxfId="2">
      <formula>LEN(TRIM(D1))=0</formula>
    </cfRule>
  </conditionalFormatting>
  <conditionalFormatting sqref="A2:F51 A47:B51">
    <cfRule type="containsBlanks" priority="2" dxfId="3">
      <formula>LEN(TRIM(A2))=0</formula>
    </cfRule>
  </conditionalFormatting>
  <conditionalFormatting sqref="A47:B51">
    <cfRule type="notContainsBlanks" priority="3" dxfId="4">
      <formula>LEN(TRIM(A47))&gt;0</formula>
    </cfRule>
  </conditionalFormatting>
  <conditionalFormatting sqref="E1:F299">
    <cfRule type="cellIs" priority="4" operator="greaterThan" dxfId="5">
      <formula>30</formula>
    </cfRule>
  </conditionalFormatting>
  <dataValidations count="1">
    <dataValidation sqref="G2:I51 G52:H99" showDropDown="0" showInputMessage="1" showErrorMessage="1" allowBlank="1" prompt="Select Date - Choose a date from the calendar." type="date">
      <formula1>DATE(2000,1,1)</formula1>
      <formula2>DATE(2100,12,31)</formula2>
    </dataValidation>
  </dataValidations>
  <hyperlinks>
    <hyperlink ref="K1" location="'Smart Dashboard'!A1" display="DESHOARD"/>
  </hyperlink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06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9" customWidth="1" style="230" min="1" max="1"/>
    <col width="10" customWidth="1" style="230" min="2" max="2"/>
    <col width="12" customWidth="1" style="230" min="3" max="3"/>
    <col width="18" customWidth="1" style="230" min="4" max="4"/>
    <col width="24" customWidth="1" style="230" min="5" max="5"/>
    <col width="14" customWidth="1" style="230" min="6" max="6"/>
    <col width="18" customWidth="1" style="230" min="7" max="7"/>
    <col width="11.25" customWidth="1" style="230" min="8" max="8"/>
    <col hidden="1" width="28" customWidth="1" style="230" min="9" max="9"/>
    <col width="8.630000000000001" customWidth="1" style="230" min="10" max="27"/>
  </cols>
  <sheetData>
    <row r="1" ht="39" customHeight="1" s="230">
      <c r="A1" s="208" t="inlineStr">
        <is>
          <t>THE STATEMENT SHOWING THE PRIORITY LIST OF WHEAT  FAQ 2025-26 FOR THE MONTH OF AUGUST-26 – SHED NO 9, 14, 18 AND 20 DATE:- 01.08.26</t>
        </is>
      </c>
      <c r="J1" s="209" t="n"/>
      <c r="K1" s="209" t="n"/>
      <c r="L1" s="209" t="n"/>
      <c r="M1" s="209" t="n"/>
      <c r="N1" s="209" t="n"/>
      <c r="O1" s="209" t="n"/>
      <c r="P1" s="209" t="n"/>
      <c r="Q1" s="209" t="n"/>
      <c r="R1" s="209" t="n"/>
      <c r="S1" s="209" t="n"/>
      <c r="T1" s="209" t="n"/>
      <c r="U1" s="209" t="n"/>
      <c r="V1" s="209" t="n"/>
      <c r="W1" s="209" t="n"/>
      <c r="X1" s="209" t="n"/>
      <c r="Y1" s="209" t="n"/>
      <c r="Z1" s="209" t="n"/>
      <c r="AA1" s="209" t="n"/>
    </row>
    <row r="2" ht="15" customHeight="1" s="230">
      <c r="A2" s="210" t="inlineStr">
        <is>
          <t>Sr No.</t>
        </is>
      </c>
      <c r="B2" s="211" t="inlineStr">
        <is>
          <t>Shed No.</t>
        </is>
      </c>
      <c r="C2" s="211" t="inlineStr">
        <is>
          <t>Stack No.</t>
        </is>
      </c>
      <c r="D2" s="212" t="inlineStr">
        <is>
          <t>RDate of Receipt</t>
        </is>
      </c>
      <c r="E2" s="211" t="inlineStr">
        <is>
          <t>Commodity/Crop Year</t>
        </is>
      </c>
      <c r="F2" s="213" t="inlineStr">
        <is>
          <t>Qty(in MT)</t>
        </is>
      </c>
      <c r="G2" s="211" t="inlineStr">
        <is>
          <t>Cat</t>
        </is>
      </c>
      <c r="H2" s="214" t="inlineStr">
        <is>
          <t>Remarks</t>
        </is>
      </c>
      <c r="I2" s="214" t="inlineStr">
        <is>
          <t>Remarks</t>
        </is>
      </c>
      <c r="J2" s="209" t="n"/>
      <c r="K2" s="209" t="n"/>
      <c r="L2" s="209" t="n"/>
      <c r="M2" s="209" t="n"/>
      <c r="N2" s="209" t="n"/>
      <c r="O2" s="209" t="n"/>
      <c r="P2" s="209" t="n"/>
      <c r="Q2" s="209" t="n"/>
      <c r="R2" s="209" t="n"/>
      <c r="S2" s="209" t="n"/>
      <c r="T2" s="209" t="n"/>
      <c r="U2" s="209" t="n"/>
      <c r="V2" s="209" t="n"/>
      <c r="W2" s="209" t="n"/>
      <c r="X2" s="209" t="n"/>
      <c r="Y2" s="209" t="n"/>
      <c r="Z2" s="209" t="n"/>
      <c r="AA2" s="209" t="n"/>
    </row>
    <row r="3" ht="15" customHeight="1" s="230">
      <c r="A3" s="215">
        <f>IFERROR(SMALL('Master Stock'!$Q$2:$Q$99,ROWS($A$3:A3)),"")</f>
        <v/>
      </c>
      <c r="B3" s="216">
        <f t="array" ref="B3">IF($A3="","",INDEX('Master Stock'!$C$2:$C$99,MATCH($A3,'Master Stock'!$Q$2:$Q$99,0)))</f>
        <v/>
      </c>
      <c r="C3" s="216">
        <f t="array" ref="C3">IF($A3="","",INDEX('Master Stock'!$D$2:$D$99,MATCH($A3,'Master Stock'!$Q$2:$Q$99,0)))</f>
        <v/>
      </c>
      <c r="D3" s="217">
        <f t="array" ref="D3">IF($A3="","",INDEX('Master Stock'!$B$2:$B$99,MATCH($A3,'Master Stock'!$Q$2:$Q$99,0)))</f>
        <v/>
      </c>
      <c r="E3" s="216">
        <f t="array" ref="E3">IF($A3="","",INDEX('Master Stock'!$G$2:$G$99,MATCH($A3,'Master Stock'!$Q$2:$Q$99,0)))</f>
        <v/>
      </c>
      <c r="F3" s="218">
        <f t="array" ref="F3">IF($A3="","",INDEX('Master Stock'!$F$2:$F$99,MATCH($A3,'Master Stock'!$Q$2:$Q$99,0)))</f>
        <v/>
      </c>
      <c r="G3" s="216" t="inlineStr">
        <is>
          <t>A</t>
        </is>
      </c>
      <c r="H3" s="217" t="n"/>
      <c r="I3" s="217">
        <f>IF($A3="","","FIFO - Oldest Receipt First")</f>
        <v/>
      </c>
      <c r="J3" s="209" t="n"/>
      <c r="K3" s="209" t="n"/>
      <c r="L3" s="209" t="n"/>
      <c r="M3" s="209" t="n"/>
      <c r="N3" s="209" t="n"/>
      <c r="O3" s="209" t="n"/>
      <c r="P3" s="209" t="n"/>
      <c r="Q3" s="209" t="n"/>
      <c r="R3" s="209" t="n"/>
      <c r="S3" s="209" t="n"/>
      <c r="T3" s="209" t="n"/>
      <c r="U3" s="209" t="n"/>
      <c r="V3" s="209" t="n"/>
      <c r="W3" s="209" t="n"/>
      <c r="X3" s="209" t="n"/>
      <c r="Y3" s="209" t="n"/>
      <c r="Z3" s="209" t="n"/>
      <c r="AA3" s="209" t="n"/>
    </row>
    <row r="4" ht="15" customHeight="1" s="230">
      <c r="A4" s="215">
        <f>IFERROR(SMALL('Master Stock'!$Q$2:$Q$99,ROWS($A$3:A4)),"")</f>
        <v/>
      </c>
      <c r="B4" s="216">
        <f t="array" ref="B4">IF($A4="","",INDEX('Master Stock'!$C$2:$C$99,MATCH($A4,'Master Stock'!$Q$2:$Q$99,0)))</f>
        <v/>
      </c>
      <c r="C4" s="216">
        <f t="array" ref="C4">IF($A4="","",INDEX('Master Stock'!$D$2:$D$99,MATCH($A4,'Master Stock'!$Q$2:$Q$99,0)))</f>
        <v/>
      </c>
      <c r="D4" s="217">
        <f t="array" ref="D4">IF($A4="","",INDEX('Master Stock'!$B$2:$B$99,MATCH($A4,'Master Stock'!$Q$2:$Q$99,0)))</f>
        <v/>
      </c>
      <c r="E4" s="216">
        <f t="array" ref="E4">IF($A4="","",INDEX('Master Stock'!$G$2:$G$99,MATCH($A4,'Master Stock'!$Q$2:$Q$99,0)))</f>
        <v/>
      </c>
      <c r="F4" s="218">
        <f t="array" ref="F4">IF($A4="","",INDEX('Master Stock'!$F$2:$F$99,MATCH($A4,'Master Stock'!$Q$2:$Q$99,0)))</f>
        <v/>
      </c>
      <c r="G4" s="216" t="inlineStr">
        <is>
          <t>A</t>
        </is>
      </c>
      <c r="H4" s="217" t="n"/>
      <c r="I4" s="217">
        <f>IF($A4="","","FIFO - Oldest Receipt First")</f>
        <v/>
      </c>
      <c r="J4" s="209" t="n"/>
      <c r="K4" s="209" t="n"/>
      <c r="L4" s="209" t="n"/>
      <c r="M4" s="209" t="n"/>
      <c r="N4" s="209" t="n"/>
      <c r="O4" s="209" t="n"/>
      <c r="P4" s="209" t="n"/>
      <c r="Q4" s="209" t="n"/>
      <c r="R4" s="209" t="n"/>
      <c r="S4" s="209" t="n"/>
      <c r="T4" s="209" t="n"/>
      <c r="U4" s="209" t="n"/>
      <c r="V4" s="209" t="n"/>
      <c r="W4" s="209" t="n"/>
      <c r="X4" s="209" t="n"/>
      <c r="Y4" s="209" t="n"/>
      <c r="Z4" s="209" t="n"/>
      <c r="AA4" s="209" t="n"/>
    </row>
    <row r="5" ht="15" customHeight="1" s="230">
      <c r="A5" s="215">
        <f>IFERROR(SMALL('Master Stock'!$Q$2:$Q$99,ROWS($A$3:A5)),"")</f>
        <v/>
      </c>
      <c r="B5" s="216">
        <f t="array" ref="B5">IF($A5="","",INDEX('Master Stock'!$C$2:$C$99,MATCH($A5,'Master Stock'!$Q$2:$Q$99,0)))</f>
        <v/>
      </c>
      <c r="C5" s="216">
        <f t="array" ref="C5">IF($A5="","",INDEX('Master Stock'!$D$2:$D$99,MATCH($A5,'Master Stock'!$Q$2:$Q$99,0)))</f>
        <v/>
      </c>
      <c r="D5" s="217">
        <f t="array" ref="D5">IF($A5="","",INDEX('Master Stock'!$B$2:$B$99,MATCH($A5,'Master Stock'!$Q$2:$Q$99,0)))</f>
        <v/>
      </c>
      <c r="E5" s="216">
        <f t="array" ref="E5">IF($A5="","",INDEX('Master Stock'!$G$2:$G$99,MATCH($A5,'Master Stock'!$Q$2:$Q$99,0)))</f>
        <v/>
      </c>
      <c r="F5" s="218">
        <f t="array" ref="F5">IF($A5="","",INDEX('Master Stock'!$F$2:$F$99,MATCH($A5,'Master Stock'!$Q$2:$Q$99,0)))</f>
        <v/>
      </c>
      <c r="G5" s="216" t="inlineStr">
        <is>
          <t>A</t>
        </is>
      </c>
      <c r="H5" s="217" t="n"/>
      <c r="I5" s="217">
        <f>IF($A5="","","FIFO - Oldest Receipt First")</f>
        <v/>
      </c>
      <c r="J5" s="209" t="n"/>
      <c r="K5" s="209" t="n"/>
      <c r="L5" s="209" t="n"/>
      <c r="M5" s="209" t="n"/>
      <c r="N5" s="209" t="n"/>
      <c r="O5" s="209" t="n"/>
      <c r="P5" s="209" t="n"/>
      <c r="Q5" s="209" t="n"/>
      <c r="R5" s="209" t="n"/>
      <c r="S5" s="209" t="n"/>
      <c r="T5" s="209" t="n"/>
      <c r="U5" s="209" t="n"/>
      <c r="V5" s="209" t="n"/>
      <c r="W5" s="209" t="n"/>
      <c r="X5" s="209" t="n"/>
      <c r="Y5" s="209" t="n"/>
      <c r="Z5" s="209" t="n"/>
      <c r="AA5" s="209" t="n"/>
    </row>
    <row r="6" ht="15" customHeight="1" s="230">
      <c r="A6" s="215">
        <f>IFERROR(SMALL('Master Stock'!$Q$2:$Q$99,ROWS($A$3:A6)),"")</f>
        <v/>
      </c>
      <c r="B6" s="216">
        <f t="array" ref="B6">IF($A6="","",INDEX('Master Stock'!$C$2:$C$99,MATCH($A6,'Master Stock'!$Q$2:$Q$99,0)))</f>
        <v/>
      </c>
      <c r="C6" s="216">
        <f t="array" ref="C6">IF($A6="","",INDEX('Master Stock'!$D$2:$D$99,MATCH($A6,'Master Stock'!$Q$2:$Q$99,0)))</f>
        <v/>
      </c>
      <c r="D6" s="217">
        <f t="array" ref="D6">IF($A6="","",INDEX('Master Stock'!$B$2:$B$99,MATCH($A6,'Master Stock'!$Q$2:$Q$99,0)))</f>
        <v/>
      </c>
      <c r="E6" s="216">
        <f t="array" ref="E6">IF($A6="","",INDEX('Master Stock'!$G$2:$G$99,MATCH($A6,'Master Stock'!$Q$2:$Q$99,0)))</f>
        <v/>
      </c>
      <c r="F6" s="218">
        <f t="array" ref="F6">IF($A6="","",INDEX('Master Stock'!$F$2:$F$99,MATCH($A6,'Master Stock'!$Q$2:$Q$99,0)))</f>
        <v/>
      </c>
      <c r="G6" s="216" t="inlineStr">
        <is>
          <t>A</t>
        </is>
      </c>
      <c r="H6" s="217" t="n"/>
      <c r="I6" s="217">
        <f>IF($A6="","","FIFO - Oldest Receipt First")</f>
        <v/>
      </c>
      <c r="J6" s="209" t="n"/>
      <c r="K6" s="209" t="n"/>
      <c r="L6" s="209" t="n"/>
      <c r="M6" s="209" t="n"/>
      <c r="N6" s="209" t="n"/>
      <c r="O6" s="209" t="n"/>
      <c r="P6" s="209" t="n"/>
      <c r="Q6" s="209" t="n"/>
      <c r="R6" s="209" t="n"/>
      <c r="S6" s="209" t="n"/>
      <c r="T6" s="209" t="n"/>
      <c r="U6" s="209" t="n"/>
      <c r="V6" s="209" t="n"/>
      <c r="W6" s="209" t="n"/>
      <c r="X6" s="209" t="n"/>
      <c r="Y6" s="209" t="n"/>
      <c r="Z6" s="209" t="n"/>
      <c r="AA6" s="209" t="n"/>
    </row>
    <row r="7" ht="15" customHeight="1" s="230">
      <c r="A7" s="215">
        <f>IFERROR(SMALL('Master Stock'!$Q$2:$Q$99,ROWS($A$3:A7)),"")</f>
        <v/>
      </c>
      <c r="B7" s="216">
        <f t="array" ref="B7">IF($A7="","",INDEX('Master Stock'!$C$2:$C$99,MATCH($A7,'Master Stock'!$Q$2:$Q$99,0)))</f>
        <v/>
      </c>
      <c r="C7" s="216">
        <f t="array" ref="C7">IF($A7="","",INDEX('Master Stock'!$D$2:$D$99,MATCH($A7,'Master Stock'!$Q$2:$Q$99,0)))</f>
        <v/>
      </c>
      <c r="D7" s="217">
        <f t="array" ref="D7">IF($A7="","",INDEX('Master Stock'!$B$2:$B$99,MATCH($A7,'Master Stock'!$Q$2:$Q$99,0)))</f>
        <v/>
      </c>
      <c r="E7" s="216">
        <f t="array" ref="E7">IF($A7="","",INDEX('Master Stock'!$G$2:$G$99,MATCH($A7,'Master Stock'!$Q$2:$Q$99,0)))</f>
        <v/>
      </c>
      <c r="F7" s="218">
        <f t="array" ref="F7">IF($A7="","",INDEX('Master Stock'!$F$2:$F$99,MATCH($A7,'Master Stock'!$Q$2:$Q$99,0)))</f>
        <v/>
      </c>
      <c r="G7" s="216" t="inlineStr">
        <is>
          <t>A</t>
        </is>
      </c>
      <c r="H7" s="217" t="n"/>
      <c r="I7" s="217">
        <f>IF($A7="","","FIFO - Oldest Receipt First")</f>
        <v/>
      </c>
      <c r="J7" s="209" t="n"/>
      <c r="K7" s="209" t="n"/>
      <c r="L7" s="209" t="n"/>
      <c r="M7" s="209" t="n"/>
      <c r="N7" s="209" t="n"/>
      <c r="O7" s="209" t="n"/>
      <c r="P7" s="209" t="n"/>
      <c r="Q7" s="209" t="n"/>
      <c r="R7" s="209" t="n"/>
      <c r="S7" s="209" t="n"/>
      <c r="T7" s="209" t="n"/>
      <c r="U7" s="209" t="n"/>
      <c r="V7" s="209" t="n"/>
      <c r="W7" s="209" t="n"/>
      <c r="X7" s="209" t="n"/>
      <c r="Y7" s="209" t="n"/>
      <c r="Z7" s="209" t="n"/>
      <c r="AA7" s="209" t="n"/>
    </row>
    <row r="8" ht="15" customHeight="1" s="230">
      <c r="A8" s="215">
        <f>IFERROR(SMALL('Master Stock'!$Q$2:$Q$99,ROWS($A$3:A8)),"")</f>
        <v/>
      </c>
      <c r="B8" s="216">
        <f t="array" ref="B8">IF($A8="","",INDEX('Master Stock'!$C$2:$C$99,MATCH($A8,'Master Stock'!$Q$2:$Q$99,0)))</f>
        <v/>
      </c>
      <c r="C8" s="216">
        <f t="array" ref="C8">IF($A8="","",INDEX('Master Stock'!$D$2:$D$99,MATCH($A8,'Master Stock'!$Q$2:$Q$99,0)))</f>
        <v/>
      </c>
      <c r="D8" s="217">
        <f t="array" ref="D8">IF($A8="","",INDEX('Master Stock'!$B$2:$B$99,MATCH($A8,'Master Stock'!$Q$2:$Q$99,0)))</f>
        <v/>
      </c>
      <c r="E8" s="216">
        <f t="array" ref="E8">IF($A8="","",INDEX('Master Stock'!$G$2:$G$99,MATCH($A8,'Master Stock'!$Q$2:$Q$99,0)))</f>
        <v/>
      </c>
      <c r="F8" s="218">
        <f t="array" ref="F8">IF($A8="","",INDEX('Master Stock'!$F$2:$F$99,MATCH($A8,'Master Stock'!$Q$2:$Q$99,0)))</f>
        <v/>
      </c>
      <c r="G8" s="216" t="inlineStr">
        <is>
          <t>A</t>
        </is>
      </c>
      <c r="H8" s="217" t="n"/>
      <c r="I8" s="217">
        <f>IF($A8="","","FIFO - Oldest Receipt First")</f>
        <v/>
      </c>
      <c r="J8" s="209" t="n"/>
      <c r="K8" s="209" t="n"/>
      <c r="L8" s="209" t="n"/>
      <c r="M8" s="209" t="n"/>
      <c r="N8" s="209" t="n"/>
      <c r="O8" s="209" t="n"/>
      <c r="P8" s="209" t="n"/>
      <c r="Q8" s="209" t="n"/>
      <c r="R8" s="209" t="n"/>
      <c r="S8" s="209" t="n"/>
      <c r="T8" s="209" t="n"/>
      <c r="U8" s="209" t="n"/>
      <c r="V8" s="209" t="n"/>
      <c r="W8" s="209" t="n"/>
      <c r="X8" s="209" t="n"/>
      <c r="Y8" s="209" t="n"/>
      <c r="Z8" s="209" t="n"/>
      <c r="AA8" s="209" t="n"/>
    </row>
    <row r="9" ht="15" customHeight="1" s="230">
      <c r="A9" s="215">
        <f>IFERROR(SMALL('Master Stock'!$Q$2:$Q$99,ROWS($A$3:A9)),"")</f>
        <v/>
      </c>
      <c r="B9" s="216">
        <f t="array" ref="B9">IF($A9="","",INDEX('Master Stock'!$C$2:$C$99,MATCH($A9,'Master Stock'!$Q$2:$Q$99,0)))</f>
        <v/>
      </c>
      <c r="C9" s="216">
        <f t="array" ref="C9">IF($A9="","",INDEX('Master Stock'!$D$2:$D$99,MATCH($A9,'Master Stock'!$Q$2:$Q$99,0)))</f>
        <v/>
      </c>
      <c r="D9" s="217">
        <f t="array" ref="D9">IF($A9="","",INDEX('Master Stock'!$B$2:$B$99,MATCH($A9,'Master Stock'!$Q$2:$Q$99,0)))</f>
        <v/>
      </c>
      <c r="E9" s="216">
        <f t="array" ref="E9">IF($A9="","",INDEX('Master Stock'!$G$2:$G$99,MATCH($A9,'Master Stock'!$Q$2:$Q$99,0)))</f>
        <v/>
      </c>
      <c r="F9" s="218">
        <f t="array" ref="F9">IF($A9="","",INDEX('Master Stock'!$F$2:$F$99,MATCH($A9,'Master Stock'!$Q$2:$Q$99,0)))</f>
        <v/>
      </c>
      <c r="G9" s="216" t="inlineStr">
        <is>
          <t>A</t>
        </is>
      </c>
      <c r="H9" s="217" t="n"/>
      <c r="I9" s="217">
        <f>IF($A9="","","FIFO - Oldest Receipt First")</f>
        <v/>
      </c>
      <c r="J9" s="209" t="n"/>
      <c r="K9" s="209" t="n"/>
      <c r="L9" s="209" t="n"/>
      <c r="M9" s="209" t="n"/>
      <c r="N9" s="209" t="n"/>
      <c r="O9" s="209" t="n"/>
      <c r="P9" s="209" t="n"/>
      <c r="Q9" s="209" t="n"/>
      <c r="R9" s="209" t="n"/>
      <c r="S9" s="209" t="n"/>
      <c r="T9" s="209" t="n"/>
      <c r="U9" s="209" t="n"/>
      <c r="V9" s="209" t="n"/>
      <c r="W9" s="209" t="n"/>
      <c r="X9" s="209" t="n"/>
      <c r="Y9" s="209" t="n"/>
      <c r="Z9" s="209" t="n"/>
      <c r="AA9" s="209" t="n"/>
    </row>
    <row r="10" ht="15" customHeight="1" s="230">
      <c r="A10" s="215">
        <f>IFERROR(SMALL('Master Stock'!$Q$2:$Q$99,ROWS($A$3:A10)),"")</f>
        <v/>
      </c>
      <c r="B10" s="216">
        <f t="array" ref="B10">IF($A10="","",INDEX('Master Stock'!$C$2:$C$99,MATCH($A10,'Master Stock'!$Q$2:$Q$99,0)))</f>
        <v/>
      </c>
      <c r="C10" s="216">
        <f t="array" ref="C10">IF($A10="","",INDEX('Master Stock'!$D$2:$D$99,MATCH($A10,'Master Stock'!$Q$2:$Q$99,0)))</f>
        <v/>
      </c>
      <c r="D10" s="217">
        <f t="array" ref="D10">IF($A10="","",INDEX('Master Stock'!$B$2:$B$99,MATCH($A10,'Master Stock'!$Q$2:$Q$99,0)))</f>
        <v/>
      </c>
      <c r="E10" s="216">
        <f t="array" ref="E10">IF($A10="","",INDEX('Master Stock'!$G$2:$G$99,MATCH($A10,'Master Stock'!$Q$2:$Q$99,0)))</f>
        <v/>
      </c>
      <c r="F10" s="218">
        <f t="array" ref="F10">IF($A10="","",INDEX('Master Stock'!$F$2:$F$99,MATCH($A10,'Master Stock'!$Q$2:$Q$99,0)))</f>
        <v/>
      </c>
      <c r="G10" s="216" t="inlineStr">
        <is>
          <t>A</t>
        </is>
      </c>
      <c r="H10" s="217" t="n"/>
      <c r="I10" s="217">
        <f>IF($A10="","","FIFO - Oldest Receipt First")</f>
        <v/>
      </c>
      <c r="J10" s="209" t="n"/>
      <c r="K10" s="209" t="n"/>
      <c r="L10" s="209" t="n"/>
      <c r="M10" s="209" t="n"/>
      <c r="N10" s="209" t="n"/>
      <c r="O10" s="209" t="n"/>
      <c r="P10" s="209" t="n"/>
      <c r="Q10" s="209" t="n"/>
      <c r="R10" s="209" t="n"/>
      <c r="S10" s="209" t="n"/>
      <c r="T10" s="209" t="n"/>
      <c r="U10" s="209" t="n"/>
      <c r="V10" s="209" t="n"/>
      <c r="W10" s="209" t="n"/>
      <c r="X10" s="209" t="n"/>
      <c r="Y10" s="209" t="n"/>
      <c r="Z10" s="209" t="n"/>
      <c r="AA10" s="209" t="n"/>
    </row>
    <row r="11" ht="15" customHeight="1" s="230">
      <c r="A11" s="215">
        <f>IFERROR(SMALL('Master Stock'!$Q$2:$Q$99,ROWS($A$3:A11)),"")</f>
        <v/>
      </c>
      <c r="B11" s="216">
        <f t="array" ref="B11">IF($A11="","",INDEX('Master Stock'!$C$2:$C$99,MATCH($A11,'Master Stock'!$Q$2:$Q$99,0)))</f>
        <v/>
      </c>
      <c r="C11" s="216">
        <f t="array" ref="C11">IF($A11="","",INDEX('Master Stock'!$D$2:$D$99,MATCH($A11,'Master Stock'!$Q$2:$Q$99,0)))</f>
        <v/>
      </c>
      <c r="D11" s="217">
        <f t="array" ref="D11">IF($A11="","",INDEX('Master Stock'!$B$2:$B$99,MATCH($A11,'Master Stock'!$Q$2:$Q$99,0)))</f>
        <v/>
      </c>
      <c r="E11" s="216">
        <f t="array" ref="E11">IF($A11="","",INDEX('Master Stock'!$G$2:$G$99,MATCH($A11,'Master Stock'!$Q$2:$Q$99,0)))</f>
        <v/>
      </c>
      <c r="F11" s="218">
        <f t="array" ref="F11">IF($A11="","",INDEX('Master Stock'!$F$2:$F$99,MATCH($A11,'Master Stock'!$Q$2:$Q$99,0)))</f>
        <v/>
      </c>
      <c r="G11" s="216" t="inlineStr">
        <is>
          <t>A</t>
        </is>
      </c>
      <c r="H11" s="217" t="n"/>
      <c r="I11" s="217">
        <f>IF($A11="","","FIFO - Oldest Receipt First")</f>
        <v/>
      </c>
      <c r="J11" s="209" t="n"/>
      <c r="K11" s="209" t="n"/>
      <c r="L11" s="209" t="n"/>
      <c r="M11" s="209" t="n"/>
      <c r="N11" s="209" t="n"/>
      <c r="O11" s="209" t="n"/>
      <c r="P11" s="209" t="n"/>
      <c r="Q11" s="209" t="n"/>
      <c r="R11" s="209" t="n"/>
      <c r="S11" s="209" t="n"/>
      <c r="T11" s="209" t="n"/>
      <c r="U11" s="209" t="n"/>
      <c r="V11" s="209" t="n"/>
      <c r="W11" s="209" t="n"/>
      <c r="X11" s="209" t="n"/>
      <c r="Y11" s="209" t="n"/>
      <c r="Z11" s="209" t="n"/>
      <c r="AA11" s="209" t="n"/>
    </row>
    <row r="12" ht="15" customHeight="1" s="230">
      <c r="A12" s="215">
        <f>IFERROR(SMALL('Master Stock'!$Q$2:$Q$99,ROWS($A$3:A12)),"")</f>
        <v/>
      </c>
      <c r="B12" s="216">
        <f t="array" ref="B12">IF($A12="","",INDEX('Master Stock'!$C$2:$C$99,MATCH($A12,'Master Stock'!$Q$2:$Q$99,0)))</f>
        <v/>
      </c>
      <c r="C12" s="216">
        <f t="array" ref="C12">IF($A12="","",INDEX('Master Stock'!$D$2:$D$99,MATCH($A12,'Master Stock'!$Q$2:$Q$99,0)))</f>
        <v/>
      </c>
      <c r="D12" s="217">
        <f t="array" ref="D12">IF($A12="","",INDEX('Master Stock'!$B$2:$B$99,MATCH($A12,'Master Stock'!$Q$2:$Q$99,0)))</f>
        <v/>
      </c>
      <c r="E12" s="216">
        <f t="array" ref="E12">IF($A12="","",INDEX('Master Stock'!$G$2:$G$99,MATCH($A12,'Master Stock'!$Q$2:$Q$99,0)))</f>
        <v/>
      </c>
      <c r="F12" s="218">
        <f t="array" ref="F12">IF($A12="","",INDEX('Master Stock'!$F$2:$F$99,MATCH($A12,'Master Stock'!$Q$2:$Q$99,0)))</f>
        <v/>
      </c>
      <c r="G12" s="216" t="inlineStr">
        <is>
          <t>A</t>
        </is>
      </c>
      <c r="H12" s="217" t="n"/>
      <c r="I12" s="217">
        <f>IF($A12="","","FIFO - Oldest Receipt First")</f>
        <v/>
      </c>
      <c r="J12" s="209" t="n"/>
      <c r="K12" s="209" t="n"/>
      <c r="L12" s="209" t="n"/>
      <c r="M12" s="209" t="n"/>
      <c r="N12" s="209" t="n"/>
      <c r="O12" s="209" t="n"/>
      <c r="P12" s="209" t="n"/>
      <c r="Q12" s="209" t="n"/>
      <c r="R12" s="209" t="n"/>
      <c r="S12" s="209" t="n"/>
      <c r="T12" s="209" t="n"/>
      <c r="U12" s="209" t="n"/>
      <c r="V12" s="209" t="n"/>
      <c r="W12" s="209" t="n"/>
      <c r="X12" s="209" t="n"/>
      <c r="Y12" s="209" t="n"/>
      <c r="Z12" s="209" t="n"/>
      <c r="AA12" s="209" t="n"/>
    </row>
    <row r="13" ht="15" customHeight="1" s="230">
      <c r="A13" s="215">
        <f>IFERROR(SMALL('Master Stock'!$Q$2:$Q$99,ROWS($A$3:A13)),"")</f>
        <v/>
      </c>
      <c r="B13" s="216">
        <f t="array" ref="B13">IF($A13="","",INDEX('Master Stock'!$C$2:$C$99,MATCH($A13,'Master Stock'!$Q$2:$Q$99,0)))</f>
        <v/>
      </c>
      <c r="C13" s="216">
        <f t="array" ref="C13">IF($A13="","",INDEX('Master Stock'!$D$2:$D$99,MATCH($A13,'Master Stock'!$Q$2:$Q$99,0)))</f>
        <v/>
      </c>
      <c r="D13" s="217">
        <f t="array" ref="D13">IF($A13="","",INDEX('Master Stock'!$B$2:$B$99,MATCH($A13,'Master Stock'!$Q$2:$Q$99,0)))</f>
        <v/>
      </c>
      <c r="E13" s="216">
        <f t="array" ref="E13">IF($A13="","",INDEX('Master Stock'!$G$2:$G$99,MATCH($A13,'Master Stock'!$Q$2:$Q$99,0)))</f>
        <v/>
      </c>
      <c r="F13" s="218">
        <f t="array" ref="F13">IF($A13="","",INDEX('Master Stock'!$F$2:$F$99,MATCH($A13,'Master Stock'!$Q$2:$Q$99,0)))</f>
        <v/>
      </c>
      <c r="G13" s="216" t="inlineStr">
        <is>
          <t>A</t>
        </is>
      </c>
      <c r="H13" s="217" t="n"/>
      <c r="I13" s="217">
        <f>IF($A13="","","FIFO - Oldest Receipt First")</f>
        <v/>
      </c>
      <c r="J13" s="209" t="n"/>
      <c r="K13" s="209" t="n"/>
      <c r="L13" s="209" t="n"/>
      <c r="M13" s="209" t="n"/>
      <c r="N13" s="209" t="n"/>
      <c r="O13" s="209" t="n"/>
      <c r="P13" s="209" t="n"/>
      <c r="Q13" s="209" t="n"/>
      <c r="R13" s="209" t="n"/>
      <c r="S13" s="209" t="n"/>
      <c r="T13" s="209" t="n"/>
      <c r="U13" s="209" t="n"/>
      <c r="V13" s="209" t="n"/>
      <c r="W13" s="209" t="n"/>
      <c r="X13" s="209" t="n"/>
      <c r="Y13" s="209" t="n"/>
      <c r="Z13" s="209" t="n"/>
      <c r="AA13" s="209" t="n"/>
    </row>
    <row r="14" ht="15" customHeight="1" s="230">
      <c r="A14" s="215">
        <f>IFERROR(SMALL('Master Stock'!$Q$2:$Q$99,ROWS($A$3:A14)),"")</f>
        <v/>
      </c>
      <c r="B14" s="216">
        <f t="array" ref="B14">IF($A14="","",INDEX('Master Stock'!$C$2:$C$99,MATCH($A14,'Master Stock'!$Q$2:$Q$99,0)))</f>
        <v/>
      </c>
      <c r="C14" s="216">
        <f t="array" ref="C14">IF($A14="","",INDEX('Master Stock'!$D$2:$D$99,MATCH($A14,'Master Stock'!$Q$2:$Q$99,0)))</f>
        <v/>
      </c>
      <c r="D14" s="217">
        <f t="array" ref="D14">IF($A14="","",INDEX('Master Stock'!$B$2:$B$99,MATCH($A14,'Master Stock'!$Q$2:$Q$99,0)))</f>
        <v/>
      </c>
      <c r="E14" s="216">
        <f t="array" ref="E14">IF($A14="","",INDEX('Master Stock'!$G$2:$G$99,MATCH($A14,'Master Stock'!$Q$2:$Q$99,0)))</f>
        <v/>
      </c>
      <c r="F14" s="218">
        <f t="array" ref="F14">IF($A14="","",INDEX('Master Stock'!$F$2:$F$99,MATCH($A14,'Master Stock'!$Q$2:$Q$99,0)))</f>
        <v/>
      </c>
      <c r="G14" s="216" t="inlineStr">
        <is>
          <t>A</t>
        </is>
      </c>
      <c r="H14" s="217" t="n"/>
      <c r="I14" s="217">
        <f>IF($A14="","","FIFO - Oldest Receipt First")</f>
        <v/>
      </c>
      <c r="J14" s="209" t="n"/>
      <c r="K14" s="209" t="n"/>
      <c r="L14" s="209" t="n"/>
      <c r="M14" s="209" t="n"/>
      <c r="N14" s="209" t="n"/>
      <c r="O14" s="209" t="n"/>
      <c r="P14" s="209" t="n"/>
      <c r="Q14" s="209" t="n"/>
      <c r="R14" s="209" t="n"/>
      <c r="S14" s="209" t="n"/>
      <c r="T14" s="209" t="n"/>
      <c r="U14" s="209" t="n"/>
      <c r="V14" s="209" t="n"/>
      <c r="W14" s="209" t="n"/>
      <c r="X14" s="209" t="n"/>
      <c r="Y14" s="209" t="n"/>
      <c r="Z14" s="209" t="n"/>
      <c r="AA14" s="209" t="n"/>
    </row>
    <row r="15" ht="15" customHeight="1" s="230">
      <c r="A15" s="215">
        <f>IFERROR(SMALL('Master Stock'!$Q$2:$Q$99,ROWS($A$3:A15)),"")</f>
        <v/>
      </c>
      <c r="B15" s="216">
        <f t="array" ref="B15">IF($A15="","",INDEX('Master Stock'!$C$2:$C$99,MATCH($A15,'Master Stock'!$Q$2:$Q$99,0)))</f>
        <v/>
      </c>
      <c r="C15" s="216">
        <f t="array" ref="C15">IF($A15="","",INDEX('Master Stock'!$D$2:$D$99,MATCH($A15,'Master Stock'!$Q$2:$Q$99,0)))</f>
        <v/>
      </c>
      <c r="D15" s="217">
        <f t="array" ref="D15">IF($A15="","",INDEX('Master Stock'!$B$2:$B$99,MATCH($A15,'Master Stock'!$Q$2:$Q$99,0)))</f>
        <v/>
      </c>
      <c r="E15" s="216">
        <f t="array" ref="E15">IF($A15="","",INDEX('Master Stock'!$G$2:$G$99,MATCH($A15,'Master Stock'!$Q$2:$Q$99,0)))</f>
        <v/>
      </c>
      <c r="F15" s="218">
        <f t="array" ref="F15">IF($A15="","",INDEX('Master Stock'!$F$2:$F$99,MATCH($A15,'Master Stock'!$Q$2:$Q$99,0)))</f>
        <v/>
      </c>
      <c r="G15" s="216" t="inlineStr">
        <is>
          <t>A</t>
        </is>
      </c>
      <c r="H15" s="217" t="n"/>
      <c r="I15" s="217">
        <f>IF($A15="","","FIFO - Oldest Receipt First")</f>
        <v/>
      </c>
      <c r="J15" s="209" t="n"/>
      <c r="K15" s="209" t="n"/>
      <c r="L15" s="209" t="n"/>
      <c r="M15" s="209" t="n"/>
      <c r="N15" s="209" t="n"/>
      <c r="O15" s="209" t="n"/>
      <c r="P15" s="209" t="n"/>
      <c r="Q15" s="209" t="n"/>
      <c r="R15" s="209" t="n"/>
      <c r="S15" s="209" t="n"/>
      <c r="T15" s="209" t="n"/>
      <c r="U15" s="209" t="n"/>
      <c r="V15" s="209" t="n"/>
      <c r="W15" s="209" t="n"/>
      <c r="X15" s="209" t="n"/>
      <c r="Y15" s="209" t="n"/>
      <c r="Z15" s="209" t="n"/>
      <c r="AA15" s="209" t="n"/>
    </row>
    <row r="16" ht="15" customHeight="1" s="230">
      <c r="A16" s="215">
        <f>IFERROR(SMALL('Master Stock'!$Q$2:$Q$99,ROWS($A$3:A16)),"")</f>
        <v/>
      </c>
      <c r="B16" s="216">
        <f t="array" ref="B16">IF($A16="","",INDEX('Master Stock'!$C$2:$C$99,MATCH($A16,'Master Stock'!$Q$2:$Q$99,0)))</f>
        <v/>
      </c>
      <c r="C16" s="216">
        <f t="array" ref="C16">IF($A16="","",INDEX('Master Stock'!$D$2:$D$99,MATCH($A16,'Master Stock'!$Q$2:$Q$99,0)))</f>
        <v/>
      </c>
      <c r="D16" s="217">
        <f t="array" ref="D16">IF($A16="","",INDEX('Master Stock'!$B$2:$B$99,MATCH($A16,'Master Stock'!$Q$2:$Q$99,0)))</f>
        <v/>
      </c>
      <c r="E16" s="216">
        <f t="array" ref="E16">IF($A16="","",INDEX('Master Stock'!$G$2:$G$99,MATCH($A16,'Master Stock'!$Q$2:$Q$99,0)))</f>
        <v/>
      </c>
      <c r="F16" s="218">
        <f t="array" ref="F16">IF($A16="","",INDEX('Master Stock'!$F$2:$F$99,MATCH($A16,'Master Stock'!$Q$2:$Q$99,0)))</f>
        <v/>
      </c>
      <c r="G16" s="216" t="inlineStr">
        <is>
          <t>A</t>
        </is>
      </c>
      <c r="H16" s="217" t="n"/>
      <c r="I16" s="217">
        <f>IF($A16="","","FIFO - Oldest Receipt First")</f>
        <v/>
      </c>
      <c r="J16" s="209" t="n"/>
      <c r="K16" s="209" t="n"/>
      <c r="L16" s="209" t="n"/>
      <c r="M16" s="209" t="n"/>
      <c r="N16" s="209" t="n"/>
      <c r="O16" s="209" t="n"/>
      <c r="P16" s="209" t="n"/>
      <c r="Q16" s="209" t="n"/>
      <c r="R16" s="209" t="n"/>
      <c r="S16" s="209" t="n"/>
      <c r="T16" s="209" t="n"/>
      <c r="U16" s="209" t="n"/>
      <c r="V16" s="209" t="n"/>
      <c r="W16" s="209" t="n"/>
      <c r="X16" s="209" t="n"/>
      <c r="Y16" s="209" t="n"/>
      <c r="Z16" s="209" t="n"/>
      <c r="AA16" s="209" t="n"/>
    </row>
    <row r="17" ht="15" customHeight="1" s="230">
      <c r="A17" s="215">
        <f>IFERROR(SMALL('Master Stock'!$Q$2:$Q$99,ROWS($A$3:A17)),"")</f>
        <v/>
      </c>
      <c r="B17" s="216">
        <f t="array" ref="B17">IF($A17="","",INDEX('Master Stock'!$C$2:$C$99,MATCH($A17,'Master Stock'!$Q$2:$Q$99,0)))</f>
        <v/>
      </c>
      <c r="C17" s="216">
        <f t="array" ref="C17">IF($A17="","",INDEX('Master Stock'!$D$2:$D$99,MATCH($A17,'Master Stock'!$Q$2:$Q$99,0)))</f>
        <v/>
      </c>
      <c r="D17" s="217">
        <f t="array" ref="D17">IF($A17="","",INDEX('Master Stock'!$B$2:$B$99,MATCH($A17,'Master Stock'!$Q$2:$Q$99,0)))</f>
        <v/>
      </c>
      <c r="E17" s="216">
        <f t="array" ref="E17">IF($A17="","",INDEX('Master Stock'!$G$2:$G$99,MATCH($A17,'Master Stock'!$Q$2:$Q$99,0)))</f>
        <v/>
      </c>
      <c r="F17" s="218">
        <f t="array" ref="F17">IF($A17="","",INDEX('Master Stock'!$F$2:$F$99,MATCH($A17,'Master Stock'!$Q$2:$Q$99,0)))</f>
        <v/>
      </c>
      <c r="G17" s="216" t="n"/>
      <c r="H17" s="217" t="n"/>
      <c r="I17" s="217">
        <f>IF($A17="","","FIFO - Oldest Receipt First")</f>
        <v/>
      </c>
      <c r="J17" s="209" t="n"/>
      <c r="K17" s="209" t="n"/>
      <c r="L17" s="209" t="n"/>
      <c r="M17" s="209" t="n"/>
      <c r="N17" s="209" t="n"/>
      <c r="O17" s="209" t="n"/>
      <c r="P17" s="209" t="n"/>
      <c r="Q17" s="209" t="n"/>
      <c r="R17" s="209" t="n"/>
      <c r="S17" s="209" t="n"/>
      <c r="T17" s="209" t="n"/>
      <c r="U17" s="209" t="n"/>
      <c r="V17" s="209" t="n"/>
      <c r="W17" s="209" t="n"/>
      <c r="X17" s="209" t="n"/>
      <c r="Y17" s="209" t="n"/>
      <c r="Z17" s="209" t="n"/>
      <c r="AA17" s="209" t="n"/>
    </row>
    <row r="18" ht="15" customHeight="1" s="230">
      <c r="A18" s="215">
        <f>IFERROR(SMALL('Master Stock'!$Q$2:$Q$99,ROWS($A$3:A18)),"")</f>
        <v/>
      </c>
      <c r="B18" s="216">
        <f t="array" ref="B18">IF($A18="","",INDEX('Master Stock'!$C$2:$C$99,MATCH($A18,'Master Stock'!$Q$2:$Q$99,0)))</f>
        <v/>
      </c>
      <c r="C18" s="216">
        <f t="array" ref="C18">IF($A18="","",INDEX('Master Stock'!$D$2:$D$99,MATCH($A18,'Master Stock'!$Q$2:$Q$99,0)))</f>
        <v/>
      </c>
      <c r="D18" s="217">
        <f t="array" ref="D18">IF($A18="","",INDEX('Master Stock'!$B$2:$B$99,MATCH($A18,'Master Stock'!$Q$2:$Q$99,0)))</f>
        <v/>
      </c>
      <c r="E18" s="216">
        <f t="array" ref="E18">IF($A18="","",INDEX('Master Stock'!$G$2:$G$99,MATCH($A18,'Master Stock'!$Q$2:$Q$99,0)))</f>
        <v/>
      </c>
      <c r="F18" s="218">
        <f t="array" ref="F18">IF($A18="","",INDEX('Master Stock'!$F$2:$F$99,MATCH($A18,'Master Stock'!$Q$2:$Q$99,0)))</f>
        <v/>
      </c>
      <c r="G18" s="216" t="n"/>
      <c r="H18" s="217" t="n"/>
      <c r="I18" s="217">
        <f>IF($A18="","","FIFO - Oldest Receipt First")</f>
        <v/>
      </c>
      <c r="J18" s="209" t="n"/>
      <c r="K18" s="209" t="n"/>
      <c r="L18" s="209" t="n"/>
      <c r="M18" s="209" t="n"/>
      <c r="N18" s="209" t="n"/>
      <c r="O18" s="209" t="n"/>
      <c r="P18" s="209" t="n"/>
      <c r="Q18" s="209" t="n"/>
      <c r="R18" s="209" t="n"/>
      <c r="S18" s="209" t="n"/>
      <c r="T18" s="209" t="n"/>
      <c r="U18" s="209" t="n"/>
      <c r="V18" s="209" t="n"/>
      <c r="W18" s="209" t="n"/>
      <c r="X18" s="209" t="n"/>
      <c r="Y18" s="209" t="n"/>
      <c r="Z18" s="209" t="n"/>
      <c r="AA18" s="209" t="n"/>
    </row>
    <row r="19" ht="15" customHeight="1" s="230">
      <c r="A19" s="215">
        <f>IFERROR(SMALL('Master Stock'!$Q$2:$Q$99,ROWS($A$3:A19)),"")</f>
        <v/>
      </c>
      <c r="B19" s="216">
        <f t="array" ref="B19">IF($A19="","",INDEX('Master Stock'!$C$2:$C$99,MATCH($A19,'Master Stock'!$Q$2:$Q$99,0)))</f>
        <v/>
      </c>
      <c r="C19" s="216">
        <f t="array" ref="C19">IF($A19="","",INDEX('Master Stock'!$D$2:$D$99,MATCH($A19,'Master Stock'!$Q$2:$Q$99,0)))</f>
        <v/>
      </c>
      <c r="D19" s="217">
        <f t="array" ref="D19">IF($A19="","",INDEX('Master Stock'!$B$2:$B$99,MATCH($A19,'Master Stock'!$Q$2:$Q$99,0)))</f>
        <v/>
      </c>
      <c r="E19" s="216">
        <f t="array" ref="E19">IF($A19="","",INDEX('Master Stock'!$G$2:$G$99,MATCH($A19,'Master Stock'!$Q$2:$Q$99,0)))</f>
        <v/>
      </c>
      <c r="F19" s="218">
        <f t="array" ref="F19">IF($A19="","",INDEX('Master Stock'!$F$2:$F$99,MATCH($A19,'Master Stock'!$Q$2:$Q$99,0)))</f>
        <v/>
      </c>
      <c r="G19" s="216" t="n"/>
      <c r="H19" s="217" t="n"/>
      <c r="I19" s="217">
        <f>IF($A19="","","FIFO - Oldest Receipt First")</f>
        <v/>
      </c>
      <c r="J19" s="209" t="n"/>
      <c r="K19" s="209" t="n"/>
      <c r="L19" s="209" t="n"/>
      <c r="M19" s="209" t="n"/>
      <c r="N19" s="209" t="n"/>
      <c r="O19" s="209" t="n"/>
      <c r="P19" s="209" t="n"/>
      <c r="Q19" s="209" t="n"/>
      <c r="R19" s="209" t="n"/>
      <c r="S19" s="209" t="n"/>
      <c r="T19" s="209" t="n"/>
      <c r="U19" s="209" t="n"/>
      <c r="V19" s="209" t="n"/>
      <c r="W19" s="209" t="n"/>
      <c r="X19" s="209" t="n"/>
      <c r="Y19" s="209" t="n"/>
      <c r="Z19" s="209" t="n"/>
      <c r="AA19" s="209" t="n"/>
    </row>
    <row r="20" ht="15" customHeight="1" s="230">
      <c r="A20" s="215">
        <f>IFERROR(SMALL('Master Stock'!$Q$2:$Q$99,ROWS($A$3:A20)),"")</f>
        <v/>
      </c>
      <c r="B20" s="216">
        <f t="array" ref="B20">IF($A20="","",INDEX('Master Stock'!$C$2:$C$99,MATCH($A20,'Master Stock'!$Q$2:$Q$99,0)))</f>
        <v/>
      </c>
      <c r="C20" s="216">
        <f t="array" ref="C20">IF($A20="","",INDEX('Master Stock'!$D$2:$D$99,MATCH($A20,'Master Stock'!$Q$2:$Q$99,0)))</f>
        <v/>
      </c>
      <c r="D20" s="217">
        <f t="array" ref="D20">IF($A20="","",INDEX('Master Stock'!$B$2:$B$99,MATCH($A20,'Master Stock'!$Q$2:$Q$99,0)))</f>
        <v/>
      </c>
      <c r="E20" s="216">
        <f t="array" ref="E20">IF($A20="","",INDEX('Master Stock'!$G$2:$G$99,MATCH($A20,'Master Stock'!$Q$2:$Q$99,0)))</f>
        <v/>
      </c>
      <c r="F20" s="218">
        <f t="array" ref="F20">IF($A20="","",INDEX('Master Stock'!$F$2:$F$99,MATCH($A20,'Master Stock'!$Q$2:$Q$99,0)))</f>
        <v/>
      </c>
      <c r="G20" s="216">
        <f>IF($A20="","","Wheat")</f>
        <v/>
      </c>
      <c r="H20" s="217" t="n"/>
      <c r="I20" s="217">
        <f>IF($A20="","","FIFO - Oldest Receipt First")</f>
        <v/>
      </c>
      <c r="J20" s="209" t="n"/>
      <c r="K20" s="209" t="n"/>
      <c r="L20" s="209" t="n"/>
      <c r="M20" s="209" t="n"/>
      <c r="N20" s="209" t="n"/>
      <c r="O20" s="209" t="n"/>
      <c r="P20" s="209" t="n"/>
      <c r="Q20" s="209" t="n"/>
      <c r="R20" s="209" t="n"/>
      <c r="S20" s="209" t="n"/>
      <c r="T20" s="209" t="n"/>
      <c r="U20" s="209" t="n"/>
      <c r="V20" s="209" t="n"/>
      <c r="W20" s="209" t="n"/>
      <c r="X20" s="209" t="n"/>
      <c r="Y20" s="209" t="n"/>
      <c r="Z20" s="209" t="n"/>
      <c r="AA20" s="209" t="n"/>
    </row>
    <row r="21" ht="15" customHeight="1" s="230">
      <c r="A21" s="219">
        <f>IFERROR(SMALL('Master Stock'!$Q$2:$Q$99,ROWS($A$3:A21)),"")</f>
        <v/>
      </c>
      <c r="B21" s="211">
        <f t="array" ref="B21">IF($A21="","",INDEX('Master Stock'!$C$2:$C$99,MATCH($A21,'Master Stock'!$Q$2:$Q$99,0)))</f>
        <v/>
      </c>
      <c r="C21" s="211">
        <f t="array" ref="C21">IF($A21="","",INDEX('Master Stock'!$D$2:$D$99,MATCH($A21,'Master Stock'!$Q$2:$Q$99,0)))</f>
        <v/>
      </c>
      <c r="D21" s="214">
        <f t="array" ref="D21">IF($A21="","",INDEX('Master Stock'!$B$2:$B$99,MATCH($A21,'Master Stock'!$Q$2:$Q$99,0)))</f>
        <v/>
      </c>
      <c r="E21" s="211">
        <f t="array" ref="E21">IF($A21="","",INDEX('Master Stock'!$G$2:$G$99,MATCH($A21,'Master Stock'!$Q$2:$Q$99,0)))</f>
        <v/>
      </c>
      <c r="F21" s="213">
        <f t="array" ref="F21">IF($A21="","",INDEX('Master Stock'!$F$2:$F$99,MATCH($A21,'Master Stock'!$Q$2:$Q$99,0)))</f>
        <v/>
      </c>
      <c r="G21" s="211">
        <f>IF($A21="","","Wheat")</f>
        <v/>
      </c>
      <c r="H21" s="214" t="n"/>
      <c r="I21" s="214">
        <f>IF($A21="","","FIFO - Oldest Receipt First")</f>
        <v/>
      </c>
      <c r="J21" s="209" t="n"/>
      <c r="K21" s="209" t="n"/>
      <c r="L21" s="209" t="n"/>
      <c r="M21" s="209" t="n"/>
      <c r="N21" s="209" t="n"/>
      <c r="O21" s="209" t="n"/>
      <c r="P21" s="209" t="n"/>
      <c r="Q21" s="209" t="n"/>
      <c r="R21" s="209" t="n"/>
      <c r="S21" s="209" t="n"/>
      <c r="T21" s="209" t="n"/>
      <c r="U21" s="209" t="n"/>
      <c r="V21" s="209" t="n"/>
      <c r="W21" s="209" t="n"/>
      <c r="X21" s="209" t="n"/>
      <c r="Y21" s="209" t="n"/>
      <c r="Z21" s="209" t="n"/>
      <c r="AA21" s="209" t="n"/>
    </row>
    <row r="22" ht="15" customHeight="1" s="230">
      <c r="A22" s="219">
        <f>IFERROR(SMALL('Master Stock'!$Q$2:$Q$99,ROWS($A$3:A22)),"")</f>
        <v/>
      </c>
      <c r="B22" s="211">
        <f t="array" ref="B22">IF($A22="","",INDEX('Master Stock'!$C$2:$C$99,MATCH($A22,'Master Stock'!$Q$2:$Q$99,0)))</f>
        <v/>
      </c>
      <c r="C22" s="211">
        <f t="array" ref="C22">IF($A22="","",INDEX('Master Stock'!$D$2:$D$99,MATCH($A22,'Master Stock'!$Q$2:$Q$99,0)))</f>
        <v/>
      </c>
      <c r="D22" s="214">
        <f t="array" ref="D22">IF($A22="","",INDEX('Master Stock'!$B$2:$B$99,MATCH($A22,'Master Stock'!$Q$2:$Q$99,0)))</f>
        <v/>
      </c>
      <c r="E22" s="211">
        <f t="array" ref="E22">IF($A22="","",INDEX('Master Stock'!$G$2:$G$99,MATCH($A22,'Master Stock'!$Q$2:$Q$99,0)))</f>
        <v/>
      </c>
      <c r="F22" s="213">
        <f t="array" ref="F22">IF($A22="","",INDEX('Master Stock'!$F$2:$F$99,MATCH($A22,'Master Stock'!$Q$2:$Q$99,0)))</f>
        <v/>
      </c>
      <c r="G22" s="211">
        <f>IF($A22="","","Wheat")</f>
        <v/>
      </c>
      <c r="H22" s="214" t="n"/>
      <c r="I22" s="214">
        <f>IF($A22="","","FIFO - Oldest Receipt First")</f>
        <v/>
      </c>
      <c r="J22" s="209" t="n"/>
      <c r="K22" s="209" t="n"/>
      <c r="L22" s="209" t="n"/>
      <c r="M22" s="209" t="n"/>
      <c r="N22" s="209" t="n"/>
      <c r="O22" s="209" t="n"/>
      <c r="P22" s="209" t="n"/>
      <c r="Q22" s="209" t="n"/>
      <c r="R22" s="209" t="n"/>
      <c r="S22" s="209" t="n"/>
      <c r="T22" s="209" t="n"/>
      <c r="U22" s="209" t="n"/>
      <c r="V22" s="209" t="n"/>
      <c r="W22" s="209" t="n"/>
      <c r="X22" s="209" t="n"/>
      <c r="Y22" s="209" t="n"/>
      <c r="Z22" s="209" t="n"/>
      <c r="AA22" s="209" t="n"/>
    </row>
    <row r="23" ht="15" customHeight="1" s="230">
      <c r="A23" s="219">
        <f>IFERROR(SMALL('Master Stock'!$Q$2:$Q$99,ROWS($A$3:A23)),"")</f>
        <v/>
      </c>
      <c r="B23" s="211">
        <f t="array" ref="B23">IF($A23="","",INDEX('Master Stock'!$C$2:$C$99,MATCH($A23,'Master Stock'!$Q$2:$Q$99,0)))</f>
        <v/>
      </c>
      <c r="C23" s="211">
        <f t="array" ref="C23">IF($A23="","",INDEX('Master Stock'!$D$2:$D$99,MATCH($A23,'Master Stock'!$Q$2:$Q$99,0)))</f>
        <v/>
      </c>
      <c r="D23" s="214">
        <f t="array" ref="D23">IF($A23="","",INDEX('Master Stock'!$B$2:$B$99,MATCH($A23,'Master Stock'!$Q$2:$Q$99,0)))</f>
        <v/>
      </c>
      <c r="E23" s="211">
        <f t="array" ref="E23">IF($A23="","",INDEX('Master Stock'!$G$2:$G$99,MATCH($A23,'Master Stock'!$Q$2:$Q$99,0)))</f>
        <v/>
      </c>
      <c r="F23" s="213">
        <f t="array" ref="F23">IF($A23="","",INDEX('Master Stock'!$F$2:$F$99,MATCH($A23,'Master Stock'!$Q$2:$Q$99,0)))</f>
        <v/>
      </c>
      <c r="G23" s="211">
        <f>IF($A23="","","Wheat")</f>
        <v/>
      </c>
      <c r="H23" s="214" t="n"/>
      <c r="I23" s="214">
        <f>IF($A23="","","FIFO - Oldest Receipt First")</f>
        <v/>
      </c>
      <c r="J23" s="209" t="n"/>
      <c r="K23" s="209" t="n"/>
      <c r="L23" s="209" t="n"/>
      <c r="M23" s="209" t="n"/>
      <c r="N23" s="209" t="n"/>
      <c r="O23" s="209" t="n"/>
      <c r="P23" s="209" t="n"/>
      <c r="Q23" s="209" t="n"/>
      <c r="R23" s="209" t="n"/>
      <c r="S23" s="209" t="n"/>
      <c r="T23" s="209" t="n"/>
      <c r="U23" s="209" t="n"/>
      <c r="V23" s="209" t="n"/>
      <c r="W23" s="209" t="n"/>
      <c r="X23" s="209" t="n"/>
      <c r="Y23" s="209" t="n"/>
      <c r="Z23" s="209" t="n"/>
      <c r="AA23" s="209" t="n"/>
    </row>
    <row r="24" ht="15" customHeight="1" s="230">
      <c r="A24" s="219">
        <f>IFERROR(SMALL('Master Stock'!$Q$2:$Q$99,ROWS($A$3:A24)),"")</f>
        <v/>
      </c>
      <c r="B24" s="211">
        <f t="array" ref="B24">IF($A24="","",INDEX('Master Stock'!$C$2:$C$99,MATCH($A24,'Master Stock'!$Q$2:$Q$99,0)))</f>
        <v/>
      </c>
      <c r="C24" s="211">
        <f t="array" ref="C24">IF($A24="","",INDEX('Master Stock'!$D$2:$D$99,MATCH($A24,'Master Stock'!$Q$2:$Q$99,0)))</f>
        <v/>
      </c>
      <c r="D24" s="214">
        <f t="array" ref="D24">IF($A24="","",INDEX('Master Stock'!$B$2:$B$99,MATCH($A24,'Master Stock'!$Q$2:$Q$99,0)))</f>
        <v/>
      </c>
      <c r="E24" s="211">
        <f t="array" ref="E24">IF($A24="","",INDEX('Master Stock'!$G$2:$G$99,MATCH($A24,'Master Stock'!$Q$2:$Q$99,0)))</f>
        <v/>
      </c>
      <c r="F24" s="213">
        <f t="array" ref="F24">IF($A24="","",INDEX('Master Stock'!$F$2:$F$99,MATCH($A24,'Master Stock'!$Q$2:$Q$99,0)))</f>
        <v/>
      </c>
      <c r="G24" s="211">
        <f>IF($A24="","","Wheat")</f>
        <v/>
      </c>
      <c r="H24" s="214" t="n"/>
      <c r="I24" s="214">
        <f>IF($A24="","","FIFO - Oldest Receipt First")</f>
        <v/>
      </c>
      <c r="J24" s="209" t="n"/>
      <c r="K24" s="209" t="n"/>
      <c r="L24" s="209" t="n"/>
      <c r="M24" s="209" t="n"/>
      <c r="N24" s="209" t="n"/>
      <c r="O24" s="209" t="n"/>
      <c r="P24" s="209" t="n"/>
      <c r="Q24" s="209" t="n"/>
      <c r="R24" s="209" t="n"/>
      <c r="S24" s="209" t="n"/>
      <c r="T24" s="209" t="n"/>
      <c r="U24" s="209" t="n"/>
      <c r="V24" s="209" t="n"/>
      <c r="W24" s="209" t="n"/>
      <c r="X24" s="209" t="n"/>
      <c r="Y24" s="209" t="n"/>
      <c r="Z24" s="209" t="n"/>
      <c r="AA24" s="209" t="n"/>
    </row>
    <row r="25" hidden="1" ht="15" customHeight="1" s="230">
      <c r="A25" s="219">
        <f>IFERROR(SMALL('Master Stock'!$Q$2:$Q$99,ROWS($A$3:A25)),"")</f>
        <v/>
      </c>
      <c r="B25" s="211">
        <f t="array" ref="B25">IF($A25="","",INDEX('Master Stock'!$C$2:$C$99,MATCH($A25,'Master Stock'!$Q$2:$Q$99,0)))</f>
        <v/>
      </c>
      <c r="C25" s="211">
        <f t="array" ref="C25">IF($A25="","",INDEX('Master Stock'!$D$2:$D$99,MATCH($A25,'Master Stock'!$Q$2:$Q$99,0)))</f>
        <v/>
      </c>
      <c r="D25" s="214">
        <f t="array" ref="D25">IF($A25="","",INDEX('Master Stock'!$B$2:$B$99,MATCH($A25,'Master Stock'!$Q$2:$Q$99,0)))</f>
        <v/>
      </c>
      <c r="E25" s="211">
        <f t="array" ref="E25">IF($A25="","",INDEX('Master Stock'!$G$2:$G$99,MATCH($A25,'Master Stock'!$Q$2:$Q$99,0)))</f>
        <v/>
      </c>
      <c r="F25" s="213">
        <f t="array" ref="F25">IF($A25="","",INDEX('Master Stock'!$F$2:$F$99,MATCH($A25,'Master Stock'!$Q$2:$Q$99,0)))</f>
        <v/>
      </c>
      <c r="G25" s="211">
        <f>IF($A25="","","Wheat")</f>
        <v/>
      </c>
      <c r="H25" s="214" t="n"/>
      <c r="I25" s="214">
        <f>IF($A25="","","FIFO - Oldest Receipt First")</f>
        <v/>
      </c>
      <c r="J25" s="209" t="n"/>
      <c r="K25" s="209" t="n"/>
      <c r="L25" s="209" t="n"/>
      <c r="M25" s="209" t="n"/>
      <c r="N25" s="209" t="n"/>
      <c r="O25" s="209" t="n"/>
      <c r="P25" s="209" t="n"/>
      <c r="Q25" s="209" t="n"/>
      <c r="R25" s="209" t="n"/>
      <c r="S25" s="209" t="n"/>
      <c r="T25" s="209" t="n"/>
      <c r="U25" s="209" t="n"/>
      <c r="V25" s="209" t="n"/>
      <c r="W25" s="209" t="n"/>
      <c r="X25" s="209" t="n"/>
      <c r="Y25" s="209" t="n"/>
      <c r="Z25" s="209" t="n"/>
      <c r="AA25" s="209" t="n"/>
    </row>
    <row r="26" hidden="1" ht="15" customHeight="1" s="230">
      <c r="A26" s="219">
        <f>IFERROR(SMALL('Master Stock'!$Q$2:$Q$99,ROWS($A$3:A26)),"")</f>
        <v/>
      </c>
      <c r="B26" s="211">
        <f t="array" ref="B26">IF($A26="","",INDEX('Master Stock'!$C$2:$C$99,MATCH($A26,'Master Stock'!$Q$2:$Q$99,0)))</f>
        <v/>
      </c>
      <c r="C26" s="211">
        <f t="array" ref="C26">IF($A26="","",INDEX('Master Stock'!$D$2:$D$99,MATCH($A26,'Master Stock'!$Q$2:$Q$99,0)))</f>
        <v/>
      </c>
      <c r="D26" s="214">
        <f t="array" ref="D26">IF($A26="","",INDEX('Master Stock'!$B$2:$B$99,MATCH($A26,'Master Stock'!$Q$2:$Q$99,0)))</f>
        <v/>
      </c>
      <c r="E26" s="211">
        <f t="array" ref="E26">IF($A26="","",INDEX('Master Stock'!$G$2:$G$99,MATCH($A26,'Master Stock'!$Q$2:$Q$99,0)))</f>
        <v/>
      </c>
      <c r="F26" s="213">
        <f t="array" ref="F26">IF($A26="","",INDEX('Master Stock'!$F$2:$F$99,MATCH($A26,'Master Stock'!$Q$2:$Q$99,0)))</f>
        <v/>
      </c>
      <c r="G26" s="211">
        <f>IF($A26="","","Wheat")</f>
        <v/>
      </c>
      <c r="H26" s="214" t="n"/>
      <c r="I26" s="214">
        <f>IF($A26="","","FIFO - Oldest Receipt First")</f>
        <v/>
      </c>
      <c r="J26" s="209" t="n"/>
      <c r="K26" s="209" t="n"/>
      <c r="L26" s="209" t="n"/>
      <c r="M26" s="209" t="n"/>
      <c r="N26" s="209" t="n"/>
      <c r="O26" s="209" t="n"/>
      <c r="P26" s="209" t="n"/>
      <c r="Q26" s="209" t="n"/>
      <c r="R26" s="209" t="n"/>
      <c r="S26" s="209" t="n"/>
      <c r="T26" s="209" t="n"/>
      <c r="U26" s="209" t="n"/>
      <c r="V26" s="209" t="n"/>
      <c r="W26" s="209" t="n"/>
      <c r="X26" s="209" t="n"/>
      <c r="Y26" s="209" t="n"/>
      <c r="Z26" s="209" t="n"/>
      <c r="AA26" s="209" t="n"/>
    </row>
    <row r="27" hidden="1" ht="15" customHeight="1" s="230">
      <c r="A27" s="219">
        <f>IFERROR(SMALL('Master Stock'!$Q$2:$Q$99,ROWS($A$3:A27)),"")</f>
        <v/>
      </c>
      <c r="B27" s="211">
        <f t="array" ref="B27">IF($A27="","",INDEX('Master Stock'!$C$2:$C$99,MATCH($A27,'Master Stock'!$Q$2:$Q$99,0)))</f>
        <v/>
      </c>
      <c r="C27" s="211">
        <f t="array" ref="C27">IF($A27="","",INDEX('Master Stock'!$D$2:$D$99,MATCH($A27,'Master Stock'!$Q$2:$Q$99,0)))</f>
        <v/>
      </c>
      <c r="D27" s="214">
        <f t="array" ref="D27">IF($A27="","",INDEX('Master Stock'!$B$2:$B$99,MATCH($A27,'Master Stock'!$Q$2:$Q$99,0)))</f>
        <v/>
      </c>
      <c r="E27" s="211">
        <f t="array" ref="E27">IF($A27="","",INDEX('Master Stock'!$G$2:$G$99,MATCH($A27,'Master Stock'!$Q$2:$Q$99,0)))</f>
        <v/>
      </c>
      <c r="F27" s="213">
        <f t="array" ref="F27">IF($A27="","",INDEX('Master Stock'!$F$2:$F$99,MATCH($A27,'Master Stock'!$Q$2:$Q$99,0)))</f>
        <v/>
      </c>
      <c r="G27" s="211">
        <f>IF($A27="","","Wheat")</f>
        <v/>
      </c>
      <c r="H27" s="214" t="n"/>
      <c r="I27" s="214">
        <f>IF($A27="","","FIFO - Oldest Receipt First")</f>
        <v/>
      </c>
      <c r="J27" s="209" t="n"/>
      <c r="K27" s="209" t="n"/>
      <c r="L27" s="209" t="n"/>
      <c r="M27" s="209" t="n"/>
      <c r="N27" s="209" t="n"/>
      <c r="O27" s="209" t="n"/>
      <c r="P27" s="209" t="n"/>
      <c r="Q27" s="209" t="n"/>
      <c r="R27" s="209" t="n"/>
      <c r="S27" s="209" t="n"/>
      <c r="T27" s="209" t="n"/>
      <c r="U27" s="209" t="n"/>
      <c r="V27" s="209" t="n"/>
      <c r="W27" s="209" t="n"/>
      <c r="X27" s="209" t="n"/>
      <c r="Y27" s="209" t="n"/>
      <c r="Z27" s="209" t="n"/>
      <c r="AA27" s="209" t="n"/>
    </row>
    <row r="28" hidden="1" ht="15" customHeight="1" s="230">
      <c r="A28" s="219">
        <f>IFERROR(SMALL('Master Stock'!$Q$2:$Q$99,ROWS($A$3:A28)),"")</f>
        <v/>
      </c>
      <c r="B28" s="211">
        <f t="array" ref="B28">IF($A28="","",INDEX('Master Stock'!$C$2:$C$99,MATCH($A28,'Master Stock'!$Q$2:$Q$99,0)))</f>
        <v/>
      </c>
      <c r="C28" s="211">
        <f t="array" ref="C28">IF($A28="","",INDEX('Master Stock'!$D$2:$D$99,MATCH($A28,'Master Stock'!$Q$2:$Q$99,0)))</f>
        <v/>
      </c>
      <c r="D28" s="214">
        <f t="array" ref="D28">IF($A28="","",INDEX('Master Stock'!$B$2:$B$99,MATCH($A28,'Master Stock'!$Q$2:$Q$99,0)))</f>
        <v/>
      </c>
      <c r="E28" s="211">
        <f t="array" ref="E28">IF($A28="","",INDEX('Master Stock'!$G$2:$G$99,MATCH($A28,'Master Stock'!$Q$2:$Q$99,0)))</f>
        <v/>
      </c>
      <c r="F28" s="213">
        <f t="array" ref="F28">IF($A28="","",INDEX('Master Stock'!$F$2:$F$99,MATCH($A28,'Master Stock'!$Q$2:$Q$99,0)))</f>
        <v/>
      </c>
      <c r="G28" s="211">
        <f>IF($A28="","","Wheat")</f>
        <v/>
      </c>
      <c r="H28" s="214" t="n"/>
      <c r="I28" s="214">
        <f>IF($A28="","","FIFO - Oldest Receipt First")</f>
        <v/>
      </c>
      <c r="J28" s="209" t="n"/>
      <c r="K28" s="209" t="n"/>
      <c r="L28" s="209" t="n"/>
      <c r="M28" s="209" t="n"/>
      <c r="N28" s="209" t="n"/>
      <c r="O28" s="209" t="n"/>
      <c r="P28" s="209" t="n"/>
      <c r="Q28" s="209" t="n"/>
      <c r="R28" s="209" t="n"/>
      <c r="S28" s="209" t="n"/>
      <c r="T28" s="209" t="n"/>
      <c r="U28" s="209" t="n"/>
      <c r="V28" s="209" t="n"/>
      <c r="W28" s="209" t="n"/>
      <c r="X28" s="209" t="n"/>
      <c r="Y28" s="209" t="n"/>
      <c r="Z28" s="209" t="n"/>
      <c r="AA28" s="209" t="n"/>
    </row>
    <row r="29" hidden="1" ht="15" customHeight="1" s="230">
      <c r="A29" s="219">
        <f>IFERROR(SMALL('Master Stock'!$Q$2:$Q$99,ROWS($A$3:A29)),"")</f>
        <v/>
      </c>
      <c r="B29" s="211">
        <f t="array" ref="B29">IF($A29="","",INDEX('Master Stock'!$C$2:$C$99,MATCH($A29,'Master Stock'!$Q$2:$Q$99,0)))</f>
        <v/>
      </c>
      <c r="C29" s="211">
        <f t="array" ref="C29">IF($A29="","",INDEX('Master Stock'!$D$2:$D$99,MATCH($A29,'Master Stock'!$Q$2:$Q$99,0)))</f>
        <v/>
      </c>
      <c r="D29" s="214">
        <f t="array" ref="D29">IF($A29="","",INDEX('Master Stock'!$B$2:$B$99,MATCH($A29,'Master Stock'!$Q$2:$Q$99,0)))</f>
        <v/>
      </c>
      <c r="E29" s="211">
        <f t="array" ref="E29">IF($A29="","",INDEX('Master Stock'!$G$2:$G$99,MATCH($A29,'Master Stock'!$Q$2:$Q$99,0)))</f>
        <v/>
      </c>
      <c r="F29" s="213">
        <f t="array" ref="F29">IF($A29="","",INDEX('Master Stock'!$F$2:$F$99,MATCH($A29,'Master Stock'!$Q$2:$Q$99,0)))</f>
        <v/>
      </c>
      <c r="G29" s="211">
        <f>IF($A29="","","Wheat")</f>
        <v/>
      </c>
      <c r="H29" s="214" t="n"/>
      <c r="I29" s="214">
        <f>IF($A29="","","FIFO - Oldest Receipt First")</f>
        <v/>
      </c>
      <c r="J29" s="209" t="n"/>
      <c r="K29" s="209" t="n"/>
      <c r="L29" s="209" t="n"/>
      <c r="M29" s="209" t="n"/>
      <c r="N29" s="209" t="n"/>
      <c r="O29" s="209" t="n"/>
      <c r="P29" s="209" t="n"/>
      <c r="Q29" s="209" t="n"/>
      <c r="R29" s="209" t="n"/>
      <c r="S29" s="209" t="n"/>
      <c r="T29" s="209" t="n"/>
      <c r="U29" s="209" t="n"/>
      <c r="V29" s="209" t="n"/>
      <c r="W29" s="209" t="n"/>
      <c r="X29" s="209" t="n"/>
      <c r="Y29" s="209" t="n"/>
      <c r="Z29" s="209" t="n"/>
      <c r="AA29" s="209" t="n"/>
    </row>
    <row r="30" hidden="1" ht="15" customHeight="1" s="230">
      <c r="A30" s="219">
        <f>IFERROR(SMALL('Master Stock'!$Q$2:$Q$99,ROWS($A$3:A30)),"")</f>
        <v/>
      </c>
      <c r="B30" s="211">
        <f t="array" ref="B30">IF($A30="","",INDEX('Master Stock'!$C$2:$C$99,MATCH($A30,'Master Stock'!$Q$2:$Q$99,0)))</f>
        <v/>
      </c>
      <c r="C30" s="211">
        <f t="array" ref="C30">IF($A30="","",INDEX('Master Stock'!$D$2:$D$99,MATCH($A30,'Master Stock'!$Q$2:$Q$99,0)))</f>
        <v/>
      </c>
      <c r="D30" s="214">
        <f t="array" ref="D30">IF($A30="","",INDEX('Master Stock'!$B$2:$B$99,MATCH($A30,'Master Stock'!$Q$2:$Q$99,0)))</f>
        <v/>
      </c>
      <c r="E30" s="211">
        <f t="array" ref="E30">IF($A30="","",INDEX('Master Stock'!$G$2:$G$99,MATCH($A30,'Master Stock'!$Q$2:$Q$99,0)))</f>
        <v/>
      </c>
      <c r="F30" s="213">
        <f t="array" ref="F30">IF($A30="","",INDEX('Master Stock'!$F$2:$F$99,MATCH($A30,'Master Stock'!$Q$2:$Q$99,0)))</f>
        <v/>
      </c>
      <c r="G30" s="211">
        <f>IF($A30="","","Wheat")</f>
        <v/>
      </c>
      <c r="H30" s="214" t="n"/>
      <c r="I30" s="214">
        <f>IF($A30="","","FIFO - Oldest Receipt First")</f>
        <v/>
      </c>
      <c r="J30" s="209" t="n"/>
      <c r="K30" s="209" t="n"/>
      <c r="L30" s="209" t="n"/>
      <c r="M30" s="209" t="n"/>
      <c r="N30" s="209" t="n"/>
      <c r="O30" s="209" t="n"/>
      <c r="P30" s="209" t="n"/>
      <c r="Q30" s="209" t="n"/>
      <c r="R30" s="209" t="n"/>
      <c r="S30" s="209" t="n"/>
      <c r="T30" s="209" t="n"/>
      <c r="U30" s="209" t="n"/>
      <c r="V30" s="209" t="n"/>
      <c r="W30" s="209" t="n"/>
      <c r="X30" s="209" t="n"/>
      <c r="Y30" s="209" t="n"/>
      <c r="Z30" s="209" t="n"/>
      <c r="AA30" s="209" t="n"/>
    </row>
    <row r="31" hidden="1" ht="15" customHeight="1" s="230">
      <c r="A31" s="219">
        <f>IFERROR(SMALL('Master Stock'!$Q$2:$Q$99,ROWS($A$3:A31)),"")</f>
        <v/>
      </c>
      <c r="B31" s="211">
        <f t="array" ref="B31">IF($A31="","",INDEX('Master Stock'!$C$2:$C$99,MATCH($A31,'Master Stock'!$Q$2:$Q$99,0)))</f>
        <v/>
      </c>
      <c r="C31" s="211">
        <f t="array" ref="C31">IF($A31="","",INDEX('Master Stock'!$D$2:$D$99,MATCH($A31,'Master Stock'!$Q$2:$Q$99,0)))</f>
        <v/>
      </c>
      <c r="D31" s="214">
        <f t="array" ref="D31">IF($A31="","",INDEX('Master Stock'!$B$2:$B$99,MATCH($A31,'Master Stock'!$Q$2:$Q$99,0)))</f>
        <v/>
      </c>
      <c r="E31" s="211">
        <f t="array" ref="E31">IF($A31="","",INDEX('Master Stock'!$G$2:$G$99,MATCH($A31,'Master Stock'!$Q$2:$Q$99,0)))</f>
        <v/>
      </c>
      <c r="F31" s="213">
        <f t="array" ref="F31">IF($A31="","",INDEX('Master Stock'!$F$2:$F$99,MATCH($A31,'Master Stock'!$Q$2:$Q$99,0)))</f>
        <v/>
      </c>
      <c r="G31" s="211">
        <f>IF($A31="","","Wheat")</f>
        <v/>
      </c>
      <c r="H31" s="214" t="n"/>
      <c r="I31" s="214">
        <f>IF($A31="","","FIFO - Oldest Receipt First")</f>
        <v/>
      </c>
      <c r="J31" s="209" t="n"/>
      <c r="K31" s="209" t="n"/>
      <c r="L31" s="209" t="n"/>
      <c r="M31" s="209" t="n"/>
      <c r="N31" s="209" t="n"/>
      <c r="O31" s="209" t="n"/>
      <c r="P31" s="209" t="n"/>
      <c r="Q31" s="209" t="n"/>
      <c r="R31" s="209" t="n"/>
      <c r="S31" s="209" t="n"/>
      <c r="T31" s="209" t="n"/>
      <c r="U31" s="209" t="n"/>
      <c r="V31" s="209" t="n"/>
      <c r="W31" s="209" t="n"/>
      <c r="X31" s="209" t="n"/>
      <c r="Y31" s="209" t="n"/>
      <c r="Z31" s="209" t="n"/>
      <c r="AA31" s="209" t="n"/>
    </row>
    <row r="32" hidden="1" ht="15" customHeight="1" s="230">
      <c r="A32" s="219">
        <f>IFERROR(SMALL('Master Stock'!$Q$2:$Q$99,ROWS($A$3:A32)),"")</f>
        <v/>
      </c>
      <c r="B32" s="211">
        <f t="array" ref="B32">IF($A32="","",INDEX('Master Stock'!$C$2:$C$99,MATCH($A32,'Master Stock'!$Q$2:$Q$99,0)))</f>
        <v/>
      </c>
      <c r="C32" s="211">
        <f t="array" ref="C32">IF($A32="","",INDEX('Master Stock'!$D$2:$D$99,MATCH($A32,'Master Stock'!$Q$2:$Q$99,0)))</f>
        <v/>
      </c>
      <c r="D32" s="214">
        <f t="array" ref="D32">IF($A32="","",INDEX('Master Stock'!$B$2:$B$99,MATCH($A32,'Master Stock'!$Q$2:$Q$99,0)))</f>
        <v/>
      </c>
      <c r="E32" s="211">
        <f t="array" ref="E32">IF($A32="","",INDEX('Master Stock'!$G$2:$G$99,MATCH($A32,'Master Stock'!$Q$2:$Q$99,0)))</f>
        <v/>
      </c>
      <c r="F32" s="213">
        <f t="array" ref="F32">IF($A32="","",INDEX('Master Stock'!$F$2:$F$99,MATCH($A32,'Master Stock'!$Q$2:$Q$99,0)))</f>
        <v/>
      </c>
      <c r="G32" s="211">
        <f>IF($A32="","","Wheat")</f>
        <v/>
      </c>
      <c r="H32" s="214" t="n"/>
      <c r="I32" s="214">
        <f>IF($A32="","","FIFO - Oldest Receipt First")</f>
        <v/>
      </c>
      <c r="J32" s="209" t="n"/>
      <c r="K32" s="209" t="n"/>
      <c r="L32" s="209" t="n"/>
      <c r="M32" s="209" t="n"/>
      <c r="N32" s="209" t="n"/>
      <c r="O32" s="209" t="n"/>
      <c r="P32" s="209" t="n"/>
      <c r="Q32" s="209" t="n"/>
      <c r="R32" s="209" t="n"/>
      <c r="S32" s="209" t="n"/>
      <c r="T32" s="209" t="n"/>
      <c r="U32" s="209" t="n"/>
      <c r="V32" s="209" t="n"/>
      <c r="W32" s="209" t="n"/>
      <c r="X32" s="209" t="n"/>
      <c r="Y32" s="209" t="n"/>
      <c r="Z32" s="209" t="n"/>
      <c r="AA32" s="209" t="n"/>
    </row>
    <row r="33" hidden="1" ht="15" customHeight="1" s="230">
      <c r="A33" s="219">
        <f>IFERROR(SMALL('Master Stock'!$Q$2:$Q$99,ROWS($A$3:A33)),"")</f>
        <v/>
      </c>
      <c r="B33" s="211">
        <f t="array" ref="B33">IF($A33="","",INDEX('Master Stock'!$C$2:$C$99,MATCH($A33,'Master Stock'!$Q$2:$Q$99,0)))</f>
        <v/>
      </c>
      <c r="C33" s="211">
        <f t="array" ref="C33">IF($A33="","",INDEX('Master Stock'!$D$2:$D$99,MATCH($A33,'Master Stock'!$Q$2:$Q$99,0)))</f>
        <v/>
      </c>
      <c r="D33" s="214">
        <f t="array" ref="D33">IF($A33="","",INDEX('Master Stock'!$B$2:$B$99,MATCH($A33,'Master Stock'!$Q$2:$Q$99,0)))</f>
        <v/>
      </c>
      <c r="E33" s="211">
        <f t="array" ref="E33">IF($A33="","",INDEX('Master Stock'!$G$2:$G$99,MATCH($A33,'Master Stock'!$Q$2:$Q$99,0)))</f>
        <v/>
      </c>
      <c r="F33" s="213">
        <f t="array" ref="F33">IF($A33="","",INDEX('Master Stock'!$F$2:$F$99,MATCH($A33,'Master Stock'!$Q$2:$Q$99,0)))</f>
        <v/>
      </c>
      <c r="G33" s="211">
        <f>IF($A33="","","Wheat")</f>
        <v/>
      </c>
      <c r="H33" s="214" t="n"/>
      <c r="I33" s="214">
        <f>IF($A33="","","FIFO - Oldest Receipt First")</f>
        <v/>
      </c>
      <c r="J33" s="209" t="n"/>
      <c r="K33" s="209" t="n"/>
      <c r="L33" s="209" t="n"/>
      <c r="M33" s="209" t="n"/>
      <c r="N33" s="209" t="n"/>
      <c r="O33" s="209" t="n"/>
      <c r="P33" s="209" t="n"/>
      <c r="Q33" s="209" t="n"/>
      <c r="R33" s="209" t="n"/>
      <c r="S33" s="209" t="n"/>
      <c r="T33" s="209" t="n"/>
      <c r="U33" s="209" t="n"/>
      <c r="V33" s="209" t="n"/>
      <c r="W33" s="209" t="n"/>
      <c r="X33" s="209" t="n"/>
      <c r="Y33" s="209" t="n"/>
      <c r="Z33" s="209" t="n"/>
      <c r="AA33" s="209" t="n"/>
    </row>
    <row r="34" hidden="1" ht="15" customHeight="1" s="230">
      <c r="A34" s="219">
        <f>IFERROR(SMALL('Master Stock'!$Q$2:$Q$99,ROWS($A$3:A34)),"")</f>
        <v/>
      </c>
      <c r="B34" s="211">
        <f t="array" ref="B34">IF($A34="","",INDEX('Master Stock'!$C$2:$C$99,MATCH($A34,'Master Stock'!$Q$2:$Q$99,0)))</f>
        <v/>
      </c>
      <c r="C34" s="211">
        <f t="array" ref="C34">IF($A34="","",INDEX('Master Stock'!$D$2:$D$99,MATCH($A34,'Master Stock'!$Q$2:$Q$99,0)))</f>
        <v/>
      </c>
      <c r="D34" s="214">
        <f t="array" ref="D34">IF($A34="","",INDEX('Master Stock'!$B$2:$B$99,MATCH($A34,'Master Stock'!$Q$2:$Q$99,0)))</f>
        <v/>
      </c>
      <c r="E34" s="211">
        <f t="array" ref="E34">IF($A34="","",INDEX('Master Stock'!$G$2:$G$99,MATCH($A34,'Master Stock'!$Q$2:$Q$99,0)))</f>
        <v/>
      </c>
      <c r="F34" s="213">
        <f t="array" ref="F34">IF($A34="","",INDEX('Master Stock'!$F$2:$F$99,MATCH($A34,'Master Stock'!$Q$2:$Q$99,0)))</f>
        <v/>
      </c>
      <c r="G34" s="211">
        <f>IF($A34="","","Wheat")</f>
        <v/>
      </c>
      <c r="H34" s="214" t="n"/>
      <c r="I34" s="214">
        <f>IF($A34="","","FIFO - Oldest Receipt First")</f>
        <v/>
      </c>
      <c r="J34" s="209" t="n"/>
      <c r="K34" s="209" t="n"/>
      <c r="L34" s="209" t="n"/>
      <c r="M34" s="209" t="n"/>
      <c r="N34" s="209" t="n"/>
      <c r="O34" s="209" t="n"/>
      <c r="P34" s="209" t="n"/>
      <c r="Q34" s="209" t="n"/>
      <c r="R34" s="209" t="n"/>
      <c r="S34" s="209" t="n"/>
      <c r="T34" s="209" t="n"/>
      <c r="U34" s="209" t="n"/>
      <c r="V34" s="209" t="n"/>
      <c r="W34" s="209" t="n"/>
      <c r="X34" s="209" t="n"/>
      <c r="Y34" s="209" t="n"/>
      <c r="Z34" s="209" t="n"/>
      <c r="AA34" s="209" t="n"/>
    </row>
    <row r="35" hidden="1" ht="15" customHeight="1" s="230">
      <c r="A35" s="219">
        <f>IFERROR(SMALL('Master Stock'!$Q$2:$Q$99,ROWS($A$3:A35)),"")</f>
        <v/>
      </c>
      <c r="B35" s="211">
        <f t="array" ref="B35">IF($A35="","",INDEX('Master Stock'!$C$2:$C$99,MATCH($A35,'Master Stock'!$Q$2:$Q$99,0)))</f>
        <v/>
      </c>
      <c r="C35" s="211">
        <f t="array" ref="C35">IF($A35="","",INDEX('Master Stock'!$D$2:$D$99,MATCH($A35,'Master Stock'!$Q$2:$Q$99,0)))</f>
        <v/>
      </c>
      <c r="D35" s="214">
        <f t="array" ref="D35">IF($A35="","",INDEX('Master Stock'!$B$2:$B$99,MATCH($A35,'Master Stock'!$Q$2:$Q$99,0)))</f>
        <v/>
      </c>
      <c r="E35" s="211">
        <f t="array" ref="E35">IF($A35="","",INDEX('Master Stock'!$G$2:$G$99,MATCH($A35,'Master Stock'!$Q$2:$Q$99,0)))</f>
        <v/>
      </c>
      <c r="F35" s="213">
        <f t="array" ref="F35">IF($A35="","",INDEX('Master Stock'!$F$2:$F$99,MATCH($A35,'Master Stock'!$Q$2:$Q$99,0)))</f>
        <v/>
      </c>
      <c r="G35" s="211">
        <f>IF($A35="","","Wheat")</f>
        <v/>
      </c>
      <c r="H35" s="214" t="n"/>
      <c r="I35" s="214">
        <f>IF($A35="","","FIFO - Oldest Receipt First")</f>
        <v/>
      </c>
      <c r="J35" s="209" t="n"/>
      <c r="K35" s="209" t="n"/>
      <c r="L35" s="209" t="n"/>
      <c r="M35" s="209" t="n"/>
      <c r="N35" s="209" t="n"/>
      <c r="O35" s="209" t="n"/>
      <c r="P35" s="209" t="n"/>
      <c r="Q35" s="209" t="n"/>
      <c r="R35" s="209" t="n"/>
      <c r="S35" s="209" t="n"/>
      <c r="T35" s="209" t="n"/>
      <c r="U35" s="209" t="n"/>
      <c r="V35" s="209" t="n"/>
      <c r="W35" s="209" t="n"/>
      <c r="X35" s="209" t="n"/>
      <c r="Y35" s="209" t="n"/>
      <c r="Z35" s="209" t="n"/>
      <c r="AA35" s="209" t="n"/>
    </row>
    <row r="36" hidden="1" ht="15" customHeight="1" s="230">
      <c r="A36" s="219">
        <f>IFERROR(SMALL('Master Stock'!$Q$2:$Q$99,ROWS($A$3:A36)),"")</f>
        <v/>
      </c>
      <c r="B36" s="211">
        <f t="array" ref="B36">IF($A36="","",INDEX('Master Stock'!$C$2:$C$99,MATCH($A36,'Master Stock'!$Q$2:$Q$99,0)))</f>
        <v/>
      </c>
      <c r="C36" s="211">
        <f t="array" ref="C36">IF($A36="","",INDEX('Master Stock'!$D$2:$D$99,MATCH($A36,'Master Stock'!$Q$2:$Q$99,0)))</f>
        <v/>
      </c>
      <c r="D36" s="214">
        <f t="array" ref="D36">IF($A36="","",INDEX('Master Stock'!$B$2:$B$99,MATCH($A36,'Master Stock'!$Q$2:$Q$99,0)))</f>
        <v/>
      </c>
      <c r="E36" s="211">
        <f t="array" ref="E36">IF($A36="","",INDEX('Master Stock'!$G$2:$G$99,MATCH($A36,'Master Stock'!$Q$2:$Q$99,0)))</f>
        <v/>
      </c>
      <c r="F36" s="213">
        <f t="array" ref="F36">IF($A36="","",INDEX('Master Stock'!$F$2:$F$99,MATCH($A36,'Master Stock'!$Q$2:$Q$99,0)))</f>
        <v/>
      </c>
      <c r="G36" s="211">
        <f>IF($A36="","","Wheat")</f>
        <v/>
      </c>
      <c r="H36" s="214" t="n"/>
      <c r="I36" s="214">
        <f>IF($A36="","","FIFO - Oldest Receipt First")</f>
        <v/>
      </c>
      <c r="J36" s="209" t="n"/>
      <c r="K36" s="209" t="n"/>
      <c r="L36" s="209" t="n"/>
      <c r="M36" s="209" t="n"/>
      <c r="N36" s="209" t="n"/>
      <c r="O36" s="209" t="n"/>
      <c r="P36" s="209" t="n"/>
      <c r="Q36" s="209" t="n"/>
      <c r="R36" s="209" t="n"/>
      <c r="S36" s="209" t="n"/>
      <c r="T36" s="209" t="n"/>
      <c r="U36" s="209" t="n"/>
      <c r="V36" s="209" t="n"/>
      <c r="W36" s="209" t="n"/>
      <c r="X36" s="209" t="n"/>
      <c r="Y36" s="209" t="n"/>
      <c r="Z36" s="209" t="n"/>
      <c r="AA36" s="209" t="n"/>
    </row>
    <row r="37" hidden="1" ht="15" customHeight="1" s="230">
      <c r="A37" s="219">
        <f>IFERROR(SMALL('Master Stock'!$Q$2:$Q$99,ROWS($A$3:A37)),"")</f>
        <v/>
      </c>
      <c r="B37" s="211">
        <f t="array" ref="B37">IF($A37="","",INDEX('Master Stock'!$C$2:$C$99,MATCH($A37,'Master Stock'!$Q$2:$Q$99,0)))</f>
        <v/>
      </c>
      <c r="C37" s="211">
        <f t="array" ref="C37">IF($A37="","",INDEX('Master Stock'!$D$2:$D$99,MATCH($A37,'Master Stock'!$Q$2:$Q$99,0)))</f>
        <v/>
      </c>
      <c r="D37" s="214">
        <f t="array" ref="D37">IF($A37="","",INDEX('Master Stock'!$B$2:$B$99,MATCH($A37,'Master Stock'!$Q$2:$Q$99,0)))</f>
        <v/>
      </c>
      <c r="E37" s="211">
        <f t="array" ref="E37">IF($A37="","",INDEX('Master Stock'!$G$2:$G$99,MATCH($A37,'Master Stock'!$Q$2:$Q$99,0)))</f>
        <v/>
      </c>
      <c r="F37" s="213">
        <f t="array" ref="F37">IF($A37="","",INDEX('Master Stock'!$F$2:$F$99,MATCH($A37,'Master Stock'!$Q$2:$Q$99,0)))</f>
        <v/>
      </c>
      <c r="G37" s="211">
        <f>IF($A37="","","Wheat")</f>
        <v/>
      </c>
      <c r="H37" s="214" t="n"/>
      <c r="I37" s="214">
        <f>IF($A37="","","FIFO - Oldest Receipt First")</f>
        <v/>
      </c>
      <c r="J37" s="209" t="n"/>
      <c r="K37" s="209" t="n"/>
      <c r="L37" s="209" t="n"/>
      <c r="M37" s="209" t="n"/>
      <c r="N37" s="209" t="n"/>
      <c r="O37" s="209" t="n"/>
      <c r="P37" s="209" t="n"/>
      <c r="Q37" s="209" t="n"/>
      <c r="R37" s="209" t="n"/>
      <c r="S37" s="209" t="n"/>
      <c r="T37" s="209" t="n"/>
      <c r="U37" s="209" t="n"/>
      <c r="V37" s="209" t="n"/>
      <c r="W37" s="209" t="n"/>
      <c r="X37" s="209" t="n"/>
      <c r="Y37" s="209" t="n"/>
      <c r="Z37" s="209" t="n"/>
      <c r="AA37" s="209" t="n"/>
    </row>
    <row r="38" hidden="1" ht="15" customHeight="1" s="230">
      <c r="A38" s="219">
        <f>IFERROR(SMALL('Master Stock'!$Q$2:$Q$99,ROWS($A$3:A38)),"")</f>
        <v/>
      </c>
      <c r="B38" s="211">
        <f t="array" ref="B38">IF($A38="","",INDEX('Master Stock'!$C$2:$C$99,MATCH($A38,'Master Stock'!$Q$2:$Q$99,0)))</f>
        <v/>
      </c>
      <c r="C38" s="211">
        <f t="array" ref="C38">IF($A38="","",INDEX('Master Stock'!$D$2:$D$99,MATCH($A38,'Master Stock'!$Q$2:$Q$99,0)))</f>
        <v/>
      </c>
      <c r="D38" s="214">
        <f t="array" ref="D38">IF($A38="","",INDEX('Master Stock'!$B$2:$B$99,MATCH($A38,'Master Stock'!$Q$2:$Q$99,0)))</f>
        <v/>
      </c>
      <c r="E38" s="211">
        <f t="array" ref="E38">IF($A38="","",INDEX('Master Stock'!$G$2:$G$99,MATCH($A38,'Master Stock'!$Q$2:$Q$99,0)))</f>
        <v/>
      </c>
      <c r="F38" s="213">
        <f t="array" ref="F38">IF($A38="","",INDEX('Master Stock'!$F$2:$F$99,MATCH($A38,'Master Stock'!$Q$2:$Q$99,0)))</f>
        <v/>
      </c>
      <c r="G38" s="211">
        <f>IF($A38="","","Wheat")</f>
        <v/>
      </c>
      <c r="H38" s="214" t="n"/>
      <c r="I38" s="214">
        <f>IF($A38="","","FIFO - Oldest Receipt First")</f>
        <v/>
      </c>
      <c r="J38" s="209" t="n"/>
      <c r="K38" s="209" t="n"/>
      <c r="L38" s="209" t="n"/>
      <c r="M38" s="209" t="n"/>
      <c r="N38" s="209" t="n"/>
      <c r="O38" s="209" t="n"/>
      <c r="P38" s="209" t="n"/>
      <c r="Q38" s="209" t="n"/>
      <c r="R38" s="209" t="n"/>
      <c r="S38" s="209" t="n"/>
      <c r="T38" s="209" t="n"/>
      <c r="U38" s="209" t="n"/>
      <c r="V38" s="209" t="n"/>
      <c r="W38" s="209" t="n"/>
      <c r="X38" s="209" t="n"/>
      <c r="Y38" s="209" t="n"/>
      <c r="Z38" s="209" t="n"/>
      <c r="AA38" s="209" t="n"/>
    </row>
    <row r="39" hidden="1" ht="15" customHeight="1" s="230">
      <c r="A39" s="219">
        <f>IFERROR(SMALL('Master Stock'!$Q$2:$Q$99,ROWS($A$3:A39)),"")</f>
        <v/>
      </c>
      <c r="B39" s="211">
        <f t="array" ref="B39">IF($A39="","",INDEX('Master Stock'!$C$2:$C$99,MATCH($A39,'Master Stock'!$Q$2:$Q$99,0)))</f>
        <v/>
      </c>
      <c r="C39" s="211">
        <f t="array" ref="C39">IF($A39="","",INDEX('Master Stock'!$D$2:$D$99,MATCH($A39,'Master Stock'!$Q$2:$Q$99,0)))</f>
        <v/>
      </c>
      <c r="D39" s="214">
        <f t="array" ref="D39">IF($A39="","",INDEX('Master Stock'!$B$2:$B$99,MATCH($A39,'Master Stock'!$Q$2:$Q$99,0)))</f>
        <v/>
      </c>
      <c r="E39" s="211">
        <f t="array" ref="E39">IF($A39="","",INDEX('Master Stock'!$G$2:$G$99,MATCH($A39,'Master Stock'!$Q$2:$Q$99,0)))</f>
        <v/>
      </c>
      <c r="F39" s="213">
        <f t="array" ref="F39">IF($A39="","",INDEX('Master Stock'!$F$2:$F$99,MATCH($A39,'Master Stock'!$Q$2:$Q$99,0)))</f>
        <v/>
      </c>
      <c r="G39" s="211">
        <f>IF($A39="","","Wheat")</f>
        <v/>
      </c>
      <c r="H39" s="214" t="n"/>
      <c r="I39" s="214">
        <f>IF($A39="","","FIFO - Oldest Receipt First")</f>
        <v/>
      </c>
      <c r="J39" s="209" t="n"/>
      <c r="K39" s="209" t="n"/>
      <c r="L39" s="209" t="n"/>
      <c r="M39" s="209" t="n"/>
      <c r="N39" s="209" t="n"/>
      <c r="O39" s="209" t="n"/>
      <c r="P39" s="209" t="n"/>
      <c r="Q39" s="209" t="n"/>
      <c r="R39" s="209" t="n"/>
      <c r="S39" s="209" t="n"/>
      <c r="T39" s="209" t="n"/>
      <c r="U39" s="209" t="n"/>
      <c r="V39" s="209" t="n"/>
      <c r="W39" s="209" t="n"/>
      <c r="X39" s="209" t="n"/>
      <c r="Y39" s="209" t="n"/>
      <c r="Z39" s="209" t="n"/>
      <c r="AA39" s="209" t="n"/>
    </row>
    <row r="40" hidden="1" ht="15" customHeight="1" s="230">
      <c r="A40" s="219">
        <f>IFERROR(SMALL('Master Stock'!$Q$2:$Q$99,ROWS($A$3:A40)),"")</f>
        <v/>
      </c>
      <c r="B40" s="211">
        <f t="array" ref="B40">IF($A40="","",INDEX('Master Stock'!$C$2:$C$99,MATCH($A40,'Master Stock'!$Q$2:$Q$99,0)))</f>
        <v/>
      </c>
      <c r="C40" s="211">
        <f t="array" ref="C40">IF($A40="","",INDEX('Master Stock'!$D$2:$D$99,MATCH($A40,'Master Stock'!$Q$2:$Q$99,0)))</f>
        <v/>
      </c>
      <c r="D40" s="214">
        <f t="array" ref="D40">IF($A40="","",INDEX('Master Stock'!$B$2:$B$99,MATCH($A40,'Master Stock'!$Q$2:$Q$99,0)))</f>
        <v/>
      </c>
      <c r="E40" s="211">
        <f t="array" ref="E40">IF($A40="","",INDEX('Master Stock'!$G$2:$G$99,MATCH($A40,'Master Stock'!$Q$2:$Q$99,0)))</f>
        <v/>
      </c>
      <c r="F40" s="213">
        <f t="array" ref="F40">IF($A40="","",INDEX('Master Stock'!$F$2:$F$99,MATCH($A40,'Master Stock'!$Q$2:$Q$99,0)))</f>
        <v/>
      </c>
      <c r="G40" s="211">
        <f>IF($A40="","","Wheat")</f>
        <v/>
      </c>
      <c r="H40" s="214" t="n"/>
      <c r="I40" s="214">
        <f>IF($A40="","","FIFO - Oldest Receipt First")</f>
        <v/>
      </c>
      <c r="J40" s="209" t="n"/>
      <c r="K40" s="209" t="n"/>
      <c r="L40" s="209" t="n"/>
      <c r="M40" s="209" t="n"/>
      <c r="N40" s="209" t="n"/>
      <c r="O40" s="209" t="n"/>
      <c r="P40" s="209" t="n"/>
      <c r="Q40" s="209" t="n"/>
      <c r="R40" s="209" t="n"/>
      <c r="S40" s="209" t="n"/>
      <c r="T40" s="209" t="n"/>
      <c r="U40" s="209" t="n"/>
      <c r="V40" s="209" t="n"/>
      <c r="W40" s="209" t="n"/>
      <c r="X40" s="209" t="n"/>
      <c r="Y40" s="209" t="n"/>
      <c r="Z40" s="209" t="n"/>
      <c r="AA40" s="209" t="n"/>
    </row>
    <row r="41" hidden="1" ht="15" customHeight="1" s="230">
      <c r="A41" s="219">
        <f>IFERROR(SMALL('Master Stock'!$Q$2:$Q$99,ROWS($A$3:A41)),"")</f>
        <v/>
      </c>
      <c r="B41" s="211">
        <f t="array" ref="B41">IF($A41="","",INDEX('Master Stock'!$C$2:$C$99,MATCH($A41,'Master Stock'!$Q$2:$Q$99,0)))</f>
        <v/>
      </c>
      <c r="C41" s="211">
        <f t="array" ref="C41">IF($A41="","",INDEX('Master Stock'!$D$2:$D$99,MATCH($A41,'Master Stock'!$Q$2:$Q$99,0)))</f>
        <v/>
      </c>
      <c r="D41" s="214">
        <f t="array" ref="D41">IF($A41="","",INDEX('Master Stock'!$B$2:$B$99,MATCH($A41,'Master Stock'!$Q$2:$Q$99,0)))</f>
        <v/>
      </c>
      <c r="E41" s="211">
        <f t="array" ref="E41">IF($A41="","",INDEX('Master Stock'!$G$2:$G$99,MATCH($A41,'Master Stock'!$Q$2:$Q$99,0)))</f>
        <v/>
      </c>
      <c r="F41" s="213">
        <f t="array" ref="F41">IF($A41="","",INDEX('Master Stock'!$F$2:$F$99,MATCH($A41,'Master Stock'!$Q$2:$Q$99,0)))</f>
        <v/>
      </c>
      <c r="G41" s="211">
        <f>IF($A41="","","Wheat")</f>
        <v/>
      </c>
      <c r="H41" s="214" t="n"/>
      <c r="I41" s="214">
        <f>IF($A41="","","FIFO - Oldest Receipt First")</f>
        <v/>
      </c>
      <c r="J41" s="209" t="n"/>
      <c r="K41" s="209" t="n"/>
      <c r="L41" s="209" t="n"/>
      <c r="M41" s="209" t="n"/>
      <c r="N41" s="209" t="n"/>
      <c r="O41" s="209" t="n"/>
      <c r="P41" s="209" t="n"/>
      <c r="Q41" s="209" t="n"/>
      <c r="R41" s="209" t="n"/>
      <c r="S41" s="209" t="n"/>
      <c r="T41" s="209" t="n"/>
      <c r="U41" s="209" t="n"/>
      <c r="V41" s="209" t="n"/>
      <c r="W41" s="209" t="n"/>
      <c r="X41" s="209" t="n"/>
      <c r="Y41" s="209" t="n"/>
      <c r="Z41" s="209" t="n"/>
      <c r="AA41" s="209" t="n"/>
    </row>
    <row r="42" hidden="1" ht="15" customHeight="1" s="230">
      <c r="A42" s="219">
        <f>IFERROR(SMALL('Master Stock'!$Q$2:$Q$99,ROWS($A$3:A42)),"")</f>
        <v/>
      </c>
      <c r="B42" s="211">
        <f t="array" ref="B42">IF($A42="","",INDEX('Master Stock'!$C$2:$C$99,MATCH($A42,'Master Stock'!$Q$2:$Q$99,0)))</f>
        <v/>
      </c>
      <c r="C42" s="211">
        <f t="array" ref="C42">IF($A42="","",INDEX('Master Stock'!$D$2:$D$99,MATCH($A42,'Master Stock'!$Q$2:$Q$99,0)))</f>
        <v/>
      </c>
      <c r="D42" s="214">
        <f t="array" ref="D42">IF($A42="","",INDEX('Master Stock'!$B$2:$B$99,MATCH($A42,'Master Stock'!$Q$2:$Q$99,0)))</f>
        <v/>
      </c>
      <c r="E42" s="211">
        <f t="array" ref="E42">IF($A42="","",INDEX('Master Stock'!$G$2:$G$99,MATCH($A42,'Master Stock'!$Q$2:$Q$99,0)))</f>
        <v/>
      </c>
      <c r="F42" s="213">
        <f t="array" ref="F42">IF($A42="","",INDEX('Master Stock'!$F$2:$F$99,MATCH($A42,'Master Stock'!$Q$2:$Q$99,0)))</f>
        <v/>
      </c>
      <c r="G42" s="211">
        <f>IF($A42="","","Wheat")</f>
        <v/>
      </c>
      <c r="H42" s="214" t="n"/>
      <c r="I42" s="214">
        <f>IF($A42="","","FIFO - Oldest Receipt First")</f>
        <v/>
      </c>
      <c r="J42" s="209" t="n"/>
      <c r="K42" s="209" t="n"/>
      <c r="L42" s="209" t="n"/>
      <c r="M42" s="209" t="n"/>
      <c r="N42" s="209" t="n"/>
      <c r="O42" s="209" t="n"/>
      <c r="P42" s="209" t="n"/>
      <c r="Q42" s="209" t="n"/>
      <c r="R42" s="209" t="n"/>
      <c r="S42" s="209" t="n"/>
      <c r="T42" s="209" t="n"/>
      <c r="U42" s="209" t="n"/>
      <c r="V42" s="209" t="n"/>
      <c r="W42" s="209" t="n"/>
      <c r="X42" s="209" t="n"/>
      <c r="Y42" s="209" t="n"/>
      <c r="Z42" s="209" t="n"/>
      <c r="AA42" s="209" t="n"/>
    </row>
    <row r="43" hidden="1" ht="15" customHeight="1" s="230">
      <c r="A43" s="219">
        <f>IFERROR(SMALL('Master Stock'!$Q$2:$Q$99,ROWS($A$3:A43)),"")</f>
        <v/>
      </c>
      <c r="B43" s="211">
        <f t="array" ref="B43">IF($A43="","",INDEX('Master Stock'!$C$2:$C$99,MATCH($A43,'Master Stock'!$Q$2:$Q$99,0)))</f>
        <v/>
      </c>
      <c r="C43" s="211">
        <f t="array" ref="C43">IF($A43="","",INDEX('Master Stock'!$D$2:$D$99,MATCH($A43,'Master Stock'!$Q$2:$Q$99,0)))</f>
        <v/>
      </c>
      <c r="D43" s="214">
        <f t="array" ref="D43">IF($A43="","",INDEX('Master Stock'!$B$2:$B$99,MATCH($A43,'Master Stock'!$Q$2:$Q$99,0)))</f>
        <v/>
      </c>
      <c r="E43" s="211">
        <f t="array" ref="E43">IF($A43="","",INDEX('Master Stock'!$G$2:$G$99,MATCH($A43,'Master Stock'!$Q$2:$Q$99,0)))</f>
        <v/>
      </c>
      <c r="F43" s="213">
        <f t="array" ref="F43">IF($A43="","",INDEX('Master Stock'!$F$2:$F$99,MATCH($A43,'Master Stock'!$Q$2:$Q$99,0)))</f>
        <v/>
      </c>
      <c r="G43" s="211">
        <f>IF($A43="","","Wheat")</f>
        <v/>
      </c>
      <c r="H43" s="214" t="n"/>
      <c r="I43" s="214">
        <f>IF($A43="","","FIFO - Oldest Receipt First")</f>
        <v/>
      </c>
      <c r="J43" s="209" t="n"/>
      <c r="K43" s="209" t="n"/>
      <c r="L43" s="209" t="n"/>
      <c r="M43" s="209" t="n"/>
      <c r="N43" s="209" t="n"/>
      <c r="O43" s="209" t="n"/>
      <c r="P43" s="209" t="n"/>
      <c r="Q43" s="209" t="n"/>
      <c r="R43" s="209" t="n"/>
      <c r="S43" s="209" t="n"/>
      <c r="T43" s="209" t="n"/>
      <c r="U43" s="209" t="n"/>
      <c r="V43" s="209" t="n"/>
      <c r="W43" s="209" t="n"/>
      <c r="X43" s="209" t="n"/>
      <c r="Y43" s="209" t="n"/>
      <c r="Z43" s="209" t="n"/>
      <c r="AA43" s="209" t="n"/>
    </row>
    <row r="44" hidden="1" ht="15" customHeight="1" s="230">
      <c r="A44" s="219">
        <f>IFERROR(SMALL('Master Stock'!$Q$2:$Q$99,ROWS($A$3:A44)),"")</f>
        <v/>
      </c>
      <c r="B44" s="211">
        <f t="array" ref="B44">IF($A44="","",INDEX('Master Stock'!$C$2:$C$99,MATCH($A44,'Master Stock'!$Q$2:$Q$99,0)))</f>
        <v/>
      </c>
      <c r="C44" s="211">
        <f t="array" ref="C44">IF($A44="","",INDEX('Master Stock'!$D$2:$D$99,MATCH($A44,'Master Stock'!$Q$2:$Q$99,0)))</f>
        <v/>
      </c>
      <c r="D44" s="214">
        <f t="array" ref="D44">IF($A44="","",INDEX('Master Stock'!$B$2:$B$99,MATCH($A44,'Master Stock'!$Q$2:$Q$99,0)))</f>
        <v/>
      </c>
      <c r="E44" s="211">
        <f t="array" ref="E44">IF($A44="","",INDEX('Master Stock'!$G$2:$G$99,MATCH($A44,'Master Stock'!$Q$2:$Q$99,0)))</f>
        <v/>
      </c>
      <c r="F44" s="213">
        <f t="array" ref="F44">IF($A44="","",INDEX('Master Stock'!$F$2:$F$99,MATCH($A44,'Master Stock'!$Q$2:$Q$99,0)))</f>
        <v/>
      </c>
      <c r="G44" s="211">
        <f>IF($A44="","","Wheat")</f>
        <v/>
      </c>
      <c r="H44" s="214" t="n"/>
      <c r="I44" s="214">
        <f>IF($A44="","","FIFO - Oldest Receipt First")</f>
        <v/>
      </c>
      <c r="J44" s="209" t="n"/>
      <c r="K44" s="209" t="n"/>
      <c r="L44" s="209" t="n"/>
      <c r="M44" s="209" t="n"/>
      <c r="N44" s="209" t="n"/>
      <c r="O44" s="209" t="n"/>
      <c r="P44" s="209" t="n"/>
      <c r="Q44" s="209" t="n"/>
      <c r="R44" s="209" t="n"/>
      <c r="S44" s="209" t="n"/>
      <c r="T44" s="209" t="n"/>
      <c r="U44" s="209" t="n"/>
      <c r="V44" s="209" t="n"/>
      <c r="W44" s="209" t="n"/>
      <c r="X44" s="209" t="n"/>
      <c r="Y44" s="209" t="n"/>
      <c r="Z44" s="209" t="n"/>
      <c r="AA44" s="209" t="n"/>
    </row>
    <row r="45" hidden="1" ht="15" customHeight="1" s="230">
      <c r="A45" s="219">
        <f>IFERROR(SMALL('Master Stock'!$Q$2:$Q$99,ROWS($A$3:A45)),"")</f>
        <v/>
      </c>
      <c r="B45" s="211">
        <f t="array" ref="B45">IF($A45="","",INDEX('Master Stock'!$C$2:$C$99,MATCH($A45,'Master Stock'!$Q$2:$Q$99,0)))</f>
        <v/>
      </c>
      <c r="C45" s="211">
        <f t="array" ref="C45">IF($A45="","",INDEX('Master Stock'!$D$2:$D$99,MATCH($A45,'Master Stock'!$Q$2:$Q$99,0)))</f>
        <v/>
      </c>
      <c r="D45" s="214">
        <f t="array" ref="D45">IF($A45="","",INDEX('Master Stock'!$B$2:$B$99,MATCH($A45,'Master Stock'!$Q$2:$Q$99,0)))</f>
        <v/>
      </c>
      <c r="E45" s="211">
        <f t="array" ref="E45">IF($A45="","",INDEX('Master Stock'!$G$2:$G$99,MATCH($A45,'Master Stock'!$Q$2:$Q$99,0)))</f>
        <v/>
      </c>
      <c r="F45" s="213">
        <f t="array" ref="F45">IF($A45="","",INDEX('Master Stock'!$F$2:$F$99,MATCH($A45,'Master Stock'!$Q$2:$Q$99,0)))</f>
        <v/>
      </c>
      <c r="G45" s="211">
        <f>IF($A45="","","Wheat")</f>
        <v/>
      </c>
      <c r="H45" s="214" t="n"/>
      <c r="I45" s="214">
        <f>IF($A45="","","FIFO - Oldest Receipt First")</f>
        <v/>
      </c>
      <c r="J45" s="209" t="n"/>
      <c r="K45" s="209" t="n"/>
      <c r="L45" s="209" t="n"/>
      <c r="M45" s="209" t="n"/>
      <c r="N45" s="209" t="n"/>
      <c r="O45" s="209" t="n"/>
      <c r="P45" s="209" t="n"/>
      <c r="Q45" s="209" t="n"/>
      <c r="R45" s="209" t="n"/>
      <c r="S45" s="209" t="n"/>
      <c r="T45" s="209" t="n"/>
      <c r="U45" s="209" t="n"/>
      <c r="V45" s="209" t="n"/>
      <c r="W45" s="209" t="n"/>
      <c r="X45" s="209" t="n"/>
      <c r="Y45" s="209" t="n"/>
      <c r="Z45" s="209" t="n"/>
      <c r="AA45" s="209" t="n"/>
    </row>
    <row r="46" hidden="1" ht="15" customHeight="1" s="230">
      <c r="A46" s="219">
        <f>IFERROR(SMALL('Master Stock'!$Q$2:$Q$99,ROWS($A$3:A46)),"")</f>
        <v/>
      </c>
      <c r="B46" s="211">
        <f t="array" ref="B46">IF($A46="","",INDEX('Master Stock'!$C$2:$C$99,MATCH($A46,'Master Stock'!$Q$2:$Q$99,0)))</f>
        <v/>
      </c>
      <c r="C46" s="211">
        <f t="array" ref="C46">IF($A46="","",INDEX('Master Stock'!$D$2:$D$99,MATCH($A46,'Master Stock'!$Q$2:$Q$99,0)))</f>
        <v/>
      </c>
      <c r="D46" s="214">
        <f t="array" ref="D46">IF($A46="","",INDEX('Master Stock'!$B$2:$B$99,MATCH($A46,'Master Stock'!$Q$2:$Q$99,0)))</f>
        <v/>
      </c>
      <c r="E46" s="211">
        <f t="array" ref="E46">IF($A46="","",INDEX('Master Stock'!$G$2:$G$99,MATCH($A46,'Master Stock'!$Q$2:$Q$99,0)))</f>
        <v/>
      </c>
      <c r="F46" s="213">
        <f t="array" ref="F46">IF($A46="","",INDEX('Master Stock'!$F$2:$F$99,MATCH($A46,'Master Stock'!$Q$2:$Q$99,0)))</f>
        <v/>
      </c>
      <c r="G46" s="211">
        <f>IF($A46="","","Wheat")</f>
        <v/>
      </c>
      <c r="H46" s="214" t="n"/>
      <c r="I46" s="214">
        <f>IF($A46="","","FIFO - Oldest Receipt First")</f>
        <v/>
      </c>
      <c r="J46" s="209" t="n"/>
      <c r="K46" s="209" t="n"/>
      <c r="L46" s="209" t="n"/>
      <c r="M46" s="209" t="n"/>
      <c r="N46" s="209" t="n"/>
      <c r="O46" s="209" t="n"/>
      <c r="P46" s="209" t="n"/>
      <c r="Q46" s="209" t="n"/>
      <c r="R46" s="209" t="n"/>
      <c r="S46" s="209" t="n"/>
      <c r="T46" s="209" t="n"/>
      <c r="U46" s="209" t="n"/>
      <c r="V46" s="209" t="n"/>
      <c r="W46" s="209" t="n"/>
      <c r="X46" s="209" t="n"/>
      <c r="Y46" s="209" t="n"/>
      <c r="Z46" s="209" t="n"/>
      <c r="AA46" s="209" t="n"/>
    </row>
    <row r="47" hidden="1" ht="15" customHeight="1" s="230">
      <c r="A47" s="219">
        <f>IFERROR(SMALL('Master Stock'!$Q$2:$Q$99,ROWS($A$3:A47)),"")</f>
        <v/>
      </c>
      <c r="B47" s="211">
        <f t="array" ref="B47">IF($A47="","",INDEX('Master Stock'!$C$2:$C$99,MATCH($A47,'Master Stock'!$Q$2:$Q$99,0)))</f>
        <v/>
      </c>
      <c r="C47" s="211">
        <f t="array" ref="C47">IF($A47="","",INDEX('Master Stock'!$D$2:$D$99,MATCH($A47,'Master Stock'!$Q$2:$Q$99,0)))</f>
        <v/>
      </c>
      <c r="D47" s="214">
        <f t="array" ref="D47">IF($A47="","",INDEX('Master Stock'!$B$2:$B$99,MATCH($A47,'Master Stock'!$Q$2:$Q$99,0)))</f>
        <v/>
      </c>
      <c r="E47" s="211">
        <f t="array" ref="E47">IF($A47="","",INDEX('Master Stock'!$G$2:$G$99,MATCH($A47,'Master Stock'!$Q$2:$Q$99,0)))</f>
        <v/>
      </c>
      <c r="F47" s="213">
        <f t="array" ref="F47">IF($A47="","",INDEX('Master Stock'!$F$2:$F$99,MATCH($A47,'Master Stock'!$Q$2:$Q$99,0)))</f>
        <v/>
      </c>
      <c r="G47" s="211">
        <f>IF($A47="","","Wheat")</f>
        <v/>
      </c>
      <c r="H47" s="214" t="n"/>
      <c r="I47" s="214">
        <f>IF($A47="","","FIFO - Oldest Receipt First")</f>
        <v/>
      </c>
      <c r="J47" s="209" t="n"/>
      <c r="K47" s="209" t="n"/>
      <c r="L47" s="209" t="n"/>
      <c r="M47" s="209" t="n"/>
      <c r="N47" s="209" t="n"/>
      <c r="O47" s="209" t="n"/>
      <c r="P47" s="209" t="n"/>
      <c r="Q47" s="209" t="n"/>
      <c r="R47" s="209" t="n"/>
      <c r="S47" s="209" t="n"/>
      <c r="T47" s="209" t="n"/>
      <c r="U47" s="209" t="n"/>
      <c r="V47" s="209" t="n"/>
      <c r="W47" s="209" t="n"/>
      <c r="X47" s="209" t="n"/>
      <c r="Y47" s="209" t="n"/>
      <c r="Z47" s="209" t="n"/>
      <c r="AA47" s="209" t="n"/>
    </row>
    <row r="48" hidden="1" ht="15" customHeight="1" s="230">
      <c r="A48" s="219">
        <f>IFERROR(SMALL('Master Stock'!$Q$2:$Q$99,ROWS($A$3:A48)),"")</f>
        <v/>
      </c>
      <c r="B48" s="211">
        <f t="array" ref="B48">IF($A48="","",INDEX('Master Stock'!$C$2:$C$99,MATCH($A48,'Master Stock'!$Q$2:$Q$99,0)))</f>
        <v/>
      </c>
      <c r="C48" s="211">
        <f t="array" ref="C48">IF($A48="","",INDEX('Master Stock'!$D$2:$D$99,MATCH($A48,'Master Stock'!$Q$2:$Q$99,0)))</f>
        <v/>
      </c>
      <c r="D48" s="214">
        <f t="array" ref="D48">IF($A48="","",INDEX('Master Stock'!$B$2:$B$99,MATCH($A48,'Master Stock'!$Q$2:$Q$99,0)))</f>
        <v/>
      </c>
      <c r="E48" s="211">
        <f t="array" ref="E48">IF($A48="","",INDEX('Master Stock'!$G$2:$G$99,MATCH($A48,'Master Stock'!$Q$2:$Q$99,0)))</f>
        <v/>
      </c>
      <c r="F48" s="213">
        <f t="array" ref="F48">IF($A48="","",INDEX('Master Stock'!$F$2:$F$99,MATCH($A48,'Master Stock'!$Q$2:$Q$99,0)))</f>
        <v/>
      </c>
      <c r="G48" s="211">
        <f>IF($A48="","","Wheat")</f>
        <v/>
      </c>
      <c r="H48" s="214" t="n"/>
      <c r="I48" s="214">
        <f>IF($A48="","","FIFO - Oldest Receipt First")</f>
        <v/>
      </c>
      <c r="J48" s="209" t="n"/>
      <c r="K48" s="209" t="n"/>
      <c r="L48" s="209" t="n"/>
      <c r="M48" s="209" t="n"/>
      <c r="N48" s="209" t="n"/>
      <c r="O48" s="209" t="n"/>
      <c r="P48" s="209" t="n"/>
      <c r="Q48" s="209" t="n"/>
      <c r="R48" s="209" t="n"/>
      <c r="S48" s="209" t="n"/>
      <c r="T48" s="209" t="n"/>
      <c r="U48" s="209" t="n"/>
      <c r="V48" s="209" t="n"/>
      <c r="W48" s="209" t="n"/>
      <c r="X48" s="209" t="n"/>
      <c r="Y48" s="209" t="n"/>
      <c r="Z48" s="209" t="n"/>
      <c r="AA48" s="209" t="n"/>
    </row>
    <row r="49" hidden="1" ht="15" customHeight="1" s="230">
      <c r="A49" s="219">
        <f>IFERROR(SMALL('Master Stock'!$Q$2:$Q$99,ROWS($A$3:A49)),"")</f>
        <v/>
      </c>
      <c r="B49" s="211">
        <f t="array" ref="B49">IF($A49="","",INDEX('Master Stock'!$C$2:$C$99,MATCH($A49,'Master Stock'!$Q$2:$Q$99,0)))</f>
        <v/>
      </c>
      <c r="C49" s="211">
        <f t="array" ref="C49">IF($A49="","",INDEX('Master Stock'!$D$2:$D$99,MATCH($A49,'Master Stock'!$Q$2:$Q$99,0)))</f>
        <v/>
      </c>
      <c r="D49" s="214">
        <f t="array" ref="D49">IF($A49="","",INDEX('Master Stock'!$B$2:$B$99,MATCH($A49,'Master Stock'!$Q$2:$Q$99,0)))</f>
        <v/>
      </c>
      <c r="E49" s="211">
        <f t="array" ref="E49">IF($A49="","",INDEX('Master Stock'!$G$2:$G$99,MATCH($A49,'Master Stock'!$Q$2:$Q$99,0)))</f>
        <v/>
      </c>
      <c r="F49" s="213">
        <f t="array" ref="F49">IF($A49="","",INDEX('Master Stock'!$F$2:$F$99,MATCH($A49,'Master Stock'!$Q$2:$Q$99,0)))</f>
        <v/>
      </c>
      <c r="G49" s="211">
        <f>IF($A49="","","Wheat")</f>
        <v/>
      </c>
      <c r="H49" s="214" t="n"/>
      <c r="I49" s="214">
        <f>IF($A49="","","FIFO - Oldest Receipt First")</f>
        <v/>
      </c>
      <c r="J49" s="209" t="n"/>
      <c r="K49" s="209" t="n"/>
      <c r="L49" s="209" t="n"/>
      <c r="M49" s="209" t="n"/>
      <c r="N49" s="209" t="n"/>
      <c r="O49" s="209" t="n"/>
      <c r="P49" s="209" t="n"/>
      <c r="Q49" s="209" t="n"/>
      <c r="R49" s="209" t="n"/>
      <c r="S49" s="209" t="n"/>
      <c r="T49" s="209" t="n"/>
      <c r="U49" s="209" t="n"/>
      <c r="V49" s="209" t="n"/>
      <c r="W49" s="209" t="n"/>
      <c r="X49" s="209" t="n"/>
      <c r="Y49" s="209" t="n"/>
      <c r="Z49" s="209" t="n"/>
      <c r="AA49" s="209" t="n"/>
    </row>
    <row r="50" hidden="1" ht="15" customHeight="1" s="230">
      <c r="A50" s="219">
        <f>IFERROR(SMALL('Master Stock'!$Q$2:$Q$99,ROWS($A$3:A50)),"")</f>
        <v/>
      </c>
      <c r="B50" s="211">
        <f t="array" ref="B50">IF($A50="","",INDEX('Master Stock'!$C$2:$C$99,MATCH($A50,'Master Stock'!$Q$2:$Q$99,0)))</f>
        <v/>
      </c>
      <c r="C50" s="211">
        <f t="array" ref="C50">IF($A50="","",INDEX('Master Stock'!$D$2:$D$99,MATCH($A50,'Master Stock'!$Q$2:$Q$99,0)))</f>
        <v/>
      </c>
      <c r="D50" s="214">
        <f t="array" ref="D50">IF($A50="","",INDEX('Master Stock'!$B$2:$B$99,MATCH($A50,'Master Stock'!$Q$2:$Q$99,0)))</f>
        <v/>
      </c>
      <c r="E50" s="211">
        <f t="array" ref="E50">IF($A50="","",INDEX('Master Stock'!$G$2:$G$99,MATCH($A50,'Master Stock'!$Q$2:$Q$99,0)))</f>
        <v/>
      </c>
      <c r="F50" s="213">
        <f t="array" ref="F50">IF($A50="","",INDEX('Master Stock'!$F$2:$F$99,MATCH($A50,'Master Stock'!$Q$2:$Q$99,0)))</f>
        <v/>
      </c>
      <c r="G50" s="211">
        <f>IF($A50="","","Wheat")</f>
        <v/>
      </c>
      <c r="H50" s="214" t="n"/>
      <c r="I50" s="214">
        <f>IF($A50="","","FIFO - Oldest Receipt First")</f>
        <v/>
      </c>
      <c r="J50" s="209" t="n"/>
      <c r="K50" s="209" t="n"/>
      <c r="L50" s="209" t="n"/>
      <c r="M50" s="209" t="n"/>
      <c r="N50" s="209" t="n"/>
      <c r="O50" s="209" t="n"/>
      <c r="P50" s="209" t="n"/>
      <c r="Q50" s="209" t="n"/>
      <c r="R50" s="209" t="n"/>
      <c r="S50" s="209" t="n"/>
      <c r="T50" s="209" t="n"/>
      <c r="U50" s="209" t="n"/>
      <c r="V50" s="209" t="n"/>
      <c r="W50" s="209" t="n"/>
      <c r="X50" s="209" t="n"/>
      <c r="Y50" s="209" t="n"/>
      <c r="Z50" s="209" t="n"/>
      <c r="AA50" s="209" t="n"/>
    </row>
    <row r="51" hidden="1" ht="15" customHeight="1" s="230">
      <c r="A51" s="219">
        <f>IFERROR(SMALL('Master Stock'!$Q$2:$Q$99,ROWS($A$3:A51)),"")</f>
        <v/>
      </c>
      <c r="B51" s="211">
        <f t="array" ref="B51">IF($A51="","",INDEX('Master Stock'!$C$2:$C$99,MATCH($A51,'Master Stock'!$Q$2:$Q$99,0)))</f>
        <v/>
      </c>
      <c r="C51" s="211">
        <f t="array" ref="C51">IF($A51="","",INDEX('Master Stock'!$D$2:$D$99,MATCH($A51,'Master Stock'!$Q$2:$Q$99,0)))</f>
        <v/>
      </c>
      <c r="D51" s="214">
        <f t="array" ref="D51">IF($A51="","",INDEX('Master Stock'!$B$2:$B$99,MATCH($A51,'Master Stock'!$Q$2:$Q$99,0)))</f>
        <v/>
      </c>
      <c r="E51" s="211">
        <f t="array" ref="E51">IF($A51="","",INDEX('Master Stock'!$G$2:$G$99,MATCH($A51,'Master Stock'!$Q$2:$Q$99,0)))</f>
        <v/>
      </c>
      <c r="F51" s="213">
        <f t="array" ref="F51">IF($A51="","",INDEX('Master Stock'!$F$2:$F$99,MATCH($A51,'Master Stock'!$Q$2:$Q$99,0)))</f>
        <v/>
      </c>
      <c r="G51" s="211">
        <f>IF($A51="","","Wheat")</f>
        <v/>
      </c>
      <c r="H51" s="214" t="n"/>
      <c r="I51" s="214">
        <f>IF($A51="","","FIFO - Oldest Receipt First")</f>
        <v/>
      </c>
      <c r="J51" s="209" t="n"/>
      <c r="K51" s="209" t="n"/>
      <c r="L51" s="209" t="n"/>
      <c r="M51" s="209" t="n"/>
      <c r="N51" s="209" t="n"/>
      <c r="O51" s="209" t="n"/>
      <c r="P51" s="209" t="n"/>
      <c r="Q51" s="209" t="n"/>
      <c r="R51" s="209" t="n"/>
      <c r="S51" s="209" t="n"/>
      <c r="T51" s="209" t="n"/>
      <c r="U51" s="209" t="n"/>
      <c r="V51" s="209" t="n"/>
      <c r="W51" s="209" t="n"/>
      <c r="X51" s="209" t="n"/>
      <c r="Y51" s="209" t="n"/>
      <c r="Z51" s="209" t="n"/>
      <c r="AA51" s="209" t="n"/>
    </row>
    <row r="52" hidden="1" ht="15" customHeight="1" s="230">
      <c r="A52" s="219">
        <f>IFERROR(SMALL('Master Stock'!$Q$2:$Q$99,ROWS($A$3:A52)),"")</f>
        <v/>
      </c>
      <c r="B52" s="211">
        <f t="array" ref="B52">IF($A52="","",INDEX('Master Stock'!$C$2:$C$99,MATCH($A52,'Master Stock'!$Q$2:$Q$99,0)))</f>
        <v/>
      </c>
      <c r="C52" s="211">
        <f t="array" ref="C52">IF($A52="","",INDEX('Master Stock'!$D$2:$D$99,MATCH($A52,'Master Stock'!$Q$2:$Q$99,0)))</f>
        <v/>
      </c>
      <c r="D52" s="214">
        <f t="array" ref="D52">IF($A52="","",INDEX('Master Stock'!$B$2:$B$99,MATCH($A52,'Master Stock'!$Q$2:$Q$99,0)))</f>
        <v/>
      </c>
      <c r="E52" s="211">
        <f t="array" ref="E52">IF($A52="","",INDEX('Master Stock'!$G$2:$G$99,MATCH($A52,'Master Stock'!$Q$2:$Q$99,0)))</f>
        <v/>
      </c>
      <c r="F52" s="213">
        <f t="array" ref="F52">IF($A52="","",INDEX('Master Stock'!$F$2:$F$99,MATCH($A52,'Master Stock'!$Q$2:$Q$99,0)))</f>
        <v/>
      </c>
      <c r="G52" s="211">
        <f>IF($A52="","","Wheat")</f>
        <v/>
      </c>
      <c r="H52" s="214" t="n"/>
      <c r="I52" s="214">
        <f>IF($A52="","","FIFO - Oldest Receipt First")</f>
        <v/>
      </c>
      <c r="J52" s="209" t="n"/>
      <c r="K52" s="209" t="n"/>
      <c r="L52" s="209" t="n"/>
      <c r="M52" s="209" t="n"/>
      <c r="N52" s="209" t="n"/>
      <c r="O52" s="209" t="n"/>
      <c r="P52" s="209" t="n"/>
      <c r="Q52" s="209" t="n"/>
      <c r="R52" s="209" t="n"/>
      <c r="S52" s="209" t="n"/>
      <c r="T52" s="209" t="n"/>
      <c r="U52" s="209" t="n"/>
      <c r="V52" s="209" t="n"/>
      <c r="W52" s="209" t="n"/>
      <c r="X52" s="209" t="n"/>
      <c r="Y52" s="209" t="n"/>
      <c r="Z52" s="209" t="n"/>
      <c r="AA52" s="209" t="n"/>
    </row>
    <row r="53" hidden="1" ht="15" customHeight="1" s="230">
      <c r="A53" s="219">
        <f>IFERROR(SMALL('Master Stock'!$Q$2:$Q$99,ROWS($A$3:A53)),"")</f>
        <v/>
      </c>
      <c r="B53" s="211">
        <f t="array" ref="B53">IF($A53="","",INDEX('Master Stock'!$C$2:$C$99,MATCH($A53,'Master Stock'!$Q$2:$Q$99,0)))</f>
        <v/>
      </c>
      <c r="C53" s="211">
        <f t="array" ref="C53">IF($A53="","",INDEX('Master Stock'!$D$2:$D$99,MATCH($A53,'Master Stock'!$Q$2:$Q$99,0)))</f>
        <v/>
      </c>
      <c r="D53" s="214">
        <f t="array" ref="D53">IF($A53="","",INDEX('Master Stock'!$B$2:$B$99,MATCH($A53,'Master Stock'!$Q$2:$Q$99,0)))</f>
        <v/>
      </c>
      <c r="E53" s="211">
        <f t="array" ref="E53">IF($A53="","",INDEX('Master Stock'!$G$2:$G$99,MATCH($A53,'Master Stock'!$Q$2:$Q$99,0)))</f>
        <v/>
      </c>
      <c r="F53" s="213">
        <f t="array" ref="F53">IF($A53="","",INDEX('Master Stock'!$F$2:$F$99,MATCH($A53,'Master Stock'!$Q$2:$Q$99,0)))</f>
        <v/>
      </c>
      <c r="G53" s="211">
        <f>IF($A53="","","Wheat")</f>
        <v/>
      </c>
      <c r="H53" s="214" t="n"/>
      <c r="I53" s="214">
        <f>IF($A53="","","FIFO - Oldest Receipt First")</f>
        <v/>
      </c>
      <c r="J53" s="209" t="n"/>
      <c r="K53" s="209" t="n"/>
      <c r="L53" s="209" t="n"/>
      <c r="M53" s="209" t="n"/>
      <c r="N53" s="209" t="n"/>
      <c r="O53" s="209" t="n"/>
      <c r="P53" s="209" t="n"/>
      <c r="Q53" s="209" t="n"/>
      <c r="R53" s="209" t="n"/>
      <c r="S53" s="209" t="n"/>
      <c r="T53" s="209" t="n"/>
      <c r="U53" s="209" t="n"/>
      <c r="V53" s="209" t="n"/>
      <c r="W53" s="209" t="n"/>
      <c r="X53" s="209" t="n"/>
      <c r="Y53" s="209" t="n"/>
      <c r="Z53" s="209" t="n"/>
      <c r="AA53" s="209" t="n"/>
    </row>
    <row r="54" hidden="1" ht="15" customHeight="1" s="230">
      <c r="A54" s="219">
        <f>IFERROR(SMALL('Master Stock'!$Q$2:$Q$99,ROWS($A$3:A54)),"")</f>
        <v/>
      </c>
      <c r="B54" s="211">
        <f t="array" ref="B54">IF($A54="","",INDEX('Master Stock'!$C$2:$C$99,MATCH($A54,'Master Stock'!$Q$2:$Q$99,0)))</f>
        <v/>
      </c>
      <c r="C54" s="211">
        <f t="array" ref="C54">IF($A54="","",INDEX('Master Stock'!$D$2:$D$99,MATCH($A54,'Master Stock'!$Q$2:$Q$99,0)))</f>
        <v/>
      </c>
      <c r="D54" s="214">
        <f t="array" ref="D54">IF($A54="","",INDEX('Master Stock'!$B$2:$B$99,MATCH($A54,'Master Stock'!$Q$2:$Q$99,0)))</f>
        <v/>
      </c>
      <c r="E54" s="211">
        <f t="array" ref="E54">IF($A54="","",INDEX('Master Stock'!$G$2:$G$99,MATCH($A54,'Master Stock'!$Q$2:$Q$99,0)))</f>
        <v/>
      </c>
      <c r="F54" s="213">
        <f t="array" ref="F54">IF($A54="","",INDEX('Master Stock'!$F$2:$F$99,MATCH($A54,'Master Stock'!$Q$2:$Q$99,0)))</f>
        <v/>
      </c>
      <c r="G54" s="211">
        <f>IF($A54="","","Wheat")</f>
        <v/>
      </c>
      <c r="H54" s="214" t="n"/>
      <c r="I54" s="214">
        <f>IF($A54="","","FIFO - Oldest Receipt First")</f>
        <v/>
      </c>
      <c r="J54" s="209" t="n"/>
      <c r="K54" s="209" t="n"/>
      <c r="L54" s="209" t="n"/>
      <c r="M54" s="209" t="n"/>
      <c r="N54" s="209" t="n"/>
      <c r="O54" s="209" t="n"/>
      <c r="P54" s="209" t="n"/>
      <c r="Q54" s="209" t="n"/>
      <c r="R54" s="209" t="n"/>
      <c r="S54" s="209" t="n"/>
      <c r="T54" s="209" t="n"/>
      <c r="U54" s="209" t="n"/>
      <c r="V54" s="209" t="n"/>
      <c r="W54" s="209" t="n"/>
      <c r="X54" s="209" t="n"/>
      <c r="Y54" s="209" t="n"/>
      <c r="Z54" s="209" t="n"/>
      <c r="AA54" s="209" t="n"/>
    </row>
    <row r="55" hidden="1" ht="15" customHeight="1" s="230">
      <c r="A55" s="219">
        <f>IFERROR(SMALL('Master Stock'!$Q$2:$Q$99,ROWS($A$3:A55)),"")</f>
        <v/>
      </c>
      <c r="B55" s="211">
        <f t="array" ref="B55">IF($A55="","",INDEX('Master Stock'!$C$2:$C$99,MATCH($A55,'Master Stock'!$Q$2:$Q$99,0)))</f>
        <v/>
      </c>
      <c r="C55" s="211">
        <f t="array" ref="C55">IF($A55="","",INDEX('Master Stock'!$D$2:$D$99,MATCH($A55,'Master Stock'!$Q$2:$Q$99,0)))</f>
        <v/>
      </c>
      <c r="D55" s="214">
        <f t="array" ref="D55">IF($A55="","",INDEX('Master Stock'!$B$2:$B$99,MATCH($A55,'Master Stock'!$Q$2:$Q$99,0)))</f>
        <v/>
      </c>
      <c r="E55" s="211">
        <f t="array" ref="E55">IF($A55="","",INDEX('Master Stock'!$G$2:$G$99,MATCH($A55,'Master Stock'!$Q$2:$Q$99,0)))</f>
        <v/>
      </c>
      <c r="F55" s="213">
        <f t="array" ref="F55">IF($A55="","",INDEX('Master Stock'!$F$2:$F$99,MATCH($A55,'Master Stock'!$Q$2:$Q$99,0)))</f>
        <v/>
      </c>
      <c r="G55" s="211">
        <f>IF($A55="","","Wheat")</f>
        <v/>
      </c>
      <c r="H55" s="214" t="n"/>
      <c r="I55" s="214">
        <f>IF($A55="","","FIFO - Oldest Receipt First")</f>
        <v/>
      </c>
      <c r="J55" s="209" t="n"/>
      <c r="K55" s="209" t="n"/>
      <c r="L55" s="209" t="n"/>
      <c r="M55" s="209" t="n"/>
      <c r="N55" s="209" t="n"/>
      <c r="O55" s="209" t="n"/>
      <c r="P55" s="209" t="n"/>
      <c r="Q55" s="209" t="n"/>
      <c r="R55" s="209" t="n"/>
      <c r="S55" s="209" t="n"/>
      <c r="T55" s="209" t="n"/>
      <c r="U55" s="209" t="n"/>
      <c r="V55" s="209" t="n"/>
      <c r="W55" s="209" t="n"/>
      <c r="X55" s="209" t="n"/>
      <c r="Y55" s="209" t="n"/>
      <c r="Z55" s="209" t="n"/>
      <c r="AA55" s="209" t="n"/>
    </row>
    <row r="56" hidden="1" ht="15" customHeight="1" s="230">
      <c r="A56" s="219">
        <f>IFERROR(SMALL('Master Stock'!$Q$2:$Q$99,ROWS($A$3:A56)),"")</f>
        <v/>
      </c>
      <c r="B56" s="211">
        <f t="array" ref="B56">IF($A56="","",INDEX('Master Stock'!$C$2:$C$99,MATCH($A56,'Master Stock'!$Q$2:$Q$99,0)))</f>
        <v/>
      </c>
      <c r="C56" s="211">
        <f t="array" ref="C56">IF($A56="","",INDEX('Master Stock'!$D$2:$D$99,MATCH($A56,'Master Stock'!$Q$2:$Q$99,0)))</f>
        <v/>
      </c>
      <c r="D56" s="214">
        <f t="array" ref="D56">IF($A56="","",INDEX('Master Stock'!$B$2:$B$99,MATCH($A56,'Master Stock'!$Q$2:$Q$99,0)))</f>
        <v/>
      </c>
      <c r="E56" s="211">
        <f t="array" ref="E56">IF($A56="","",INDEX('Master Stock'!$G$2:$G$99,MATCH($A56,'Master Stock'!$Q$2:$Q$99,0)))</f>
        <v/>
      </c>
      <c r="F56" s="213">
        <f t="array" ref="F56">IF($A56="","",INDEX('Master Stock'!$F$2:$F$99,MATCH($A56,'Master Stock'!$Q$2:$Q$99,0)))</f>
        <v/>
      </c>
      <c r="G56" s="211">
        <f>IF($A56="","","Wheat")</f>
        <v/>
      </c>
      <c r="H56" s="214" t="n"/>
      <c r="I56" s="214">
        <f>IF($A56="","","FIFO - Oldest Receipt First")</f>
        <v/>
      </c>
      <c r="J56" s="209" t="n"/>
      <c r="K56" s="209" t="n"/>
      <c r="L56" s="209" t="n"/>
      <c r="M56" s="209" t="n"/>
      <c r="N56" s="209" t="n"/>
      <c r="O56" s="209" t="n"/>
      <c r="P56" s="209" t="n"/>
      <c r="Q56" s="209" t="n"/>
      <c r="R56" s="209" t="n"/>
      <c r="S56" s="209" t="n"/>
      <c r="T56" s="209" t="n"/>
      <c r="U56" s="209" t="n"/>
      <c r="V56" s="209" t="n"/>
      <c r="W56" s="209" t="n"/>
      <c r="X56" s="209" t="n"/>
      <c r="Y56" s="209" t="n"/>
      <c r="Z56" s="209" t="n"/>
      <c r="AA56" s="209" t="n"/>
    </row>
    <row r="57" hidden="1" ht="15" customHeight="1" s="230">
      <c r="A57" s="219">
        <f>IFERROR(SMALL('Master Stock'!$Q$2:$Q$99,ROWS($A$3:A57)),"")</f>
        <v/>
      </c>
      <c r="B57" s="211">
        <f t="array" ref="B57">IF($A57="","",INDEX('Master Stock'!$C$2:$C$99,MATCH($A57,'Master Stock'!$Q$2:$Q$99,0)))</f>
        <v/>
      </c>
      <c r="C57" s="211">
        <f t="array" ref="C57">IF($A57="","",INDEX('Master Stock'!$D$2:$D$99,MATCH($A57,'Master Stock'!$Q$2:$Q$99,0)))</f>
        <v/>
      </c>
      <c r="D57" s="214">
        <f t="array" ref="D57">IF($A57="","",INDEX('Master Stock'!$B$2:$B$99,MATCH($A57,'Master Stock'!$Q$2:$Q$99,0)))</f>
        <v/>
      </c>
      <c r="E57" s="211">
        <f t="array" ref="E57">IF($A57="","",INDEX('Master Stock'!$G$2:$G$99,MATCH($A57,'Master Stock'!$Q$2:$Q$99,0)))</f>
        <v/>
      </c>
      <c r="F57" s="213">
        <f t="array" ref="F57">IF($A57="","",INDEX('Master Stock'!$F$2:$F$99,MATCH($A57,'Master Stock'!$Q$2:$Q$99,0)))</f>
        <v/>
      </c>
      <c r="G57" s="211">
        <f>IF($A57="","","Wheat")</f>
        <v/>
      </c>
      <c r="H57" s="214" t="n"/>
      <c r="I57" s="214">
        <f>IF($A57="","","FIFO - Oldest Receipt First")</f>
        <v/>
      </c>
      <c r="J57" s="209" t="n"/>
      <c r="K57" s="209" t="n"/>
      <c r="L57" s="209" t="n"/>
      <c r="M57" s="209" t="n"/>
      <c r="N57" s="209" t="n"/>
      <c r="O57" s="209" t="n"/>
      <c r="P57" s="209" t="n"/>
      <c r="Q57" s="209" t="n"/>
      <c r="R57" s="209" t="n"/>
      <c r="S57" s="209" t="n"/>
      <c r="T57" s="209" t="n"/>
      <c r="U57" s="209" t="n"/>
      <c r="V57" s="209" t="n"/>
      <c r="W57" s="209" t="n"/>
      <c r="X57" s="209" t="n"/>
      <c r="Y57" s="209" t="n"/>
      <c r="Z57" s="209" t="n"/>
      <c r="AA57" s="209" t="n"/>
    </row>
    <row r="58" hidden="1" ht="15" customHeight="1" s="230">
      <c r="A58" s="219">
        <f>IFERROR(SMALL('Master Stock'!$Q$2:$Q$99,ROWS($A$3:A58)),"")</f>
        <v/>
      </c>
      <c r="B58" s="211">
        <f t="array" ref="B58">IF($A58="","",INDEX('Master Stock'!$C$2:$C$99,MATCH($A58,'Master Stock'!$Q$2:$Q$99,0)))</f>
        <v/>
      </c>
      <c r="C58" s="211">
        <f t="array" ref="C58">IF($A58="","",INDEX('Master Stock'!$D$2:$D$99,MATCH($A58,'Master Stock'!$Q$2:$Q$99,0)))</f>
        <v/>
      </c>
      <c r="D58" s="214">
        <f t="array" ref="D58">IF($A58="","",INDEX('Master Stock'!$B$2:$B$99,MATCH($A58,'Master Stock'!$Q$2:$Q$99,0)))</f>
        <v/>
      </c>
      <c r="E58" s="211">
        <f t="array" ref="E58">IF($A58="","",INDEX('Master Stock'!$G$2:$G$99,MATCH($A58,'Master Stock'!$Q$2:$Q$99,0)))</f>
        <v/>
      </c>
      <c r="F58" s="213">
        <f t="array" ref="F58">IF($A58="","",INDEX('Master Stock'!$F$2:$F$99,MATCH($A58,'Master Stock'!$Q$2:$Q$99,0)))</f>
        <v/>
      </c>
      <c r="G58" s="211">
        <f>IF($A58="","","Wheat")</f>
        <v/>
      </c>
      <c r="H58" s="214" t="n"/>
      <c r="I58" s="214">
        <f>IF($A58="","","FIFO - Oldest Receipt First")</f>
        <v/>
      </c>
      <c r="J58" s="209" t="n"/>
      <c r="K58" s="209" t="n"/>
      <c r="L58" s="209" t="n"/>
      <c r="M58" s="209" t="n"/>
      <c r="N58" s="209" t="n"/>
      <c r="O58" s="209" t="n"/>
      <c r="P58" s="209" t="n"/>
      <c r="Q58" s="209" t="n"/>
      <c r="R58" s="209" t="n"/>
      <c r="S58" s="209" t="n"/>
      <c r="T58" s="209" t="n"/>
      <c r="U58" s="209" t="n"/>
      <c r="V58" s="209" t="n"/>
      <c r="W58" s="209" t="n"/>
      <c r="X58" s="209" t="n"/>
      <c r="Y58" s="209" t="n"/>
      <c r="Z58" s="209" t="n"/>
      <c r="AA58" s="209" t="n"/>
    </row>
    <row r="59" hidden="1" ht="15" customHeight="1" s="230">
      <c r="A59" s="219">
        <f>IFERROR(SMALL('Master Stock'!$Q$2:$Q$99,ROWS($A$3:A59)),"")</f>
        <v/>
      </c>
      <c r="B59" s="211">
        <f t="array" ref="B59">IF($A59="","",INDEX('Master Stock'!$C$2:$C$99,MATCH($A59,'Master Stock'!$Q$2:$Q$99,0)))</f>
        <v/>
      </c>
      <c r="C59" s="211">
        <f t="array" ref="C59">IF($A59="","",INDEX('Master Stock'!$D$2:$D$99,MATCH($A59,'Master Stock'!$Q$2:$Q$99,0)))</f>
        <v/>
      </c>
      <c r="D59" s="214">
        <f t="array" ref="D59">IF($A59="","",INDEX('Master Stock'!$B$2:$B$99,MATCH($A59,'Master Stock'!$Q$2:$Q$99,0)))</f>
        <v/>
      </c>
      <c r="E59" s="211">
        <f t="array" ref="E59">IF($A59="","",INDEX('Master Stock'!$G$2:$G$99,MATCH($A59,'Master Stock'!$Q$2:$Q$99,0)))</f>
        <v/>
      </c>
      <c r="F59" s="213">
        <f t="array" ref="F59">IF($A59="","",INDEX('Master Stock'!$F$2:$F$99,MATCH($A59,'Master Stock'!$Q$2:$Q$99,0)))</f>
        <v/>
      </c>
      <c r="G59" s="211">
        <f>IF($A59="","","Wheat")</f>
        <v/>
      </c>
      <c r="H59" s="214" t="n"/>
      <c r="I59" s="214">
        <f>IF($A59="","","FIFO - Oldest Receipt First")</f>
        <v/>
      </c>
      <c r="J59" s="209" t="n"/>
      <c r="K59" s="209" t="n"/>
      <c r="L59" s="209" t="n"/>
      <c r="M59" s="209" t="n"/>
      <c r="N59" s="209" t="n"/>
      <c r="O59" s="209" t="n"/>
      <c r="P59" s="209" t="n"/>
      <c r="Q59" s="209" t="n"/>
      <c r="R59" s="209" t="n"/>
      <c r="S59" s="209" t="n"/>
      <c r="T59" s="209" t="n"/>
      <c r="U59" s="209" t="n"/>
      <c r="V59" s="209" t="n"/>
      <c r="W59" s="209" t="n"/>
      <c r="X59" s="209" t="n"/>
      <c r="Y59" s="209" t="n"/>
      <c r="Z59" s="209" t="n"/>
      <c r="AA59" s="209" t="n"/>
    </row>
    <row r="60" hidden="1" ht="15" customHeight="1" s="230">
      <c r="A60" s="219">
        <f>IFERROR(SMALL('Master Stock'!$Q$2:$Q$99,ROWS($A$3:A60)),"")</f>
        <v/>
      </c>
      <c r="B60" s="211">
        <f t="array" ref="B60">IF($A60="","",INDEX('Master Stock'!$C$2:$C$99,MATCH($A60,'Master Stock'!$Q$2:$Q$99,0)))</f>
        <v/>
      </c>
      <c r="C60" s="211">
        <f t="array" ref="C60">IF($A60="","",INDEX('Master Stock'!$D$2:$D$99,MATCH($A60,'Master Stock'!$Q$2:$Q$99,0)))</f>
        <v/>
      </c>
      <c r="D60" s="214">
        <f t="array" ref="D60">IF($A60="","",INDEX('Master Stock'!$B$2:$B$99,MATCH($A60,'Master Stock'!$Q$2:$Q$99,0)))</f>
        <v/>
      </c>
      <c r="E60" s="211">
        <f t="array" ref="E60">IF($A60="","",INDEX('Master Stock'!$G$2:$G$99,MATCH($A60,'Master Stock'!$Q$2:$Q$99,0)))</f>
        <v/>
      </c>
      <c r="F60" s="213">
        <f t="array" ref="F60">IF($A60="","",INDEX('Master Stock'!$F$2:$F$99,MATCH($A60,'Master Stock'!$Q$2:$Q$99,0)))</f>
        <v/>
      </c>
      <c r="G60" s="211">
        <f>IF($A60="","","Wheat")</f>
        <v/>
      </c>
      <c r="H60" s="214" t="n"/>
      <c r="I60" s="214">
        <f>IF($A60="","","FIFO - Oldest Receipt First")</f>
        <v/>
      </c>
      <c r="J60" s="209" t="n"/>
      <c r="K60" s="209" t="n"/>
      <c r="L60" s="209" t="n"/>
      <c r="M60" s="209" t="n"/>
      <c r="N60" s="209" t="n"/>
      <c r="O60" s="209" t="n"/>
      <c r="P60" s="209" t="n"/>
      <c r="Q60" s="209" t="n"/>
      <c r="R60" s="209" t="n"/>
      <c r="S60" s="209" t="n"/>
      <c r="T60" s="209" t="n"/>
      <c r="U60" s="209" t="n"/>
      <c r="V60" s="209" t="n"/>
      <c r="W60" s="209" t="n"/>
      <c r="X60" s="209" t="n"/>
      <c r="Y60" s="209" t="n"/>
      <c r="Z60" s="209" t="n"/>
      <c r="AA60" s="209" t="n"/>
    </row>
    <row r="61" hidden="1" ht="15" customHeight="1" s="230">
      <c r="A61" s="219">
        <f>IFERROR(SMALL('Master Stock'!$Q$2:$Q$99,ROWS($A$3:A61)),"")</f>
        <v/>
      </c>
      <c r="B61" s="211">
        <f t="array" ref="B61">IF($A61="","",INDEX('Master Stock'!$C$2:$C$99,MATCH($A61,'Master Stock'!$Q$2:$Q$99,0)))</f>
        <v/>
      </c>
      <c r="C61" s="211">
        <f t="array" ref="C61">IF($A61="","",INDEX('Master Stock'!$D$2:$D$99,MATCH($A61,'Master Stock'!$Q$2:$Q$99,0)))</f>
        <v/>
      </c>
      <c r="D61" s="214">
        <f t="array" ref="D61">IF($A61="","",INDEX('Master Stock'!$B$2:$B$99,MATCH($A61,'Master Stock'!$Q$2:$Q$99,0)))</f>
        <v/>
      </c>
      <c r="E61" s="211">
        <f t="array" ref="E61">IF($A61="","",INDEX('Master Stock'!$G$2:$G$99,MATCH($A61,'Master Stock'!$Q$2:$Q$99,0)))</f>
        <v/>
      </c>
      <c r="F61" s="213">
        <f t="array" ref="F61">IF($A61="","",INDEX('Master Stock'!$F$2:$F$99,MATCH($A61,'Master Stock'!$Q$2:$Q$99,0)))</f>
        <v/>
      </c>
      <c r="G61" s="211">
        <f>IF($A61="","","Wheat")</f>
        <v/>
      </c>
      <c r="H61" s="214" t="n"/>
      <c r="I61" s="214">
        <f>IF($A61="","","FIFO - Oldest Receipt First")</f>
        <v/>
      </c>
      <c r="J61" s="209" t="n"/>
      <c r="K61" s="209" t="n"/>
      <c r="L61" s="209" t="n"/>
      <c r="M61" s="209" t="n"/>
      <c r="N61" s="209" t="n"/>
      <c r="O61" s="209" t="n"/>
      <c r="P61" s="209" t="n"/>
      <c r="Q61" s="209" t="n"/>
      <c r="R61" s="209" t="n"/>
      <c r="S61" s="209" t="n"/>
      <c r="T61" s="209" t="n"/>
      <c r="U61" s="209" t="n"/>
      <c r="V61" s="209" t="n"/>
      <c r="W61" s="209" t="n"/>
      <c r="X61" s="209" t="n"/>
      <c r="Y61" s="209" t="n"/>
      <c r="Z61" s="209" t="n"/>
      <c r="AA61" s="209" t="n"/>
    </row>
    <row r="62" hidden="1" ht="15" customHeight="1" s="230">
      <c r="A62" s="219">
        <f>IFERROR(SMALL('Master Stock'!$Q$2:$Q$99,ROWS($A$3:A62)),"")</f>
        <v/>
      </c>
      <c r="B62" s="211">
        <f t="array" ref="B62">IF($A62="","",INDEX('Master Stock'!$C$2:$C$99,MATCH($A62,'Master Stock'!$Q$2:$Q$99,0)))</f>
        <v/>
      </c>
      <c r="C62" s="211">
        <f t="array" ref="C62">IF($A62="","",INDEX('Master Stock'!$D$2:$D$99,MATCH($A62,'Master Stock'!$Q$2:$Q$99,0)))</f>
        <v/>
      </c>
      <c r="D62" s="214">
        <f t="array" ref="D62">IF($A62="","",INDEX('Master Stock'!$B$2:$B$99,MATCH($A62,'Master Stock'!$Q$2:$Q$99,0)))</f>
        <v/>
      </c>
      <c r="E62" s="211">
        <f t="array" ref="E62">IF($A62="","",INDEX('Master Stock'!$G$2:$G$99,MATCH($A62,'Master Stock'!$Q$2:$Q$99,0)))</f>
        <v/>
      </c>
      <c r="F62" s="213">
        <f t="array" ref="F62">IF($A62="","",INDEX('Master Stock'!$F$2:$F$99,MATCH($A62,'Master Stock'!$Q$2:$Q$99,0)))</f>
        <v/>
      </c>
      <c r="G62" s="211">
        <f>IF($A62="","","Wheat")</f>
        <v/>
      </c>
      <c r="H62" s="214" t="n"/>
      <c r="I62" s="214">
        <f>IF($A62="","","FIFO - Oldest Receipt First")</f>
        <v/>
      </c>
      <c r="J62" s="209" t="n"/>
      <c r="K62" s="209" t="n"/>
      <c r="L62" s="209" t="n"/>
      <c r="M62" s="209" t="n"/>
      <c r="N62" s="209" t="n"/>
      <c r="O62" s="209" t="n"/>
      <c r="P62" s="209" t="n"/>
      <c r="Q62" s="209" t="n"/>
      <c r="R62" s="209" t="n"/>
      <c r="S62" s="209" t="n"/>
      <c r="T62" s="209" t="n"/>
      <c r="U62" s="209" t="n"/>
      <c r="V62" s="209" t="n"/>
      <c r="W62" s="209" t="n"/>
      <c r="X62" s="209" t="n"/>
      <c r="Y62" s="209" t="n"/>
      <c r="Z62" s="209" t="n"/>
      <c r="AA62" s="209" t="n"/>
    </row>
    <row r="63" hidden="1" ht="15" customHeight="1" s="230">
      <c r="A63" s="219">
        <f>IFERROR(SMALL('Master Stock'!$Q$2:$Q$99,ROWS($A$3:A63)),"")</f>
        <v/>
      </c>
      <c r="B63" s="211">
        <f t="array" ref="B63">IF($A63="","",INDEX('Master Stock'!$C$2:$C$99,MATCH($A63,'Master Stock'!$Q$2:$Q$99,0)))</f>
        <v/>
      </c>
      <c r="C63" s="211">
        <f t="array" ref="C63">IF($A63="","",INDEX('Master Stock'!$D$2:$D$99,MATCH($A63,'Master Stock'!$Q$2:$Q$99,0)))</f>
        <v/>
      </c>
      <c r="D63" s="214">
        <f t="array" ref="D63">IF($A63="","",INDEX('Master Stock'!$B$2:$B$99,MATCH($A63,'Master Stock'!$Q$2:$Q$99,0)))</f>
        <v/>
      </c>
      <c r="E63" s="211">
        <f t="array" ref="E63">IF($A63="","",INDEX('Master Stock'!$G$2:$G$99,MATCH($A63,'Master Stock'!$Q$2:$Q$99,0)))</f>
        <v/>
      </c>
      <c r="F63" s="213">
        <f t="array" ref="F63">IF($A63="","",INDEX('Master Stock'!$F$2:$F$99,MATCH($A63,'Master Stock'!$Q$2:$Q$99,0)))</f>
        <v/>
      </c>
      <c r="G63" s="211">
        <f>IF($A63="","","Wheat")</f>
        <v/>
      </c>
      <c r="H63" s="214" t="n"/>
      <c r="I63" s="214">
        <f>IF($A63="","","FIFO - Oldest Receipt First")</f>
        <v/>
      </c>
      <c r="J63" s="209" t="n"/>
      <c r="K63" s="209" t="n"/>
      <c r="L63" s="209" t="n"/>
      <c r="M63" s="209" t="n"/>
      <c r="N63" s="209" t="n"/>
      <c r="O63" s="209" t="n"/>
      <c r="P63" s="209" t="n"/>
      <c r="Q63" s="209" t="n"/>
      <c r="R63" s="209" t="n"/>
      <c r="S63" s="209" t="n"/>
      <c r="T63" s="209" t="n"/>
      <c r="U63" s="209" t="n"/>
      <c r="V63" s="209" t="n"/>
      <c r="W63" s="209" t="n"/>
      <c r="X63" s="209" t="n"/>
      <c r="Y63" s="209" t="n"/>
      <c r="Z63" s="209" t="n"/>
      <c r="AA63" s="209" t="n"/>
    </row>
    <row r="64" hidden="1" ht="15" customHeight="1" s="230">
      <c r="A64" s="219">
        <f>IFERROR(SMALL('Master Stock'!$Q$2:$Q$99,ROWS($A$3:A64)),"")</f>
        <v/>
      </c>
      <c r="B64" s="211">
        <f t="array" ref="B64">IF($A64="","",INDEX('Master Stock'!$C$2:$C$99,MATCH($A64,'Master Stock'!$Q$2:$Q$99,0)))</f>
        <v/>
      </c>
      <c r="C64" s="211">
        <f t="array" ref="C64">IF($A64="","",INDEX('Master Stock'!$D$2:$D$99,MATCH($A64,'Master Stock'!$Q$2:$Q$99,0)))</f>
        <v/>
      </c>
      <c r="D64" s="214">
        <f t="array" ref="D64">IF($A64="","",INDEX('Master Stock'!$B$2:$B$99,MATCH($A64,'Master Stock'!$Q$2:$Q$99,0)))</f>
        <v/>
      </c>
      <c r="E64" s="211">
        <f t="array" ref="E64">IF($A64="","",INDEX('Master Stock'!$G$2:$G$99,MATCH($A64,'Master Stock'!$Q$2:$Q$99,0)))</f>
        <v/>
      </c>
      <c r="F64" s="213">
        <f t="array" ref="F64">IF($A64="","",INDEX('Master Stock'!$F$2:$F$99,MATCH($A64,'Master Stock'!$Q$2:$Q$99,0)))</f>
        <v/>
      </c>
      <c r="G64" s="211">
        <f>IF($A64="","","Wheat")</f>
        <v/>
      </c>
      <c r="H64" s="214" t="n"/>
      <c r="I64" s="214">
        <f>IF($A64="","","FIFO - Oldest Receipt First")</f>
        <v/>
      </c>
      <c r="J64" s="209" t="n"/>
      <c r="K64" s="209" t="n"/>
      <c r="L64" s="209" t="n"/>
      <c r="M64" s="209" t="n"/>
      <c r="N64" s="209" t="n"/>
      <c r="O64" s="209" t="n"/>
      <c r="P64" s="209" t="n"/>
      <c r="Q64" s="209" t="n"/>
      <c r="R64" s="209" t="n"/>
      <c r="S64" s="209" t="n"/>
      <c r="T64" s="209" t="n"/>
      <c r="U64" s="209" t="n"/>
      <c r="V64" s="209" t="n"/>
      <c r="W64" s="209" t="n"/>
      <c r="X64" s="209" t="n"/>
      <c r="Y64" s="209" t="n"/>
      <c r="Z64" s="209" t="n"/>
      <c r="AA64" s="209" t="n"/>
    </row>
    <row r="65" hidden="1" ht="15" customHeight="1" s="230">
      <c r="A65" s="219">
        <f>IFERROR(SMALL('Master Stock'!$Q$2:$Q$99,ROWS($A$3:A65)),"")</f>
        <v/>
      </c>
      <c r="B65" s="211">
        <f t="array" ref="B65">IF($A65="","",INDEX('Master Stock'!$C$2:$C$99,MATCH($A65,'Master Stock'!$Q$2:$Q$99,0)))</f>
        <v/>
      </c>
      <c r="C65" s="211">
        <f t="array" ref="C65">IF($A65="","",INDEX('Master Stock'!$D$2:$D$99,MATCH($A65,'Master Stock'!$Q$2:$Q$99,0)))</f>
        <v/>
      </c>
      <c r="D65" s="214">
        <f t="array" ref="D65">IF($A65="","",INDEX('Master Stock'!$B$2:$B$99,MATCH($A65,'Master Stock'!$Q$2:$Q$99,0)))</f>
        <v/>
      </c>
      <c r="E65" s="211">
        <f t="array" ref="E65">IF($A65="","",INDEX('Master Stock'!$G$2:$G$99,MATCH($A65,'Master Stock'!$Q$2:$Q$99,0)))</f>
        <v/>
      </c>
      <c r="F65" s="213">
        <f t="array" ref="F65">IF($A65="","",INDEX('Master Stock'!$F$2:$F$99,MATCH($A65,'Master Stock'!$Q$2:$Q$99,0)))</f>
        <v/>
      </c>
      <c r="G65" s="211">
        <f>IF($A65="","","Wheat")</f>
        <v/>
      </c>
      <c r="H65" s="214" t="n"/>
      <c r="I65" s="214">
        <f>IF($A65="","","FIFO - Oldest Receipt First")</f>
        <v/>
      </c>
      <c r="J65" s="209" t="n"/>
      <c r="K65" s="209" t="n"/>
      <c r="L65" s="209" t="n"/>
      <c r="M65" s="209" t="n"/>
      <c r="N65" s="209" t="n"/>
      <c r="O65" s="209" t="n"/>
      <c r="P65" s="209" t="n"/>
      <c r="Q65" s="209" t="n"/>
      <c r="R65" s="209" t="n"/>
      <c r="S65" s="209" t="n"/>
      <c r="T65" s="209" t="n"/>
      <c r="U65" s="209" t="n"/>
      <c r="V65" s="209" t="n"/>
      <c r="W65" s="209" t="n"/>
      <c r="X65" s="209" t="n"/>
      <c r="Y65" s="209" t="n"/>
      <c r="Z65" s="209" t="n"/>
      <c r="AA65" s="209" t="n"/>
    </row>
    <row r="66" hidden="1" ht="15" customHeight="1" s="230">
      <c r="A66" s="219">
        <f>IFERROR(SMALL('Master Stock'!$Q$2:$Q$99,ROWS($A$3:A66)),"")</f>
        <v/>
      </c>
      <c r="B66" s="211">
        <f t="array" ref="B66">IF($A66="","",INDEX('Master Stock'!$C$2:$C$99,MATCH($A66,'Master Stock'!$Q$2:$Q$99,0)))</f>
        <v/>
      </c>
      <c r="C66" s="211">
        <f t="array" ref="C66">IF($A66="","",INDEX('Master Stock'!$D$2:$D$99,MATCH($A66,'Master Stock'!$Q$2:$Q$99,0)))</f>
        <v/>
      </c>
      <c r="D66" s="214">
        <f t="array" ref="D66">IF($A66="","",INDEX('Master Stock'!$B$2:$B$99,MATCH($A66,'Master Stock'!$Q$2:$Q$99,0)))</f>
        <v/>
      </c>
      <c r="E66" s="211">
        <f t="array" ref="E66">IF($A66="","",INDEX('Master Stock'!$G$2:$G$99,MATCH($A66,'Master Stock'!$Q$2:$Q$99,0)))</f>
        <v/>
      </c>
      <c r="F66" s="213">
        <f t="array" ref="F66">IF($A66="","",INDEX('Master Stock'!$F$2:$F$99,MATCH($A66,'Master Stock'!$Q$2:$Q$99,0)))</f>
        <v/>
      </c>
      <c r="G66" s="211">
        <f>IF($A66="","","Wheat")</f>
        <v/>
      </c>
      <c r="H66" s="214" t="n"/>
      <c r="I66" s="214">
        <f>IF($A66="","","FIFO - Oldest Receipt First")</f>
        <v/>
      </c>
      <c r="J66" s="209" t="n"/>
      <c r="K66" s="209" t="n"/>
      <c r="L66" s="209" t="n"/>
      <c r="M66" s="209" t="n"/>
      <c r="N66" s="209" t="n"/>
      <c r="O66" s="209" t="n"/>
      <c r="P66" s="209" t="n"/>
      <c r="Q66" s="209" t="n"/>
      <c r="R66" s="209" t="n"/>
      <c r="S66" s="209" t="n"/>
      <c r="T66" s="209" t="n"/>
      <c r="U66" s="209" t="n"/>
      <c r="V66" s="209" t="n"/>
      <c r="W66" s="209" t="n"/>
      <c r="X66" s="209" t="n"/>
      <c r="Y66" s="209" t="n"/>
      <c r="Z66" s="209" t="n"/>
      <c r="AA66" s="209" t="n"/>
    </row>
    <row r="67" hidden="1" ht="15" customHeight="1" s="230">
      <c r="A67" s="219">
        <f>IFERROR(SMALL('Master Stock'!$Q$2:$Q$99,ROWS($A$3:A67)),"")</f>
        <v/>
      </c>
      <c r="B67" s="211">
        <f t="array" ref="B67">IF($A67="","",INDEX('Master Stock'!$C$2:$C$99,MATCH($A67,'Master Stock'!$Q$2:$Q$99,0)))</f>
        <v/>
      </c>
      <c r="C67" s="211">
        <f t="array" ref="C67">IF($A67="","",INDEX('Master Stock'!$D$2:$D$99,MATCH($A67,'Master Stock'!$Q$2:$Q$99,0)))</f>
        <v/>
      </c>
      <c r="D67" s="214">
        <f t="array" ref="D67">IF($A67="","",INDEX('Master Stock'!$B$2:$B$99,MATCH($A67,'Master Stock'!$Q$2:$Q$99,0)))</f>
        <v/>
      </c>
      <c r="E67" s="211">
        <f t="array" ref="E67">IF($A67="","",INDEX('Master Stock'!$G$2:$G$99,MATCH($A67,'Master Stock'!$Q$2:$Q$99,0)))</f>
        <v/>
      </c>
      <c r="F67" s="213">
        <f t="array" ref="F67">IF($A67="","",INDEX('Master Stock'!$F$2:$F$99,MATCH($A67,'Master Stock'!$Q$2:$Q$99,0)))</f>
        <v/>
      </c>
      <c r="G67" s="211">
        <f>IF($A67="","","Wheat")</f>
        <v/>
      </c>
      <c r="H67" s="214" t="n"/>
      <c r="I67" s="214">
        <f>IF($A67="","","FIFO - Oldest Receipt First")</f>
        <v/>
      </c>
      <c r="J67" s="209" t="n"/>
      <c r="K67" s="209" t="n"/>
      <c r="L67" s="209" t="n"/>
      <c r="M67" s="209" t="n"/>
      <c r="N67" s="209" t="n"/>
      <c r="O67" s="209" t="n"/>
      <c r="P67" s="209" t="n"/>
      <c r="Q67" s="209" t="n"/>
      <c r="R67" s="209" t="n"/>
      <c r="S67" s="209" t="n"/>
      <c r="T67" s="209" t="n"/>
      <c r="U67" s="209" t="n"/>
      <c r="V67" s="209" t="n"/>
      <c r="W67" s="209" t="n"/>
      <c r="X67" s="209" t="n"/>
      <c r="Y67" s="209" t="n"/>
      <c r="Z67" s="209" t="n"/>
      <c r="AA67" s="209" t="n"/>
    </row>
    <row r="68" hidden="1" ht="15" customHeight="1" s="230">
      <c r="A68" s="219">
        <f>IFERROR(SMALL('Master Stock'!$Q$2:$Q$99,ROWS($A$3:A68)),"")</f>
        <v/>
      </c>
      <c r="B68" s="211">
        <f t="array" ref="B68">IF($A68="","",INDEX('Master Stock'!$C$2:$C$99,MATCH($A68,'Master Stock'!$Q$2:$Q$99,0)))</f>
        <v/>
      </c>
      <c r="C68" s="211">
        <f t="array" ref="C68">IF($A68="","",INDEX('Master Stock'!$D$2:$D$99,MATCH($A68,'Master Stock'!$Q$2:$Q$99,0)))</f>
        <v/>
      </c>
      <c r="D68" s="214">
        <f t="array" ref="D68">IF($A68="","",INDEX('Master Stock'!$B$2:$B$99,MATCH($A68,'Master Stock'!$Q$2:$Q$99,0)))</f>
        <v/>
      </c>
      <c r="E68" s="211">
        <f t="array" ref="E68">IF($A68="","",INDEX('Master Stock'!$G$2:$G$99,MATCH($A68,'Master Stock'!$Q$2:$Q$99,0)))</f>
        <v/>
      </c>
      <c r="F68" s="213">
        <f t="array" ref="F68">IF($A68="","",INDEX('Master Stock'!$F$2:$F$99,MATCH($A68,'Master Stock'!$Q$2:$Q$99,0)))</f>
        <v/>
      </c>
      <c r="G68" s="211">
        <f>IF($A68="","","Wheat")</f>
        <v/>
      </c>
      <c r="H68" s="214" t="n"/>
      <c r="I68" s="214">
        <f>IF($A68="","","FIFO - Oldest Receipt First")</f>
        <v/>
      </c>
      <c r="J68" s="209" t="n"/>
      <c r="K68" s="209" t="n"/>
      <c r="L68" s="209" t="n"/>
      <c r="M68" s="209" t="n"/>
      <c r="N68" s="209" t="n"/>
      <c r="O68" s="209" t="n"/>
      <c r="P68" s="209" t="n"/>
      <c r="Q68" s="209" t="n"/>
      <c r="R68" s="209" t="n"/>
      <c r="S68" s="209" t="n"/>
      <c r="T68" s="209" t="n"/>
      <c r="U68" s="209" t="n"/>
      <c r="V68" s="209" t="n"/>
      <c r="W68" s="209" t="n"/>
      <c r="X68" s="209" t="n"/>
      <c r="Y68" s="209" t="n"/>
      <c r="Z68" s="209" t="n"/>
      <c r="AA68" s="209" t="n"/>
    </row>
    <row r="69" hidden="1" ht="15" customHeight="1" s="230">
      <c r="A69" s="219">
        <f>IFERROR(SMALL('Master Stock'!$Q$2:$Q$99,ROWS($A$3:A69)),"")</f>
        <v/>
      </c>
      <c r="B69" s="211">
        <f t="array" ref="B69">IF($A69="","",INDEX('Master Stock'!$C$2:$C$99,MATCH($A69,'Master Stock'!$Q$2:$Q$99,0)))</f>
        <v/>
      </c>
      <c r="C69" s="211">
        <f t="array" ref="C69">IF($A69="","",INDEX('Master Stock'!$D$2:$D$99,MATCH($A69,'Master Stock'!$Q$2:$Q$99,0)))</f>
        <v/>
      </c>
      <c r="D69" s="214">
        <f t="array" ref="D69">IF($A69="","",INDEX('Master Stock'!$B$2:$B$99,MATCH($A69,'Master Stock'!$Q$2:$Q$99,0)))</f>
        <v/>
      </c>
      <c r="E69" s="211">
        <f t="array" ref="E69">IF($A69="","",INDEX('Master Stock'!$G$2:$G$99,MATCH($A69,'Master Stock'!$Q$2:$Q$99,0)))</f>
        <v/>
      </c>
      <c r="F69" s="213">
        <f t="array" ref="F69">IF($A69="","",INDEX('Master Stock'!$F$2:$F$99,MATCH($A69,'Master Stock'!$Q$2:$Q$99,0)))</f>
        <v/>
      </c>
      <c r="G69" s="211">
        <f>IF($A69="","","Wheat")</f>
        <v/>
      </c>
      <c r="H69" s="214" t="n"/>
      <c r="I69" s="214">
        <f>IF($A69="","","FIFO - Oldest Receipt First")</f>
        <v/>
      </c>
      <c r="J69" s="209" t="n"/>
      <c r="K69" s="209" t="n"/>
      <c r="L69" s="209" t="n"/>
      <c r="M69" s="209" t="n"/>
      <c r="N69" s="209" t="n"/>
      <c r="O69" s="209" t="n"/>
      <c r="P69" s="209" t="n"/>
      <c r="Q69" s="209" t="n"/>
      <c r="R69" s="209" t="n"/>
      <c r="S69" s="209" t="n"/>
      <c r="T69" s="209" t="n"/>
      <c r="U69" s="209" t="n"/>
      <c r="V69" s="209" t="n"/>
      <c r="W69" s="209" t="n"/>
      <c r="X69" s="209" t="n"/>
      <c r="Y69" s="209" t="n"/>
      <c r="Z69" s="209" t="n"/>
      <c r="AA69" s="209" t="n"/>
    </row>
    <row r="70" hidden="1" ht="15" customHeight="1" s="230">
      <c r="A70" s="219">
        <f>IFERROR(SMALL('Master Stock'!$Q$2:$Q$99,ROWS($A$3:A70)),"")</f>
        <v/>
      </c>
      <c r="B70" s="211">
        <f t="array" ref="B70">IF($A70="","",INDEX('Master Stock'!$C$2:$C$99,MATCH($A70,'Master Stock'!$Q$2:$Q$99,0)))</f>
        <v/>
      </c>
      <c r="C70" s="211">
        <f t="array" ref="C70">IF($A70="","",INDEX('Master Stock'!$D$2:$D$99,MATCH($A70,'Master Stock'!$Q$2:$Q$99,0)))</f>
        <v/>
      </c>
      <c r="D70" s="214">
        <f t="array" ref="D70">IF($A70="","",INDEX('Master Stock'!$B$2:$B$99,MATCH($A70,'Master Stock'!$Q$2:$Q$99,0)))</f>
        <v/>
      </c>
      <c r="E70" s="211">
        <f t="array" ref="E70">IF($A70="","",INDEX('Master Stock'!$G$2:$G$99,MATCH($A70,'Master Stock'!$Q$2:$Q$99,0)))</f>
        <v/>
      </c>
      <c r="F70" s="213">
        <f t="array" ref="F70">IF($A70="","",INDEX('Master Stock'!$F$2:$F$99,MATCH($A70,'Master Stock'!$Q$2:$Q$99,0)))</f>
        <v/>
      </c>
      <c r="G70" s="211">
        <f>IF($A70="","","Wheat")</f>
        <v/>
      </c>
      <c r="H70" s="214" t="n"/>
      <c r="I70" s="214">
        <f>IF($A70="","","FIFO - Oldest Receipt First")</f>
        <v/>
      </c>
      <c r="J70" s="209" t="n"/>
      <c r="K70" s="209" t="n"/>
      <c r="L70" s="209" t="n"/>
      <c r="M70" s="209" t="n"/>
      <c r="N70" s="209" t="n"/>
      <c r="O70" s="209" t="n"/>
      <c r="P70" s="209" t="n"/>
      <c r="Q70" s="209" t="n"/>
      <c r="R70" s="209" t="n"/>
      <c r="S70" s="209" t="n"/>
      <c r="T70" s="209" t="n"/>
      <c r="U70" s="209" t="n"/>
      <c r="V70" s="209" t="n"/>
      <c r="W70" s="209" t="n"/>
      <c r="X70" s="209" t="n"/>
      <c r="Y70" s="209" t="n"/>
      <c r="Z70" s="209" t="n"/>
      <c r="AA70" s="209" t="n"/>
    </row>
    <row r="71" hidden="1" ht="15" customHeight="1" s="230">
      <c r="A71" s="219">
        <f>IFERROR(SMALL('Master Stock'!$Q$2:$Q$99,ROWS($A$3:A71)),"")</f>
        <v/>
      </c>
      <c r="B71" s="211">
        <f t="array" ref="B71">IF($A71="","",INDEX('Master Stock'!$C$2:$C$99,MATCH($A71,'Master Stock'!$Q$2:$Q$99,0)))</f>
        <v/>
      </c>
      <c r="C71" s="211">
        <f t="array" ref="C71">IF($A71="","",INDEX('Master Stock'!$D$2:$D$99,MATCH($A71,'Master Stock'!$Q$2:$Q$99,0)))</f>
        <v/>
      </c>
      <c r="D71" s="214">
        <f t="array" ref="D71">IF($A71="","",INDEX('Master Stock'!$B$2:$B$99,MATCH($A71,'Master Stock'!$Q$2:$Q$99,0)))</f>
        <v/>
      </c>
      <c r="E71" s="211">
        <f t="array" ref="E71">IF($A71="","",INDEX('Master Stock'!$G$2:$G$99,MATCH($A71,'Master Stock'!$Q$2:$Q$99,0)))</f>
        <v/>
      </c>
      <c r="F71" s="213">
        <f t="array" ref="F71">IF($A71="","",INDEX('Master Stock'!$F$2:$F$99,MATCH($A71,'Master Stock'!$Q$2:$Q$99,0)))</f>
        <v/>
      </c>
      <c r="G71" s="211">
        <f>IF($A71="","","Wheat")</f>
        <v/>
      </c>
      <c r="H71" s="214" t="n"/>
      <c r="I71" s="214">
        <f>IF($A71="","","FIFO - Oldest Receipt First")</f>
        <v/>
      </c>
      <c r="J71" s="209" t="n"/>
      <c r="K71" s="209" t="n"/>
      <c r="L71" s="209" t="n"/>
      <c r="M71" s="209" t="n"/>
      <c r="N71" s="209" t="n"/>
      <c r="O71" s="209" t="n"/>
      <c r="P71" s="209" t="n"/>
      <c r="Q71" s="209" t="n"/>
      <c r="R71" s="209" t="n"/>
      <c r="S71" s="209" t="n"/>
      <c r="T71" s="209" t="n"/>
      <c r="U71" s="209" t="n"/>
      <c r="V71" s="209" t="n"/>
      <c r="W71" s="209" t="n"/>
      <c r="X71" s="209" t="n"/>
      <c r="Y71" s="209" t="n"/>
      <c r="Z71" s="209" t="n"/>
      <c r="AA71" s="209" t="n"/>
    </row>
    <row r="72" hidden="1" ht="15" customHeight="1" s="230">
      <c r="A72" s="219">
        <f>IFERROR(SMALL('Master Stock'!$Q$2:$Q$99,ROWS($A$3:A72)),"")</f>
        <v/>
      </c>
      <c r="B72" s="211">
        <f t="array" ref="B72">IF($A72="","",INDEX('Master Stock'!$C$2:$C$99,MATCH($A72,'Master Stock'!$Q$2:$Q$99,0)))</f>
        <v/>
      </c>
      <c r="C72" s="211">
        <f t="array" ref="C72">IF($A72="","",INDEX('Master Stock'!$D$2:$D$99,MATCH($A72,'Master Stock'!$Q$2:$Q$99,0)))</f>
        <v/>
      </c>
      <c r="D72" s="214">
        <f t="array" ref="D72">IF($A72="","",INDEX('Master Stock'!$B$2:$B$99,MATCH($A72,'Master Stock'!$Q$2:$Q$99,0)))</f>
        <v/>
      </c>
      <c r="E72" s="211">
        <f t="array" ref="E72">IF($A72="","",INDEX('Master Stock'!$G$2:$G$99,MATCH($A72,'Master Stock'!$Q$2:$Q$99,0)))</f>
        <v/>
      </c>
      <c r="F72" s="213">
        <f t="array" ref="F72">IF($A72="","",INDEX('Master Stock'!$F$2:$F$99,MATCH($A72,'Master Stock'!$Q$2:$Q$99,0)))</f>
        <v/>
      </c>
      <c r="G72" s="211">
        <f>IF($A72="","","Wheat")</f>
        <v/>
      </c>
      <c r="H72" s="214" t="n"/>
      <c r="I72" s="214">
        <f>IF($A72="","","FIFO - Oldest Receipt First")</f>
        <v/>
      </c>
      <c r="J72" s="209" t="n"/>
      <c r="K72" s="209" t="n"/>
      <c r="L72" s="209" t="n"/>
      <c r="M72" s="209" t="n"/>
      <c r="N72" s="209" t="n"/>
      <c r="O72" s="209" t="n"/>
      <c r="P72" s="209" t="n"/>
      <c r="Q72" s="209" t="n"/>
      <c r="R72" s="209" t="n"/>
      <c r="S72" s="209" t="n"/>
      <c r="T72" s="209" t="n"/>
      <c r="U72" s="209" t="n"/>
      <c r="V72" s="209" t="n"/>
      <c r="W72" s="209" t="n"/>
      <c r="X72" s="209" t="n"/>
      <c r="Y72" s="209" t="n"/>
      <c r="Z72" s="209" t="n"/>
      <c r="AA72" s="209" t="n"/>
    </row>
    <row r="73" hidden="1" ht="15" customHeight="1" s="230">
      <c r="A73" s="219">
        <f>IFERROR(SMALL('Master Stock'!$Q$2:$Q$99,ROWS($A$3:A73)),"")</f>
        <v/>
      </c>
      <c r="B73" s="211">
        <f t="array" ref="B73">IF($A73="","",INDEX('Master Stock'!$C$2:$C$99,MATCH($A73,'Master Stock'!$Q$2:$Q$99,0)))</f>
        <v/>
      </c>
      <c r="C73" s="211">
        <f t="array" ref="C73">IF($A73="","",INDEX('Master Stock'!$D$2:$D$99,MATCH($A73,'Master Stock'!$Q$2:$Q$99,0)))</f>
        <v/>
      </c>
      <c r="D73" s="214">
        <f t="array" ref="D73">IF($A73="","",INDEX('Master Stock'!$B$2:$B$99,MATCH($A73,'Master Stock'!$Q$2:$Q$99,0)))</f>
        <v/>
      </c>
      <c r="E73" s="211">
        <f t="array" ref="E73">IF($A73="","",INDEX('Master Stock'!$G$2:$G$99,MATCH($A73,'Master Stock'!$Q$2:$Q$99,0)))</f>
        <v/>
      </c>
      <c r="F73" s="213">
        <f t="array" ref="F73">IF($A73="","",INDEX('Master Stock'!$F$2:$F$99,MATCH($A73,'Master Stock'!$Q$2:$Q$99,0)))</f>
        <v/>
      </c>
      <c r="G73" s="211">
        <f>IF($A73="","","Wheat")</f>
        <v/>
      </c>
      <c r="H73" s="214" t="n"/>
      <c r="I73" s="214">
        <f>IF($A73="","","FIFO - Oldest Receipt First")</f>
        <v/>
      </c>
      <c r="J73" s="209" t="n"/>
      <c r="K73" s="209" t="n"/>
      <c r="L73" s="209" t="n"/>
      <c r="M73" s="209" t="n"/>
      <c r="N73" s="209" t="n"/>
      <c r="O73" s="209" t="n"/>
      <c r="P73" s="209" t="n"/>
      <c r="Q73" s="209" t="n"/>
      <c r="R73" s="209" t="n"/>
      <c r="S73" s="209" t="n"/>
      <c r="T73" s="209" t="n"/>
      <c r="U73" s="209" t="n"/>
      <c r="V73" s="209" t="n"/>
      <c r="W73" s="209" t="n"/>
      <c r="X73" s="209" t="n"/>
      <c r="Y73" s="209" t="n"/>
      <c r="Z73" s="209" t="n"/>
      <c r="AA73" s="209" t="n"/>
    </row>
    <row r="74" hidden="1" ht="15" customHeight="1" s="230">
      <c r="A74" s="219">
        <f>IFERROR(SMALL('Master Stock'!$Q$2:$Q$99,ROWS($A$3:A74)),"")</f>
        <v/>
      </c>
      <c r="B74" s="211">
        <f t="array" ref="B74">IF($A74="","",INDEX('Master Stock'!$C$2:$C$99,MATCH($A74,'Master Stock'!$Q$2:$Q$99,0)))</f>
        <v/>
      </c>
      <c r="C74" s="211">
        <f t="array" ref="C74">IF($A74="","",INDEX('Master Stock'!$D$2:$D$99,MATCH($A74,'Master Stock'!$Q$2:$Q$99,0)))</f>
        <v/>
      </c>
      <c r="D74" s="214">
        <f t="array" ref="D74">IF($A74="","",INDEX('Master Stock'!$B$2:$B$99,MATCH($A74,'Master Stock'!$Q$2:$Q$99,0)))</f>
        <v/>
      </c>
      <c r="E74" s="211">
        <f t="array" ref="E74">IF($A74="","",INDEX('Master Stock'!$G$2:$G$99,MATCH($A74,'Master Stock'!$Q$2:$Q$99,0)))</f>
        <v/>
      </c>
      <c r="F74" s="213">
        <f t="array" ref="F74">IF($A74="","",INDEX('Master Stock'!$F$2:$F$99,MATCH($A74,'Master Stock'!$Q$2:$Q$99,0)))</f>
        <v/>
      </c>
      <c r="G74" s="211">
        <f>IF($A74="","","Wheat")</f>
        <v/>
      </c>
      <c r="H74" s="214" t="n"/>
      <c r="I74" s="214">
        <f>IF($A74="","","FIFO - Oldest Receipt First")</f>
        <v/>
      </c>
      <c r="J74" s="209" t="n"/>
      <c r="K74" s="209" t="n"/>
      <c r="L74" s="209" t="n"/>
      <c r="M74" s="209" t="n"/>
      <c r="N74" s="209" t="n"/>
      <c r="O74" s="209" t="n"/>
      <c r="P74" s="209" t="n"/>
      <c r="Q74" s="209" t="n"/>
      <c r="R74" s="209" t="n"/>
      <c r="S74" s="209" t="n"/>
      <c r="T74" s="209" t="n"/>
      <c r="U74" s="209" t="n"/>
      <c r="V74" s="209" t="n"/>
      <c r="W74" s="209" t="n"/>
      <c r="X74" s="209" t="n"/>
      <c r="Y74" s="209" t="n"/>
      <c r="Z74" s="209" t="n"/>
      <c r="AA74" s="209" t="n"/>
    </row>
    <row r="75" hidden="1" ht="15" customHeight="1" s="230">
      <c r="A75" s="219">
        <f>IFERROR(SMALL('Master Stock'!$Q$2:$Q$99,ROWS($A$3:A75)),"")</f>
        <v/>
      </c>
      <c r="B75" s="211">
        <f t="array" ref="B75">IF($A75="","",INDEX('Master Stock'!$C$2:$C$99,MATCH($A75,'Master Stock'!$Q$2:$Q$99,0)))</f>
        <v/>
      </c>
      <c r="C75" s="211">
        <f t="array" ref="C75">IF($A75="","",INDEX('Master Stock'!$D$2:$D$99,MATCH($A75,'Master Stock'!$Q$2:$Q$99,0)))</f>
        <v/>
      </c>
      <c r="D75" s="214">
        <f t="array" ref="D75">IF($A75="","",INDEX('Master Stock'!$B$2:$B$99,MATCH($A75,'Master Stock'!$Q$2:$Q$99,0)))</f>
        <v/>
      </c>
      <c r="E75" s="211">
        <f t="array" ref="E75">IF($A75="","",INDEX('Master Stock'!$G$2:$G$99,MATCH($A75,'Master Stock'!$Q$2:$Q$99,0)))</f>
        <v/>
      </c>
      <c r="F75" s="213">
        <f t="array" ref="F75">IF($A75="","",INDEX('Master Stock'!$F$2:$F$99,MATCH($A75,'Master Stock'!$Q$2:$Q$99,0)))</f>
        <v/>
      </c>
      <c r="G75" s="211">
        <f>IF($A75="","","Wheat")</f>
        <v/>
      </c>
      <c r="H75" s="214" t="n"/>
      <c r="I75" s="214">
        <f>IF($A75="","","FIFO - Oldest Receipt First")</f>
        <v/>
      </c>
      <c r="J75" s="209" t="n"/>
      <c r="K75" s="209" t="n"/>
      <c r="L75" s="209" t="n"/>
      <c r="M75" s="209" t="n"/>
      <c r="N75" s="209" t="n"/>
      <c r="O75" s="209" t="n"/>
      <c r="P75" s="209" t="n"/>
      <c r="Q75" s="209" t="n"/>
      <c r="R75" s="209" t="n"/>
      <c r="S75" s="209" t="n"/>
      <c r="T75" s="209" t="n"/>
      <c r="U75" s="209" t="n"/>
      <c r="V75" s="209" t="n"/>
      <c r="W75" s="209" t="n"/>
      <c r="X75" s="209" t="n"/>
      <c r="Y75" s="209" t="n"/>
      <c r="Z75" s="209" t="n"/>
      <c r="AA75" s="209" t="n"/>
    </row>
    <row r="76" hidden="1" ht="15" customHeight="1" s="230">
      <c r="A76" s="219">
        <f>IFERROR(SMALL('Master Stock'!$Q$2:$Q$99,ROWS($A$3:A76)),"")</f>
        <v/>
      </c>
      <c r="B76" s="211">
        <f t="array" ref="B76">IF($A76="","",INDEX('Master Stock'!$C$2:$C$99,MATCH($A76,'Master Stock'!$Q$2:$Q$99,0)))</f>
        <v/>
      </c>
      <c r="C76" s="211">
        <f t="array" ref="C76">IF($A76="","",INDEX('Master Stock'!$D$2:$D$99,MATCH($A76,'Master Stock'!$Q$2:$Q$99,0)))</f>
        <v/>
      </c>
      <c r="D76" s="214">
        <f t="array" ref="D76">IF($A76="","",INDEX('Master Stock'!$B$2:$B$99,MATCH($A76,'Master Stock'!$Q$2:$Q$99,0)))</f>
        <v/>
      </c>
      <c r="E76" s="211">
        <f t="array" ref="E76">IF($A76="","",INDEX('Master Stock'!$G$2:$G$99,MATCH($A76,'Master Stock'!$Q$2:$Q$99,0)))</f>
        <v/>
      </c>
      <c r="F76" s="213">
        <f t="array" ref="F76">IF($A76="","",INDEX('Master Stock'!$F$2:$F$99,MATCH($A76,'Master Stock'!$Q$2:$Q$99,0)))</f>
        <v/>
      </c>
      <c r="G76" s="211">
        <f>IF($A76="","","Wheat")</f>
        <v/>
      </c>
      <c r="H76" s="214" t="n"/>
      <c r="I76" s="214">
        <f>IF($A76="","","FIFO - Oldest Receipt First")</f>
        <v/>
      </c>
      <c r="J76" s="209" t="n"/>
      <c r="K76" s="209" t="n"/>
      <c r="L76" s="209" t="n"/>
      <c r="M76" s="209" t="n"/>
      <c r="N76" s="209" t="n"/>
      <c r="O76" s="209" t="n"/>
      <c r="P76" s="209" t="n"/>
      <c r="Q76" s="209" t="n"/>
      <c r="R76" s="209" t="n"/>
      <c r="S76" s="209" t="n"/>
      <c r="T76" s="209" t="n"/>
      <c r="U76" s="209" t="n"/>
      <c r="V76" s="209" t="n"/>
      <c r="W76" s="209" t="n"/>
      <c r="X76" s="209" t="n"/>
      <c r="Y76" s="209" t="n"/>
      <c r="Z76" s="209" t="n"/>
      <c r="AA76" s="209" t="n"/>
    </row>
    <row r="77" hidden="1" ht="15" customHeight="1" s="230">
      <c r="A77" s="219">
        <f>IFERROR(SMALL('Master Stock'!$Q$2:$Q$99,ROWS($A$3:A77)),"")</f>
        <v/>
      </c>
      <c r="B77" s="211">
        <f t="array" ref="B77">IF($A77="","",INDEX('Master Stock'!$C$2:$C$99,MATCH($A77,'Master Stock'!$Q$2:$Q$99,0)))</f>
        <v/>
      </c>
      <c r="C77" s="211">
        <f t="array" ref="C77">IF($A77="","",INDEX('Master Stock'!$D$2:$D$99,MATCH($A77,'Master Stock'!$Q$2:$Q$99,0)))</f>
        <v/>
      </c>
      <c r="D77" s="214">
        <f t="array" ref="D77">IF($A77="","",INDEX('Master Stock'!$B$2:$B$99,MATCH($A77,'Master Stock'!$Q$2:$Q$99,0)))</f>
        <v/>
      </c>
      <c r="E77" s="211">
        <f t="array" ref="E77">IF($A77="","",INDEX('Master Stock'!$G$2:$G$99,MATCH($A77,'Master Stock'!$Q$2:$Q$99,0)))</f>
        <v/>
      </c>
      <c r="F77" s="213">
        <f t="array" ref="F77">IF($A77="","",INDEX('Master Stock'!$F$2:$F$99,MATCH($A77,'Master Stock'!$Q$2:$Q$99,0)))</f>
        <v/>
      </c>
      <c r="G77" s="211">
        <f>IF($A77="","","Wheat")</f>
        <v/>
      </c>
      <c r="H77" s="214" t="n"/>
      <c r="I77" s="214">
        <f>IF($A77="","","FIFO - Oldest Receipt First")</f>
        <v/>
      </c>
      <c r="J77" s="209" t="n"/>
      <c r="K77" s="209" t="n"/>
      <c r="L77" s="209" t="n"/>
      <c r="M77" s="209" t="n"/>
      <c r="N77" s="209" t="n"/>
      <c r="O77" s="209" t="n"/>
      <c r="P77" s="209" t="n"/>
      <c r="Q77" s="209" t="n"/>
      <c r="R77" s="209" t="n"/>
      <c r="S77" s="209" t="n"/>
      <c r="T77" s="209" t="n"/>
      <c r="U77" s="209" t="n"/>
      <c r="V77" s="209" t="n"/>
      <c r="W77" s="209" t="n"/>
      <c r="X77" s="209" t="n"/>
      <c r="Y77" s="209" t="n"/>
      <c r="Z77" s="209" t="n"/>
      <c r="AA77" s="209" t="n"/>
    </row>
    <row r="78" hidden="1" ht="15" customHeight="1" s="230">
      <c r="A78" s="219">
        <f>IFERROR(SMALL('Master Stock'!$Q$2:$Q$99,ROWS($A$3:A78)),"")</f>
        <v/>
      </c>
      <c r="B78" s="211">
        <f t="array" ref="B78">IF($A78="","",INDEX('Master Stock'!$C$2:$C$99,MATCH($A78,'Master Stock'!$Q$2:$Q$99,0)))</f>
        <v/>
      </c>
      <c r="C78" s="211">
        <f t="array" ref="C78">IF($A78="","",INDEX('Master Stock'!$D$2:$D$99,MATCH($A78,'Master Stock'!$Q$2:$Q$99,0)))</f>
        <v/>
      </c>
      <c r="D78" s="214">
        <f t="array" ref="D78">IF($A78="","",INDEX('Master Stock'!$B$2:$B$99,MATCH($A78,'Master Stock'!$Q$2:$Q$99,0)))</f>
        <v/>
      </c>
      <c r="E78" s="211">
        <f t="array" ref="E78">IF($A78="","",INDEX('Master Stock'!$G$2:$G$99,MATCH($A78,'Master Stock'!$Q$2:$Q$99,0)))</f>
        <v/>
      </c>
      <c r="F78" s="213">
        <f t="array" ref="F78">IF($A78="","",INDEX('Master Stock'!$F$2:$F$99,MATCH($A78,'Master Stock'!$Q$2:$Q$99,0)))</f>
        <v/>
      </c>
      <c r="G78" s="211">
        <f>IF($A78="","","Wheat")</f>
        <v/>
      </c>
      <c r="H78" s="214" t="n"/>
      <c r="I78" s="214">
        <f>IF($A78="","","FIFO - Oldest Receipt First")</f>
        <v/>
      </c>
      <c r="J78" s="209" t="n"/>
      <c r="K78" s="209" t="n"/>
      <c r="L78" s="209" t="n"/>
      <c r="M78" s="209" t="n"/>
      <c r="N78" s="209" t="n"/>
      <c r="O78" s="209" t="n"/>
      <c r="P78" s="209" t="n"/>
      <c r="Q78" s="209" t="n"/>
      <c r="R78" s="209" t="n"/>
      <c r="S78" s="209" t="n"/>
      <c r="T78" s="209" t="n"/>
      <c r="U78" s="209" t="n"/>
      <c r="V78" s="209" t="n"/>
      <c r="W78" s="209" t="n"/>
      <c r="X78" s="209" t="n"/>
      <c r="Y78" s="209" t="n"/>
      <c r="Z78" s="209" t="n"/>
      <c r="AA78" s="209" t="n"/>
    </row>
    <row r="79" hidden="1" ht="15" customHeight="1" s="230">
      <c r="A79" s="219">
        <f>IFERROR(SMALL('Master Stock'!$Q$2:$Q$99,ROWS($A$3:A79)),"")</f>
        <v/>
      </c>
      <c r="B79" s="211">
        <f t="array" ref="B79">IF($A79="","",INDEX('Master Stock'!$C$2:$C$99,MATCH($A79,'Master Stock'!$Q$2:$Q$99,0)))</f>
        <v/>
      </c>
      <c r="C79" s="211">
        <f t="array" ref="C79">IF($A79="","",INDEX('Master Stock'!$D$2:$D$99,MATCH($A79,'Master Stock'!$Q$2:$Q$99,0)))</f>
        <v/>
      </c>
      <c r="D79" s="214">
        <f t="array" ref="D79">IF($A79="","",INDEX('Master Stock'!$B$2:$B$99,MATCH($A79,'Master Stock'!$Q$2:$Q$99,0)))</f>
        <v/>
      </c>
      <c r="E79" s="211">
        <f t="array" ref="E79">IF($A79="","",INDEX('Master Stock'!$G$2:$G$99,MATCH($A79,'Master Stock'!$Q$2:$Q$99,0)))</f>
        <v/>
      </c>
      <c r="F79" s="213">
        <f t="array" ref="F79">IF($A79="","",INDEX('Master Stock'!$F$2:$F$99,MATCH($A79,'Master Stock'!$Q$2:$Q$99,0)))</f>
        <v/>
      </c>
      <c r="G79" s="211">
        <f>IF($A79="","","Wheat")</f>
        <v/>
      </c>
      <c r="H79" s="214" t="n"/>
      <c r="I79" s="214">
        <f>IF($A79="","","FIFO - Oldest Receipt First")</f>
        <v/>
      </c>
      <c r="J79" s="209" t="n"/>
      <c r="K79" s="209" t="n"/>
      <c r="L79" s="209" t="n"/>
      <c r="M79" s="209" t="n"/>
      <c r="N79" s="209" t="n"/>
      <c r="O79" s="209" t="n"/>
      <c r="P79" s="209" t="n"/>
      <c r="Q79" s="209" t="n"/>
      <c r="R79" s="209" t="n"/>
      <c r="S79" s="209" t="n"/>
      <c r="T79" s="209" t="n"/>
      <c r="U79" s="209" t="n"/>
      <c r="V79" s="209" t="n"/>
      <c r="W79" s="209" t="n"/>
      <c r="X79" s="209" t="n"/>
      <c r="Y79" s="209" t="n"/>
      <c r="Z79" s="209" t="n"/>
      <c r="AA79" s="209" t="n"/>
    </row>
    <row r="80" hidden="1" ht="15" customHeight="1" s="230">
      <c r="A80" s="219">
        <f>IFERROR(SMALL('Master Stock'!$Q$2:$Q$99,ROWS($A$3:A80)),"")</f>
        <v/>
      </c>
      <c r="B80" s="211">
        <f t="array" ref="B80">IF($A80="","",INDEX('Master Stock'!$C$2:$C$99,MATCH($A80,'Master Stock'!$Q$2:$Q$99,0)))</f>
        <v/>
      </c>
      <c r="C80" s="211">
        <f t="array" ref="C80">IF($A80="","",INDEX('Master Stock'!$D$2:$D$99,MATCH($A80,'Master Stock'!$Q$2:$Q$99,0)))</f>
        <v/>
      </c>
      <c r="D80" s="214">
        <f t="array" ref="D80">IF($A80="","",INDEX('Master Stock'!$B$2:$B$99,MATCH($A80,'Master Stock'!$Q$2:$Q$99,0)))</f>
        <v/>
      </c>
      <c r="E80" s="211">
        <f t="array" ref="E80">IF($A80="","",INDEX('Master Stock'!$G$2:$G$99,MATCH($A80,'Master Stock'!$Q$2:$Q$99,0)))</f>
        <v/>
      </c>
      <c r="F80" s="213">
        <f t="array" ref="F80">IF($A80="","",INDEX('Master Stock'!$F$2:$F$99,MATCH($A80,'Master Stock'!$Q$2:$Q$99,0)))</f>
        <v/>
      </c>
      <c r="G80" s="211">
        <f>IF($A80="","","Wheat")</f>
        <v/>
      </c>
      <c r="H80" s="214" t="n"/>
      <c r="I80" s="214">
        <f>IF($A80="","","FIFO - Oldest Receipt First")</f>
        <v/>
      </c>
      <c r="J80" s="209" t="n"/>
      <c r="K80" s="209" t="n"/>
      <c r="L80" s="209" t="n"/>
      <c r="M80" s="209" t="n"/>
      <c r="N80" s="209" t="n"/>
      <c r="O80" s="209" t="n"/>
      <c r="P80" s="209" t="n"/>
      <c r="Q80" s="209" t="n"/>
      <c r="R80" s="209" t="n"/>
      <c r="S80" s="209" t="n"/>
      <c r="T80" s="209" t="n"/>
      <c r="U80" s="209" t="n"/>
      <c r="V80" s="209" t="n"/>
      <c r="W80" s="209" t="n"/>
      <c r="X80" s="209" t="n"/>
      <c r="Y80" s="209" t="n"/>
      <c r="Z80" s="209" t="n"/>
      <c r="AA80" s="209" t="n"/>
    </row>
    <row r="81" hidden="1" ht="15" customHeight="1" s="230">
      <c r="A81" s="219">
        <f>IFERROR(SMALL('Master Stock'!$Q$2:$Q$99,ROWS($A$3:A81)),"")</f>
        <v/>
      </c>
      <c r="B81" s="211">
        <f t="array" ref="B81">IF($A81="","",INDEX('Master Stock'!$C$2:$C$99,MATCH($A81,'Master Stock'!$Q$2:$Q$99,0)))</f>
        <v/>
      </c>
      <c r="C81" s="211">
        <f t="array" ref="C81">IF($A81="","",INDEX('Master Stock'!$D$2:$D$99,MATCH($A81,'Master Stock'!$Q$2:$Q$99,0)))</f>
        <v/>
      </c>
      <c r="D81" s="214">
        <f t="array" ref="D81">IF($A81="","",INDEX('Master Stock'!$B$2:$B$99,MATCH($A81,'Master Stock'!$Q$2:$Q$99,0)))</f>
        <v/>
      </c>
      <c r="E81" s="211">
        <f t="array" ref="E81">IF($A81="","",INDEX('Master Stock'!$G$2:$G$99,MATCH($A81,'Master Stock'!$Q$2:$Q$99,0)))</f>
        <v/>
      </c>
      <c r="F81" s="213">
        <f t="array" ref="F81">IF($A81="","",INDEX('Master Stock'!$F$2:$F$99,MATCH($A81,'Master Stock'!$Q$2:$Q$99,0)))</f>
        <v/>
      </c>
      <c r="G81" s="211">
        <f>IF($A81="","","Wheat")</f>
        <v/>
      </c>
      <c r="H81" s="214" t="n"/>
      <c r="I81" s="214">
        <f>IF($A81="","","FIFO - Oldest Receipt First")</f>
        <v/>
      </c>
      <c r="J81" s="209" t="n"/>
      <c r="K81" s="209" t="n"/>
      <c r="L81" s="209" t="n"/>
      <c r="M81" s="209" t="n"/>
      <c r="N81" s="209" t="n"/>
      <c r="O81" s="209" t="n"/>
      <c r="P81" s="209" t="n"/>
      <c r="Q81" s="209" t="n"/>
      <c r="R81" s="209" t="n"/>
      <c r="S81" s="209" t="n"/>
      <c r="T81" s="209" t="n"/>
      <c r="U81" s="209" t="n"/>
      <c r="V81" s="209" t="n"/>
      <c r="W81" s="209" t="n"/>
      <c r="X81" s="209" t="n"/>
      <c r="Y81" s="209" t="n"/>
      <c r="Z81" s="209" t="n"/>
      <c r="AA81" s="209" t="n"/>
    </row>
    <row r="82" hidden="1" ht="15" customHeight="1" s="230">
      <c r="A82" s="219">
        <f>IFERROR(SMALL('Master Stock'!$Q$2:$Q$99,ROWS($A$3:A82)),"")</f>
        <v/>
      </c>
      <c r="B82" s="211">
        <f t="array" ref="B82">IF($A82="","",INDEX('Master Stock'!$C$2:$C$99,MATCH($A82,'Master Stock'!$Q$2:$Q$99,0)))</f>
        <v/>
      </c>
      <c r="C82" s="211">
        <f t="array" ref="C82">IF($A82="","",INDEX('Master Stock'!$D$2:$D$99,MATCH($A82,'Master Stock'!$Q$2:$Q$99,0)))</f>
        <v/>
      </c>
      <c r="D82" s="214">
        <f t="array" ref="D82">IF($A82="","",INDEX('Master Stock'!$B$2:$B$99,MATCH($A82,'Master Stock'!$Q$2:$Q$99,0)))</f>
        <v/>
      </c>
      <c r="E82" s="211">
        <f t="array" ref="E82">IF($A82="","",INDEX('Master Stock'!$G$2:$G$99,MATCH($A82,'Master Stock'!$Q$2:$Q$99,0)))</f>
        <v/>
      </c>
      <c r="F82" s="213">
        <f t="array" ref="F82">IF($A82="","",INDEX('Master Stock'!$F$2:$F$99,MATCH($A82,'Master Stock'!$Q$2:$Q$99,0)))</f>
        <v/>
      </c>
      <c r="G82" s="211">
        <f>IF($A82="","","Wheat")</f>
        <v/>
      </c>
      <c r="H82" s="214" t="n"/>
      <c r="I82" s="214">
        <f>IF($A82="","","FIFO - Oldest Receipt First")</f>
        <v/>
      </c>
      <c r="J82" s="209" t="n"/>
      <c r="K82" s="209" t="n"/>
      <c r="L82" s="209" t="n"/>
      <c r="M82" s="209" t="n"/>
      <c r="N82" s="209" t="n"/>
      <c r="O82" s="209" t="n"/>
      <c r="P82" s="209" t="n"/>
      <c r="Q82" s="209" t="n"/>
      <c r="R82" s="209" t="n"/>
      <c r="S82" s="209" t="n"/>
      <c r="T82" s="209" t="n"/>
      <c r="U82" s="209" t="n"/>
      <c r="V82" s="209" t="n"/>
      <c r="W82" s="209" t="n"/>
      <c r="X82" s="209" t="n"/>
      <c r="Y82" s="209" t="n"/>
      <c r="Z82" s="209" t="n"/>
      <c r="AA82" s="209" t="n"/>
    </row>
    <row r="83" hidden="1" ht="15" customHeight="1" s="230">
      <c r="A83" s="219">
        <f>IFERROR(SMALL('Master Stock'!$Q$2:$Q$99,ROWS($A$3:A83)),"")</f>
        <v/>
      </c>
      <c r="B83" s="211">
        <f t="array" ref="B83">IF($A83="","",INDEX('Master Stock'!$C$2:$C$99,MATCH($A83,'Master Stock'!$Q$2:$Q$99,0)))</f>
        <v/>
      </c>
      <c r="C83" s="211">
        <f t="array" ref="C83">IF($A83="","",INDEX('Master Stock'!$D$2:$D$99,MATCH($A83,'Master Stock'!$Q$2:$Q$99,0)))</f>
        <v/>
      </c>
      <c r="D83" s="214">
        <f t="array" ref="D83">IF($A83="","",INDEX('Master Stock'!$B$2:$B$99,MATCH($A83,'Master Stock'!$Q$2:$Q$99,0)))</f>
        <v/>
      </c>
      <c r="E83" s="211">
        <f t="array" ref="E83">IF($A83="","",INDEX('Master Stock'!$G$2:$G$99,MATCH($A83,'Master Stock'!$Q$2:$Q$99,0)))</f>
        <v/>
      </c>
      <c r="F83" s="213">
        <f t="array" ref="F83">IF($A83="","",INDEX('Master Stock'!$F$2:$F$99,MATCH($A83,'Master Stock'!$Q$2:$Q$99,0)))</f>
        <v/>
      </c>
      <c r="G83" s="211">
        <f>IF($A83="","","Wheat")</f>
        <v/>
      </c>
      <c r="H83" s="214" t="n"/>
      <c r="I83" s="214">
        <f>IF($A83="","","FIFO - Oldest Receipt First")</f>
        <v/>
      </c>
      <c r="J83" s="209" t="n"/>
      <c r="K83" s="209" t="n"/>
      <c r="L83" s="209" t="n"/>
      <c r="M83" s="209" t="n"/>
      <c r="N83" s="209" t="n"/>
      <c r="O83" s="209" t="n"/>
      <c r="P83" s="209" t="n"/>
      <c r="Q83" s="209" t="n"/>
      <c r="R83" s="209" t="n"/>
      <c r="S83" s="209" t="n"/>
      <c r="T83" s="209" t="n"/>
      <c r="U83" s="209" t="n"/>
      <c r="V83" s="209" t="n"/>
      <c r="W83" s="209" t="n"/>
      <c r="X83" s="209" t="n"/>
      <c r="Y83" s="209" t="n"/>
      <c r="Z83" s="209" t="n"/>
      <c r="AA83" s="209" t="n"/>
    </row>
    <row r="84" hidden="1" ht="15" customHeight="1" s="230">
      <c r="A84" s="219">
        <f>IFERROR(SMALL('Master Stock'!$Q$2:$Q$99,ROWS($A$3:A84)),"")</f>
        <v/>
      </c>
      <c r="B84" s="211">
        <f t="array" ref="B84">IF($A84="","",INDEX('Master Stock'!$C$2:$C$99,MATCH($A84,'Master Stock'!$Q$2:$Q$99,0)))</f>
        <v/>
      </c>
      <c r="C84" s="211">
        <f t="array" ref="C84">IF($A84="","",INDEX('Master Stock'!$D$2:$D$99,MATCH($A84,'Master Stock'!$Q$2:$Q$99,0)))</f>
        <v/>
      </c>
      <c r="D84" s="214">
        <f t="array" ref="D84">IF($A84="","",INDEX('Master Stock'!$B$2:$B$99,MATCH($A84,'Master Stock'!$Q$2:$Q$99,0)))</f>
        <v/>
      </c>
      <c r="E84" s="211">
        <f t="array" ref="E84">IF($A84="","",INDEX('Master Stock'!$G$2:$G$99,MATCH($A84,'Master Stock'!$Q$2:$Q$99,0)))</f>
        <v/>
      </c>
      <c r="F84" s="213">
        <f t="array" ref="F84">IF($A84="","",INDEX('Master Stock'!$F$2:$F$99,MATCH($A84,'Master Stock'!$Q$2:$Q$99,0)))</f>
        <v/>
      </c>
      <c r="G84" s="211">
        <f>IF($A84="","","Wheat")</f>
        <v/>
      </c>
      <c r="H84" s="214" t="n"/>
      <c r="I84" s="214">
        <f>IF($A84="","","FIFO - Oldest Receipt First")</f>
        <v/>
      </c>
      <c r="J84" s="209" t="n"/>
      <c r="K84" s="209" t="n"/>
      <c r="L84" s="209" t="n"/>
      <c r="M84" s="209" t="n"/>
      <c r="N84" s="209" t="n"/>
      <c r="O84" s="209" t="n"/>
      <c r="P84" s="209" t="n"/>
      <c r="Q84" s="209" t="n"/>
      <c r="R84" s="209" t="n"/>
      <c r="S84" s="209" t="n"/>
      <c r="T84" s="209" t="n"/>
      <c r="U84" s="209" t="n"/>
      <c r="V84" s="209" t="n"/>
      <c r="W84" s="209" t="n"/>
      <c r="X84" s="209" t="n"/>
      <c r="Y84" s="209" t="n"/>
      <c r="Z84" s="209" t="n"/>
      <c r="AA84" s="209" t="n"/>
    </row>
    <row r="85" hidden="1" ht="15" customHeight="1" s="230">
      <c r="A85" s="219">
        <f>IFERROR(SMALL('Master Stock'!$Q$2:$Q$99,ROWS($A$3:A85)),"")</f>
        <v/>
      </c>
      <c r="B85" s="211">
        <f t="array" ref="B85">IF($A85="","",INDEX('Master Stock'!$C$2:$C$99,MATCH($A85,'Master Stock'!$Q$2:$Q$99,0)))</f>
        <v/>
      </c>
      <c r="C85" s="211">
        <f t="array" ref="C85">IF($A85="","",INDEX('Master Stock'!$D$2:$D$99,MATCH($A85,'Master Stock'!$Q$2:$Q$99,0)))</f>
        <v/>
      </c>
      <c r="D85" s="214">
        <f t="array" ref="D85">IF($A85="","",INDEX('Master Stock'!$B$2:$B$99,MATCH($A85,'Master Stock'!$Q$2:$Q$99,0)))</f>
        <v/>
      </c>
      <c r="E85" s="211">
        <f t="array" ref="E85">IF($A85="","",INDEX('Master Stock'!$G$2:$G$99,MATCH($A85,'Master Stock'!$Q$2:$Q$99,0)))</f>
        <v/>
      </c>
      <c r="F85" s="213">
        <f t="array" ref="F85">IF($A85="","",INDEX('Master Stock'!$F$2:$F$99,MATCH($A85,'Master Stock'!$Q$2:$Q$99,0)))</f>
        <v/>
      </c>
      <c r="G85" s="211">
        <f>IF($A85="","","Wheat")</f>
        <v/>
      </c>
      <c r="H85" s="214" t="n"/>
      <c r="I85" s="214">
        <f>IF($A85="","","FIFO - Oldest Receipt First")</f>
        <v/>
      </c>
      <c r="J85" s="209" t="n"/>
      <c r="K85" s="209" t="n"/>
      <c r="L85" s="209" t="n"/>
      <c r="M85" s="209" t="n"/>
      <c r="N85" s="209" t="n"/>
      <c r="O85" s="209" t="n"/>
      <c r="P85" s="209" t="n"/>
      <c r="Q85" s="209" t="n"/>
      <c r="R85" s="209" t="n"/>
      <c r="S85" s="209" t="n"/>
      <c r="T85" s="209" t="n"/>
      <c r="U85" s="209" t="n"/>
      <c r="V85" s="209" t="n"/>
      <c r="W85" s="209" t="n"/>
      <c r="X85" s="209" t="n"/>
      <c r="Y85" s="209" t="n"/>
      <c r="Z85" s="209" t="n"/>
      <c r="AA85" s="209" t="n"/>
    </row>
    <row r="86" hidden="1" ht="15" customHeight="1" s="230">
      <c r="A86" s="219">
        <f>IFERROR(SMALL('Master Stock'!$Q$2:$Q$99,ROWS($A$3:A86)),"")</f>
        <v/>
      </c>
      <c r="B86" s="211">
        <f t="array" ref="B86">IF($A86="","",INDEX('Master Stock'!$C$2:$C$99,MATCH($A86,'Master Stock'!$Q$2:$Q$99,0)))</f>
        <v/>
      </c>
      <c r="C86" s="211">
        <f t="array" ref="C86">IF($A86="","",INDEX('Master Stock'!$D$2:$D$99,MATCH($A86,'Master Stock'!$Q$2:$Q$99,0)))</f>
        <v/>
      </c>
      <c r="D86" s="214">
        <f t="array" ref="D86">IF($A86="","",INDEX('Master Stock'!$B$2:$B$99,MATCH($A86,'Master Stock'!$Q$2:$Q$99,0)))</f>
        <v/>
      </c>
      <c r="E86" s="211">
        <f t="array" ref="E86">IF($A86="","",INDEX('Master Stock'!$G$2:$G$99,MATCH($A86,'Master Stock'!$Q$2:$Q$99,0)))</f>
        <v/>
      </c>
      <c r="F86" s="213">
        <f t="array" ref="F86">IF($A86="","",INDEX('Master Stock'!$F$2:$F$99,MATCH($A86,'Master Stock'!$Q$2:$Q$99,0)))</f>
        <v/>
      </c>
      <c r="G86" s="211">
        <f>IF($A86="","","Wheat")</f>
        <v/>
      </c>
      <c r="H86" s="214" t="n"/>
      <c r="I86" s="214">
        <f>IF($A86="","","FIFO - Oldest Receipt First")</f>
        <v/>
      </c>
      <c r="J86" s="209" t="n"/>
      <c r="K86" s="209" t="n"/>
      <c r="L86" s="209" t="n"/>
      <c r="M86" s="209" t="n"/>
      <c r="N86" s="209" t="n"/>
      <c r="O86" s="209" t="n"/>
      <c r="P86" s="209" t="n"/>
      <c r="Q86" s="209" t="n"/>
      <c r="R86" s="209" t="n"/>
      <c r="S86" s="209" t="n"/>
      <c r="T86" s="209" t="n"/>
      <c r="U86" s="209" t="n"/>
      <c r="V86" s="209" t="n"/>
      <c r="W86" s="209" t="n"/>
      <c r="X86" s="209" t="n"/>
      <c r="Y86" s="209" t="n"/>
      <c r="Z86" s="209" t="n"/>
      <c r="AA86" s="209" t="n"/>
    </row>
    <row r="87" hidden="1" ht="15" customHeight="1" s="230">
      <c r="A87" s="219">
        <f>IFERROR(SMALL('Master Stock'!$Q$2:$Q$99,ROWS($A$3:A87)),"")</f>
        <v/>
      </c>
      <c r="B87" s="211">
        <f t="array" ref="B87">IF($A87="","",INDEX('Master Stock'!$C$2:$C$99,MATCH($A87,'Master Stock'!$Q$2:$Q$99,0)))</f>
        <v/>
      </c>
      <c r="C87" s="211">
        <f t="array" ref="C87">IF($A87="","",INDEX('Master Stock'!$D$2:$D$99,MATCH($A87,'Master Stock'!$Q$2:$Q$99,0)))</f>
        <v/>
      </c>
      <c r="D87" s="214">
        <f t="array" ref="D87">IF($A87="","",INDEX('Master Stock'!$B$2:$B$99,MATCH($A87,'Master Stock'!$Q$2:$Q$99,0)))</f>
        <v/>
      </c>
      <c r="E87" s="211">
        <f t="array" ref="E87">IF($A87="","",INDEX('Master Stock'!$G$2:$G$99,MATCH($A87,'Master Stock'!$Q$2:$Q$99,0)))</f>
        <v/>
      </c>
      <c r="F87" s="213">
        <f t="array" ref="F87">IF($A87="","",INDEX('Master Stock'!$F$2:$F$99,MATCH($A87,'Master Stock'!$Q$2:$Q$99,0)))</f>
        <v/>
      </c>
      <c r="G87" s="211">
        <f>IF($A87="","","Wheat")</f>
        <v/>
      </c>
      <c r="H87" s="214" t="n"/>
      <c r="I87" s="214">
        <f>IF($A87="","","FIFO - Oldest Receipt First")</f>
        <v/>
      </c>
      <c r="J87" s="209" t="n"/>
      <c r="K87" s="209" t="n"/>
      <c r="L87" s="209" t="n"/>
      <c r="M87" s="209" t="n"/>
      <c r="N87" s="209" t="n"/>
      <c r="O87" s="209" t="n"/>
      <c r="P87" s="209" t="n"/>
      <c r="Q87" s="209" t="n"/>
      <c r="R87" s="209" t="n"/>
      <c r="S87" s="209" t="n"/>
      <c r="T87" s="209" t="n"/>
      <c r="U87" s="209" t="n"/>
      <c r="V87" s="209" t="n"/>
      <c r="W87" s="209" t="n"/>
      <c r="X87" s="209" t="n"/>
      <c r="Y87" s="209" t="n"/>
      <c r="Z87" s="209" t="n"/>
      <c r="AA87" s="209" t="n"/>
    </row>
    <row r="88" hidden="1" ht="15" customHeight="1" s="230">
      <c r="A88" s="219">
        <f>IFERROR(SMALL('Master Stock'!$Q$2:$Q$99,ROWS($A$3:A88)),"")</f>
        <v/>
      </c>
      <c r="B88" s="211">
        <f t="array" ref="B88">IF($A88="","",INDEX('Master Stock'!$C$2:$C$99,MATCH($A88,'Master Stock'!$Q$2:$Q$99,0)))</f>
        <v/>
      </c>
      <c r="C88" s="211">
        <f t="array" ref="C88">IF($A88="","",INDEX('Master Stock'!$D$2:$D$99,MATCH($A88,'Master Stock'!$Q$2:$Q$99,0)))</f>
        <v/>
      </c>
      <c r="D88" s="214">
        <f t="array" ref="D88">IF($A88="","",INDEX('Master Stock'!$B$2:$B$99,MATCH($A88,'Master Stock'!$Q$2:$Q$99,0)))</f>
        <v/>
      </c>
      <c r="E88" s="211">
        <f t="array" ref="E88">IF($A88="","",INDEX('Master Stock'!$G$2:$G$99,MATCH($A88,'Master Stock'!$Q$2:$Q$99,0)))</f>
        <v/>
      </c>
      <c r="F88" s="213">
        <f t="array" ref="F88">IF($A88="","",INDEX('Master Stock'!$F$2:$F$99,MATCH($A88,'Master Stock'!$Q$2:$Q$99,0)))</f>
        <v/>
      </c>
      <c r="G88" s="211">
        <f>IF($A88="","","Wheat")</f>
        <v/>
      </c>
      <c r="H88" s="214" t="n"/>
      <c r="I88" s="214">
        <f>IF($A88="","","FIFO - Oldest Receipt First")</f>
        <v/>
      </c>
      <c r="J88" s="209" t="n"/>
      <c r="K88" s="209" t="n"/>
      <c r="L88" s="209" t="n"/>
      <c r="M88" s="209" t="n"/>
      <c r="N88" s="209" t="n"/>
      <c r="O88" s="209" t="n"/>
      <c r="P88" s="209" t="n"/>
      <c r="Q88" s="209" t="n"/>
      <c r="R88" s="209" t="n"/>
      <c r="S88" s="209" t="n"/>
      <c r="T88" s="209" t="n"/>
      <c r="U88" s="209" t="n"/>
      <c r="V88" s="209" t="n"/>
      <c r="W88" s="209" t="n"/>
      <c r="X88" s="209" t="n"/>
      <c r="Y88" s="209" t="n"/>
      <c r="Z88" s="209" t="n"/>
      <c r="AA88" s="209" t="n"/>
    </row>
    <row r="89" hidden="1" ht="15" customHeight="1" s="230">
      <c r="A89" s="219">
        <f>IFERROR(SMALL('Master Stock'!$Q$2:$Q$99,ROWS($A$3:A89)),"")</f>
        <v/>
      </c>
      <c r="B89" s="211">
        <f t="array" ref="B89">IF($A89="","",INDEX('Master Stock'!$C$2:$C$99,MATCH($A89,'Master Stock'!$Q$2:$Q$99,0)))</f>
        <v/>
      </c>
      <c r="C89" s="211">
        <f t="array" ref="C89">IF($A89="","",INDEX('Master Stock'!$D$2:$D$99,MATCH($A89,'Master Stock'!$Q$2:$Q$99,0)))</f>
        <v/>
      </c>
      <c r="D89" s="214">
        <f t="array" ref="D89">IF($A89="","",INDEX('Master Stock'!$B$2:$B$99,MATCH($A89,'Master Stock'!$Q$2:$Q$99,0)))</f>
        <v/>
      </c>
      <c r="E89" s="211">
        <f t="array" ref="E89">IF($A89="","",INDEX('Master Stock'!$G$2:$G$99,MATCH($A89,'Master Stock'!$Q$2:$Q$99,0)))</f>
        <v/>
      </c>
      <c r="F89" s="213">
        <f t="array" ref="F89">IF($A89="","",INDEX('Master Stock'!$F$2:$F$99,MATCH($A89,'Master Stock'!$Q$2:$Q$99,0)))</f>
        <v/>
      </c>
      <c r="G89" s="211">
        <f>IF($A89="","","Wheat")</f>
        <v/>
      </c>
      <c r="H89" s="214" t="n"/>
      <c r="I89" s="214">
        <f>IF($A89="","","FIFO - Oldest Receipt First")</f>
        <v/>
      </c>
      <c r="J89" s="209" t="n"/>
      <c r="K89" s="209" t="n"/>
      <c r="L89" s="209" t="n"/>
      <c r="M89" s="209" t="n"/>
      <c r="N89" s="209" t="n"/>
      <c r="O89" s="209" t="n"/>
      <c r="P89" s="209" t="n"/>
      <c r="Q89" s="209" t="n"/>
      <c r="R89" s="209" t="n"/>
      <c r="S89" s="209" t="n"/>
      <c r="T89" s="209" t="n"/>
      <c r="U89" s="209" t="n"/>
      <c r="V89" s="209" t="n"/>
      <c r="W89" s="209" t="n"/>
      <c r="X89" s="209" t="n"/>
      <c r="Y89" s="209" t="n"/>
      <c r="Z89" s="209" t="n"/>
      <c r="AA89" s="209" t="n"/>
    </row>
    <row r="90" hidden="1" ht="15" customHeight="1" s="230">
      <c r="A90" s="219">
        <f>IFERROR(SMALL('Master Stock'!$Q$2:$Q$99,ROWS($A$3:A90)),"")</f>
        <v/>
      </c>
      <c r="B90" s="211">
        <f t="array" ref="B90">IF($A90="","",INDEX('Master Stock'!$C$2:$C$99,MATCH($A90,'Master Stock'!$Q$2:$Q$99,0)))</f>
        <v/>
      </c>
      <c r="C90" s="211">
        <f t="array" ref="C90">IF($A90="","",INDEX('Master Stock'!$D$2:$D$99,MATCH($A90,'Master Stock'!$Q$2:$Q$99,0)))</f>
        <v/>
      </c>
      <c r="D90" s="214">
        <f t="array" ref="D90">IF($A90="","",INDEX('Master Stock'!$B$2:$B$99,MATCH($A90,'Master Stock'!$Q$2:$Q$99,0)))</f>
        <v/>
      </c>
      <c r="E90" s="211">
        <f t="array" ref="E90">IF($A90="","",INDEX('Master Stock'!$G$2:$G$99,MATCH($A90,'Master Stock'!$Q$2:$Q$99,0)))</f>
        <v/>
      </c>
      <c r="F90" s="213">
        <f t="array" ref="F90">IF($A90="","",INDEX('Master Stock'!$F$2:$F$99,MATCH($A90,'Master Stock'!$Q$2:$Q$99,0)))</f>
        <v/>
      </c>
      <c r="G90" s="211">
        <f>IF($A90="","","Wheat")</f>
        <v/>
      </c>
      <c r="H90" s="214" t="n"/>
      <c r="I90" s="214">
        <f>IF($A90="","","FIFO - Oldest Receipt First")</f>
        <v/>
      </c>
      <c r="J90" s="209" t="n"/>
      <c r="K90" s="209" t="n"/>
      <c r="L90" s="209" t="n"/>
      <c r="M90" s="209" t="n"/>
      <c r="N90" s="209" t="n"/>
      <c r="O90" s="209" t="n"/>
      <c r="P90" s="209" t="n"/>
      <c r="Q90" s="209" t="n"/>
      <c r="R90" s="209" t="n"/>
      <c r="S90" s="209" t="n"/>
      <c r="T90" s="209" t="n"/>
      <c r="U90" s="209" t="n"/>
      <c r="V90" s="209" t="n"/>
      <c r="W90" s="209" t="n"/>
      <c r="X90" s="209" t="n"/>
      <c r="Y90" s="209" t="n"/>
      <c r="Z90" s="209" t="n"/>
      <c r="AA90" s="209" t="n"/>
    </row>
    <row r="91" hidden="1" ht="15" customHeight="1" s="230">
      <c r="A91" s="219">
        <f>IFERROR(SMALL('Master Stock'!$Q$2:$Q$99,ROWS($A$3:A91)),"")</f>
        <v/>
      </c>
      <c r="B91" s="211">
        <f t="array" ref="B91">IF($A91="","",INDEX('Master Stock'!$C$2:$C$99,MATCH($A91,'Master Stock'!$Q$2:$Q$99,0)))</f>
        <v/>
      </c>
      <c r="C91" s="211">
        <f t="array" ref="C91">IF($A91="","",INDEX('Master Stock'!$D$2:$D$99,MATCH($A91,'Master Stock'!$Q$2:$Q$99,0)))</f>
        <v/>
      </c>
      <c r="D91" s="214">
        <f t="array" ref="D91">IF($A91="","",INDEX('Master Stock'!$B$2:$B$99,MATCH($A91,'Master Stock'!$Q$2:$Q$99,0)))</f>
        <v/>
      </c>
      <c r="E91" s="211">
        <f t="array" ref="E91">IF($A91="","",INDEX('Master Stock'!$G$2:$G$99,MATCH($A91,'Master Stock'!$Q$2:$Q$99,0)))</f>
        <v/>
      </c>
      <c r="F91" s="213">
        <f t="array" ref="F91">IF($A91="","",INDEX('Master Stock'!$F$2:$F$99,MATCH($A91,'Master Stock'!$Q$2:$Q$99,0)))</f>
        <v/>
      </c>
      <c r="G91" s="211">
        <f>IF($A91="","","Wheat")</f>
        <v/>
      </c>
      <c r="H91" s="214" t="n"/>
      <c r="I91" s="214">
        <f>IF($A91="","","FIFO - Oldest Receipt First")</f>
        <v/>
      </c>
      <c r="J91" s="209" t="n"/>
      <c r="K91" s="209" t="n"/>
      <c r="L91" s="209" t="n"/>
      <c r="M91" s="209" t="n"/>
      <c r="N91" s="209" t="n"/>
      <c r="O91" s="209" t="n"/>
      <c r="P91" s="209" t="n"/>
      <c r="Q91" s="209" t="n"/>
      <c r="R91" s="209" t="n"/>
      <c r="S91" s="209" t="n"/>
      <c r="T91" s="209" t="n"/>
      <c r="U91" s="209" t="n"/>
      <c r="V91" s="209" t="n"/>
      <c r="W91" s="209" t="n"/>
      <c r="X91" s="209" t="n"/>
      <c r="Y91" s="209" t="n"/>
      <c r="Z91" s="209" t="n"/>
      <c r="AA91" s="209" t="n"/>
    </row>
    <row r="92" hidden="1" ht="15" customHeight="1" s="230">
      <c r="A92" s="219">
        <f>IFERROR(SMALL('Master Stock'!$Q$2:$Q$99,ROWS($A$3:A92)),"")</f>
        <v/>
      </c>
      <c r="B92" s="211">
        <f t="array" ref="B92">IF($A92="","",INDEX('Master Stock'!$C$2:$C$99,MATCH($A92,'Master Stock'!$Q$2:$Q$99,0)))</f>
        <v/>
      </c>
      <c r="C92" s="211">
        <f t="array" ref="C92">IF($A92="","",INDEX('Master Stock'!$D$2:$D$99,MATCH($A92,'Master Stock'!$Q$2:$Q$99,0)))</f>
        <v/>
      </c>
      <c r="D92" s="214">
        <f t="array" ref="D92">IF($A92="","",INDEX('Master Stock'!$B$2:$B$99,MATCH($A92,'Master Stock'!$Q$2:$Q$99,0)))</f>
        <v/>
      </c>
      <c r="E92" s="211">
        <f t="array" ref="E92">IF($A92="","",INDEX('Master Stock'!$G$2:$G$99,MATCH($A92,'Master Stock'!$Q$2:$Q$99,0)))</f>
        <v/>
      </c>
      <c r="F92" s="213">
        <f t="array" ref="F92">IF($A92="","",INDEX('Master Stock'!$F$2:$F$99,MATCH($A92,'Master Stock'!$Q$2:$Q$99,0)))</f>
        <v/>
      </c>
      <c r="G92" s="211">
        <f>IF($A92="","","Wheat")</f>
        <v/>
      </c>
      <c r="H92" s="214" t="n"/>
      <c r="I92" s="214">
        <f>IF($A92="","","FIFO - Oldest Receipt First")</f>
        <v/>
      </c>
      <c r="J92" s="209" t="n"/>
      <c r="K92" s="209" t="n"/>
      <c r="L92" s="209" t="n"/>
      <c r="M92" s="209" t="n"/>
      <c r="N92" s="209" t="n"/>
      <c r="O92" s="209" t="n"/>
      <c r="P92" s="209" t="n"/>
      <c r="Q92" s="209" t="n"/>
      <c r="R92" s="209" t="n"/>
      <c r="S92" s="209" t="n"/>
      <c r="T92" s="209" t="n"/>
      <c r="U92" s="209" t="n"/>
      <c r="V92" s="209" t="n"/>
      <c r="W92" s="209" t="n"/>
      <c r="X92" s="209" t="n"/>
      <c r="Y92" s="209" t="n"/>
      <c r="Z92" s="209" t="n"/>
      <c r="AA92" s="209" t="n"/>
    </row>
    <row r="93" hidden="1" ht="15" customHeight="1" s="230">
      <c r="A93" s="219">
        <f>IFERROR(SMALL('Master Stock'!$Q$2:$Q$99,ROWS($A$3:A93)),"")</f>
        <v/>
      </c>
      <c r="B93" s="211">
        <f t="array" ref="B93">IF($A93="","",INDEX('Master Stock'!$C$2:$C$99,MATCH($A93,'Master Stock'!$Q$2:$Q$99,0)))</f>
        <v/>
      </c>
      <c r="C93" s="211">
        <f t="array" ref="C93">IF($A93="","",INDEX('Master Stock'!$D$2:$D$99,MATCH($A93,'Master Stock'!$Q$2:$Q$99,0)))</f>
        <v/>
      </c>
      <c r="D93" s="214">
        <f t="array" ref="D93">IF($A93="","",INDEX('Master Stock'!$B$2:$B$99,MATCH($A93,'Master Stock'!$Q$2:$Q$99,0)))</f>
        <v/>
      </c>
      <c r="E93" s="211">
        <f t="array" ref="E93">IF($A93="","",INDEX('Master Stock'!$G$2:$G$99,MATCH($A93,'Master Stock'!$Q$2:$Q$99,0)))</f>
        <v/>
      </c>
      <c r="F93" s="213">
        <f t="array" ref="F93">IF($A93="","",INDEX('Master Stock'!$F$2:$F$99,MATCH($A93,'Master Stock'!$Q$2:$Q$99,0)))</f>
        <v/>
      </c>
      <c r="G93" s="211">
        <f>IF($A93="","","Wheat")</f>
        <v/>
      </c>
      <c r="H93" s="214" t="n"/>
      <c r="I93" s="214">
        <f>IF($A93="","","FIFO - Oldest Receipt First")</f>
        <v/>
      </c>
      <c r="J93" s="209" t="n"/>
      <c r="K93" s="209" t="n"/>
      <c r="L93" s="209" t="n"/>
      <c r="M93" s="209" t="n"/>
      <c r="N93" s="209" t="n"/>
      <c r="O93" s="209" t="n"/>
      <c r="P93" s="209" t="n"/>
      <c r="Q93" s="209" t="n"/>
      <c r="R93" s="209" t="n"/>
      <c r="S93" s="209" t="n"/>
      <c r="T93" s="209" t="n"/>
      <c r="U93" s="209" t="n"/>
      <c r="V93" s="209" t="n"/>
      <c r="W93" s="209" t="n"/>
      <c r="X93" s="209" t="n"/>
      <c r="Y93" s="209" t="n"/>
      <c r="Z93" s="209" t="n"/>
      <c r="AA93" s="209" t="n"/>
    </row>
    <row r="94" hidden="1" ht="15" customHeight="1" s="230">
      <c r="A94" s="219">
        <f>IFERROR(SMALL('Master Stock'!$Q$2:$Q$99,ROWS($A$3:A94)),"")</f>
        <v/>
      </c>
      <c r="B94" s="211">
        <f t="array" ref="B94">IF($A94="","",INDEX('Master Stock'!$C$2:$C$99,MATCH($A94,'Master Stock'!$Q$2:$Q$99,0)))</f>
        <v/>
      </c>
      <c r="C94" s="211">
        <f t="array" ref="C94">IF($A94="","",INDEX('Master Stock'!$D$2:$D$99,MATCH($A94,'Master Stock'!$Q$2:$Q$99,0)))</f>
        <v/>
      </c>
      <c r="D94" s="214">
        <f t="array" ref="D94">IF($A94="","",INDEX('Master Stock'!$B$2:$B$99,MATCH($A94,'Master Stock'!$Q$2:$Q$99,0)))</f>
        <v/>
      </c>
      <c r="E94" s="211">
        <f t="array" ref="E94">IF($A94="","",INDEX('Master Stock'!$G$2:$G$99,MATCH($A94,'Master Stock'!$Q$2:$Q$99,0)))</f>
        <v/>
      </c>
      <c r="F94" s="213">
        <f t="array" ref="F94">IF($A94="","",INDEX('Master Stock'!$F$2:$F$99,MATCH($A94,'Master Stock'!$Q$2:$Q$99,0)))</f>
        <v/>
      </c>
      <c r="G94" s="211">
        <f>IF($A94="","","Wheat")</f>
        <v/>
      </c>
      <c r="H94" s="214" t="n"/>
      <c r="I94" s="214">
        <f>IF($A94="","","FIFO - Oldest Receipt First")</f>
        <v/>
      </c>
      <c r="J94" s="209" t="n"/>
      <c r="K94" s="209" t="n"/>
      <c r="L94" s="209" t="n"/>
      <c r="M94" s="209" t="n"/>
      <c r="N94" s="209" t="n"/>
      <c r="O94" s="209" t="n"/>
      <c r="P94" s="209" t="n"/>
      <c r="Q94" s="209" t="n"/>
      <c r="R94" s="209" t="n"/>
      <c r="S94" s="209" t="n"/>
      <c r="T94" s="209" t="n"/>
      <c r="U94" s="209" t="n"/>
      <c r="V94" s="209" t="n"/>
      <c r="W94" s="209" t="n"/>
      <c r="X94" s="209" t="n"/>
      <c r="Y94" s="209" t="n"/>
      <c r="Z94" s="209" t="n"/>
      <c r="AA94" s="209" t="n"/>
    </row>
    <row r="95" hidden="1" ht="15" customHeight="1" s="230">
      <c r="A95" s="219">
        <f>IFERROR(SMALL('Master Stock'!$Q$2:$Q$99,ROWS($A$3:A95)),"")</f>
        <v/>
      </c>
      <c r="B95" s="211">
        <f t="array" ref="B95">IF($A95="","",INDEX('Master Stock'!$C$2:$C$99,MATCH($A95,'Master Stock'!$Q$2:$Q$99,0)))</f>
        <v/>
      </c>
      <c r="C95" s="211">
        <f t="array" ref="C95">IF($A95="","",INDEX('Master Stock'!$D$2:$D$99,MATCH($A95,'Master Stock'!$Q$2:$Q$99,0)))</f>
        <v/>
      </c>
      <c r="D95" s="214">
        <f t="array" ref="D95">IF($A95="","",INDEX('Master Stock'!$B$2:$B$99,MATCH($A95,'Master Stock'!$Q$2:$Q$99,0)))</f>
        <v/>
      </c>
      <c r="E95" s="211">
        <f t="array" ref="E95">IF($A95="","",INDEX('Master Stock'!$G$2:$G$99,MATCH($A95,'Master Stock'!$Q$2:$Q$99,0)))</f>
        <v/>
      </c>
      <c r="F95" s="213">
        <f t="array" ref="F95">IF($A95="","",INDEX('Master Stock'!$F$2:$F$99,MATCH($A95,'Master Stock'!$Q$2:$Q$99,0)))</f>
        <v/>
      </c>
      <c r="G95" s="211">
        <f>IF($A95="","","Wheat")</f>
        <v/>
      </c>
      <c r="H95" s="214" t="n"/>
      <c r="I95" s="214">
        <f>IF($A95="","","FIFO - Oldest Receipt First")</f>
        <v/>
      </c>
      <c r="J95" s="209" t="n"/>
      <c r="K95" s="209" t="n"/>
      <c r="L95" s="209" t="n"/>
      <c r="M95" s="209" t="n"/>
      <c r="N95" s="209" t="n"/>
      <c r="O95" s="209" t="n"/>
      <c r="P95" s="209" t="n"/>
      <c r="Q95" s="209" t="n"/>
      <c r="R95" s="209" t="n"/>
      <c r="S95" s="209" t="n"/>
      <c r="T95" s="209" t="n"/>
      <c r="U95" s="209" t="n"/>
      <c r="V95" s="209" t="n"/>
      <c r="W95" s="209" t="n"/>
      <c r="X95" s="209" t="n"/>
      <c r="Y95" s="209" t="n"/>
      <c r="Z95" s="209" t="n"/>
      <c r="AA95" s="209" t="n"/>
    </row>
    <row r="96" hidden="1" ht="15" customHeight="1" s="230">
      <c r="A96" s="219">
        <f>IFERROR(SMALL('Master Stock'!$Q$2:$Q$99,ROWS($A$3:A96)),"")</f>
        <v/>
      </c>
      <c r="B96" s="211">
        <f t="array" ref="B96">IF($A96="","",INDEX('Master Stock'!$C$2:$C$99,MATCH($A96,'Master Stock'!$Q$2:$Q$99,0)))</f>
        <v/>
      </c>
      <c r="C96" s="211">
        <f t="array" ref="C96">IF($A96="","",INDEX('Master Stock'!$D$2:$D$99,MATCH($A96,'Master Stock'!$Q$2:$Q$99,0)))</f>
        <v/>
      </c>
      <c r="D96" s="214">
        <f t="array" ref="D96">IF($A96="","",INDEX('Master Stock'!$B$2:$B$99,MATCH($A96,'Master Stock'!$Q$2:$Q$99,0)))</f>
        <v/>
      </c>
      <c r="E96" s="211">
        <f t="array" ref="E96">IF($A96="","",INDEX('Master Stock'!$G$2:$G$99,MATCH($A96,'Master Stock'!$Q$2:$Q$99,0)))</f>
        <v/>
      </c>
      <c r="F96" s="213">
        <f t="array" ref="F96">IF($A96="","",INDEX('Master Stock'!$F$2:$F$99,MATCH($A96,'Master Stock'!$Q$2:$Q$99,0)))</f>
        <v/>
      </c>
      <c r="G96" s="211">
        <f>IF($A96="","","Wheat")</f>
        <v/>
      </c>
      <c r="H96" s="214" t="n"/>
      <c r="I96" s="214">
        <f>IF($A96="","","FIFO - Oldest Receipt First")</f>
        <v/>
      </c>
      <c r="J96" s="209" t="n"/>
      <c r="K96" s="209" t="n"/>
      <c r="L96" s="209" t="n"/>
      <c r="M96" s="209" t="n"/>
      <c r="N96" s="209" t="n"/>
      <c r="O96" s="209" t="n"/>
      <c r="P96" s="209" t="n"/>
      <c r="Q96" s="209" t="n"/>
      <c r="R96" s="209" t="n"/>
      <c r="S96" s="209" t="n"/>
      <c r="T96" s="209" t="n"/>
      <c r="U96" s="209" t="n"/>
      <c r="V96" s="209" t="n"/>
      <c r="W96" s="209" t="n"/>
      <c r="X96" s="209" t="n"/>
      <c r="Y96" s="209" t="n"/>
      <c r="Z96" s="209" t="n"/>
      <c r="AA96" s="209" t="n"/>
    </row>
    <row r="97" hidden="1" ht="15" customHeight="1" s="230">
      <c r="A97" s="219">
        <f>IFERROR(SMALL('Master Stock'!$Q$2:$Q$99,ROWS($A$3:A97)),"")</f>
        <v/>
      </c>
      <c r="B97" s="211">
        <f t="array" ref="B97">IF($A97="","",INDEX('Master Stock'!$C$2:$C$99,MATCH($A97,'Master Stock'!$Q$2:$Q$99,0)))</f>
        <v/>
      </c>
      <c r="C97" s="211">
        <f t="array" ref="C97">IF($A97="","",INDEX('Master Stock'!$D$2:$D$99,MATCH($A97,'Master Stock'!$Q$2:$Q$99,0)))</f>
        <v/>
      </c>
      <c r="D97" s="214">
        <f t="array" ref="D97">IF($A97="","",INDEX('Master Stock'!$B$2:$B$99,MATCH($A97,'Master Stock'!$Q$2:$Q$99,0)))</f>
        <v/>
      </c>
      <c r="E97" s="211">
        <f t="array" ref="E97">IF($A97="","",INDEX('Master Stock'!$G$2:$G$99,MATCH($A97,'Master Stock'!$Q$2:$Q$99,0)))</f>
        <v/>
      </c>
      <c r="F97" s="213">
        <f t="array" ref="F97">IF($A97="","",INDEX('Master Stock'!$F$2:$F$99,MATCH($A97,'Master Stock'!$Q$2:$Q$99,0)))</f>
        <v/>
      </c>
      <c r="G97" s="211">
        <f>IF($A97="","","Wheat")</f>
        <v/>
      </c>
      <c r="H97" s="214" t="n"/>
      <c r="I97" s="214">
        <f>IF($A97="","","FIFO - Oldest Receipt First")</f>
        <v/>
      </c>
      <c r="J97" s="209" t="n"/>
      <c r="K97" s="209" t="n"/>
      <c r="L97" s="209" t="n"/>
      <c r="M97" s="209" t="n"/>
      <c r="N97" s="209" t="n"/>
      <c r="O97" s="209" t="n"/>
      <c r="P97" s="209" t="n"/>
      <c r="Q97" s="209" t="n"/>
      <c r="R97" s="209" t="n"/>
      <c r="S97" s="209" t="n"/>
      <c r="T97" s="209" t="n"/>
      <c r="U97" s="209" t="n"/>
      <c r="V97" s="209" t="n"/>
      <c r="W97" s="209" t="n"/>
      <c r="X97" s="209" t="n"/>
      <c r="Y97" s="209" t="n"/>
      <c r="Z97" s="209" t="n"/>
      <c r="AA97" s="209" t="n"/>
    </row>
    <row r="98" hidden="1" ht="15" customHeight="1" s="230">
      <c r="A98" s="219">
        <f>IFERROR(SMALL('Master Stock'!$Q$2:$Q$99,ROWS($A$3:A98)),"")</f>
        <v/>
      </c>
      <c r="B98" s="211">
        <f t="array" ref="B98">IF($A98="","",INDEX('Master Stock'!$C$2:$C$99,MATCH($A98,'Master Stock'!$Q$2:$Q$99,0)))</f>
        <v/>
      </c>
      <c r="C98" s="211">
        <f t="array" ref="C98">IF($A98="","",INDEX('Master Stock'!$D$2:$D$99,MATCH($A98,'Master Stock'!$Q$2:$Q$99,0)))</f>
        <v/>
      </c>
      <c r="D98" s="214">
        <f t="array" ref="D98">IF($A98="","",INDEX('Master Stock'!$B$2:$B$99,MATCH($A98,'Master Stock'!$Q$2:$Q$99,0)))</f>
        <v/>
      </c>
      <c r="E98" s="211">
        <f t="array" ref="E98">IF($A98="","",INDEX('Master Stock'!$G$2:$G$99,MATCH($A98,'Master Stock'!$Q$2:$Q$99,0)))</f>
        <v/>
      </c>
      <c r="F98" s="213">
        <f t="array" ref="F98">IF($A98="","",INDEX('Master Stock'!$F$2:$F$99,MATCH($A98,'Master Stock'!$Q$2:$Q$99,0)))</f>
        <v/>
      </c>
      <c r="G98" s="211">
        <f>IF($A98="","","Wheat")</f>
        <v/>
      </c>
      <c r="H98" s="214" t="n"/>
      <c r="I98" s="214">
        <f>IF($A98="","","FIFO - Oldest Receipt First")</f>
        <v/>
      </c>
      <c r="J98" s="209" t="n"/>
      <c r="K98" s="209" t="n"/>
      <c r="L98" s="209" t="n"/>
      <c r="M98" s="209" t="n"/>
      <c r="N98" s="209" t="n"/>
      <c r="O98" s="209" t="n"/>
      <c r="P98" s="209" t="n"/>
      <c r="Q98" s="209" t="n"/>
      <c r="R98" s="209" t="n"/>
      <c r="S98" s="209" t="n"/>
      <c r="T98" s="209" t="n"/>
      <c r="U98" s="209" t="n"/>
      <c r="V98" s="209" t="n"/>
      <c r="W98" s="209" t="n"/>
      <c r="X98" s="209" t="n"/>
      <c r="Y98" s="209" t="n"/>
      <c r="Z98" s="209" t="n"/>
      <c r="AA98" s="209" t="n"/>
    </row>
    <row r="99" hidden="1" ht="15" customHeight="1" s="230">
      <c r="A99" s="219">
        <f>IFERROR(SMALL('Master Stock'!$Q$2:$Q$99,ROWS($A$3:A99)),"")</f>
        <v/>
      </c>
      <c r="B99" s="211">
        <f t="array" ref="B99">IF($A99="","",INDEX('Master Stock'!$C$2:$C$99,MATCH($A99,'Master Stock'!$Q$2:$Q$99,0)))</f>
        <v/>
      </c>
      <c r="C99" s="211">
        <f t="array" ref="C99">IF($A99="","",INDEX('Master Stock'!$D$2:$D$99,MATCH($A99,'Master Stock'!$Q$2:$Q$99,0)))</f>
        <v/>
      </c>
      <c r="D99" s="214">
        <f t="array" ref="D99">IF($A99="","",INDEX('Master Stock'!$B$2:$B$99,MATCH($A99,'Master Stock'!$Q$2:$Q$99,0)))</f>
        <v/>
      </c>
      <c r="E99" s="211">
        <f t="array" ref="E99">IF($A99="","",INDEX('Master Stock'!$G$2:$G$99,MATCH($A99,'Master Stock'!$Q$2:$Q$99,0)))</f>
        <v/>
      </c>
      <c r="F99" s="213">
        <f t="array" ref="F99">IF($A99="","",INDEX('Master Stock'!$F$2:$F$99,MATCH($A99,'Master Stock'!$Q$2:$Q$99,0)))</f>
        <v/>
      </c>
      <c r="G99" s="211">
        <f>IF($A99="","","Wheat")</f>
        <v/>
      </c>
      <c r="H99" s="214" t="n"/>
      <c r="I99" s="214">
        <f>IF($A99="","","FIFO - Oldest Receipt First")</f>
        <v/>
      </c>
      <c r="J99" s="209" t="n"/>
      <c r="K99" s="209" t="n"/>
      <c r="L99" s="209" t="n"/>
      <c r="M99" s="209" t="n"/>
      <c r="N99" s="209" t="n"/>
      <c r="O99" s="209" t="n"/>
      <c r="P99" s="209" t="n"/>
      <c r="Q99" s="209" t="n"/>
      <c r="R99" s="209" t="n"/>
      <c r="S99" s="209" t="n"/>
      <c r="T99" s="209" t="n"/>
      <c r="U99" s="209" t="n"/>
      <c r="V99" s="209" t="n"/>
      <c r="W99" s="209" t="n"/>
      <c r="X99" s="209" t="n"/>
      <c r="Y99" s="209" t="n"/>
      <c r="Z99" s="209" t="n"/>
      <c r="AA99" s="209" t="n"/>
    </row>
    <row r="100" hidden="1" ht="15" customHeight="1" s="230">
      <c r="A100" s="219">
        <f>IFERROR(SMALL('Master Stock'!$Q$2:$Q$99,ROWS($A$3:A100)),"")</f>
        <v/>
      </c>
      <c r="B100" s="211">
        <f t="array" ref="B100">IF($A100="","",INDEX('Master Stock'!$C$2:$C$99,MATCH($A100,'Master Stock'!$Q$2:$Q$99,0)))</f>
        <v/>
      </c>
      <c r="C100" s="211">
        <f t="array" ref="C100">IF($A100="","",INDEX('Master Stock'!$D$2:$D$99,MATCH($A100,'Master Stock'!$Q$2:$Q$99,0)))</f>
        <v/>
      </c>
      <c r="D100" s="214">
        <f t="array" ref="D100">IF($A100="","",INDEX('Master Stock'!$B$2:$B$99,MATCH($A100,'Master Stock'!$Q$2:$Q$99,0)))</f>
        <v/>
      </c>
      <c r="E100" s="211">
        <f t="array" ref="E100">IF($A100="","",INDEX('Master Stock'!$G$2:$G$99,MATCH($A100,'Master Stock'!$Q$2:$Q$99,0)))</f>
        <v/>
      </c>
      <c r="F100" s="213">
        <f t="array" ref="F100">IF($A100="","",INDEX('Master Stock'!$F$2:$F$99,MATCH($A100,'Master Stock'!$Q$2:$Q$99,0)))</f>
        <v/>
      </c>
      <c r="G100" s="211">
        <f>IF($A100="","","Wheat")</f>
        <v/>
      </c>
      <c r="H100" s="214" t="n"/>
      <c r="I100" s="214">
        <f>IF($A100="","","FIFO - Oldest Receipt First")</f>
        <v/>
      </c>
      <c r="J100" s="209" t="n"/>
      <c r="K100" s="209" t="n"/>
      <c r="L100" s="209" t="n"/>
      <c r="M100" s="209" t="n"/>
      <c r="N100" s="209" t="n"/>
      <c r="O100" s="209" t="n"/>
      <c r="P100" s="209" t="n"/>
      <c r="Q100" s="209" t="n"/>
      <c r="R100" s="209" t="n"/>
      <c r="S100" s="209" t="n"/>
      <c r="T100" s="209" t="n"/>
      <c r="U100" s="209" t="n"/>
      <c r="V100" s="209" t="n"/>
      <c r="W100" s="209" t="n"/>
      <c r="X100" s="209" t="n"/>
      <c r="Y100" s="209" t="n"/>
      <c r="Z100" s="209" t="n"/>
      <c r="AA100" s="209" t="n"/>
    </row>
    <row r="101" ht="15.75" customHeight="1" s="230">
      <c r="A101" s="220" t="inlineStr">
        <is>
          <t>To,</t>
        </is>
      </c>
      <c r="B101" s="211" t="n"/>
      <c r="C101" s="211" t="n"/>
      <c r="D101" s="211" t="n"/>
      <c r="E101" s="211" t="n"/>
      <c r="F101" s="213" t="n"/>
      <c r="G101" s="211" t="n"/>
      <c r="H101" s="211" t="n"/>
      <c r="I101" s="211" t="n"/>
      <c r="J101" s="209" t="n"/>
      <c r="K101" s="209" t="n"/>
      <c r="L101" s="209" t="n"/>
      <c r="M101" s="209" t="n"/>
      <c r="N101" s="209" t="n"/>
      <c r="O101" s="209" t="n"/>
      <c r="P101" s="209" t="n"/>
      <c r="Q101" s="209" t="n"/>
      <c r="R101" s="209" t="n"/>
      <c r="S101" s="209" t="n"/>
      <c r="T101" s="209" t="n"/>
      <c r="U101" s="209" t="n"/>
      <c r="V101" s="209" t="n"/>
      <c r="W101" s="209" t="n"/>
      <c r="X101" s="209" t="n"/>
      <c r="Y101" s="209" t="n"/>
      <c r="Z101" s="209" t="n"/>
      <c r="AA101" s="209" t="n"/>
    </row>
    <row r="102" ht="15.75" customHeight="1" s="230">
      <c r="A102" s="220" t="inlineStr">
        <is>
          <t>The Manager (QC)</t>
        </is>
      </c>
      <c r="B102" s="211" t="n"/>
      <c r="C102" s="211" t="n"/>
      <c r="D102" s="211" t="n"/>
      <c r="E102" s="211" t="n"/>
      <c r="F102" s="213" t="n"/>
      <c r="G102" s="211" t="n"/>
      <c r="H102" s="211" t="n"/>
      <c r="I102" s="211" t="n"/>
      <c r="J102" s="209" t="n"/>
      <c r="K102" s="209" t="n"/>
      <c r="L102" s="209" t="n"/>
      <c r="M102" s="209" t="n"/>
      <c r="N102" s="209" t="n"/>
      <c r="O102" s="209" t="n"/>
      <c r="P102" s="209" t="n"/>
      <c r="Q102" s="209" t="n"/>
      <c r="R102" s="209" t="n"/>
      <c r="S102" s="209" t="n"/>
      <c r="T102" s="209" t="n"/>
      <c r="U102" s="209" t="n"/>
      <c r="V102" s="209" t="n"/>
      <c r="W102" s="209" t="n"/>
      <c r="X102" s="209" t="n"/>
      <c r="Y102" s="209" t="n"/>
      <c r="Z102" s="209" t="n"/>
      <c r="AA102" s="209" t="n"/>
    </row>
    <row r="103" ht="15.75" customHeight="1" s="230">
      <c r="A103" s="220" t="inlineStr">
        <is>
          <t>GCI, FSD SABARMATI</t>
        </is>
      </c>
      <c r="B103" s="211" t="n"/>
      <c r="C103" s="211" t="n"/>
      <c r="D103" s="211" t="n"/>
      <c r="E103" s="211" t="n"/>
      <c r="F103" s="213" t="n"/>
      <c r="G103" s="211" t="n"/>
      <c r="H103" s="211" t="n"/>
      <c r="I103" s="211" t="n"/>
      <c r="J103" s="209" t="n"/>
      <c r="K103" s="209" t="n"/>
      <c r="L103" s="209" t="n"/>
      <c r="M103" s="209" t="n"/>
      <c r="N103" s="209" t="n"/>
      <c r="O103" s="209" t="n"/>
      <c r="P103" s="209" t="n"/>
      <c r="Q103" s="209" t="n"/>
      <c r="R103" s="209" t="n"/>
      <c r="S103" s="209" t="n"/>
      <c r="T103" s="209" t="n"/>
      <c r="U103" s="209" t="n"/>
      <c r="V103" s="209" t="n"/>
      <c r="W103" s="209" t="n"/>
      <c r="X103" s="209" t="n"/>
      <c r="Y103" s="209" t="n"/>
      <c r="Z103" s="209" t="n"/>
      <c r="AA103" s="209" t="n"/>
    </row>
    <row r="104" ht="15.75" customHeight="1" s="230">
      <c r="A104" s="211" t="n"/>
      <c r="B104" s="211" t="n"/>
      <c r="C104" s="211" t="n"/>
      <c r="D104" s="211" t="n"/>
      <c r="E104" s="211" t="n"/>
      <c r="F104" s="213" t="n"/>
      <c r="G104" s="211" t="inlineStr">
        <is>
          <t>SHAMBHU DAYAL MEENA</t>
        </is>
      </c>
      <c r="H104" s="211" t="n"/>
      <c r="I104" s="211" t="n"/>
      <c r="J104" s="209" t="n"/>
      <c r="K104" s="209" t="n"/>
      <c r="L104" s="209" t="n"/>
      <c r="M104" s="209" t="n"/>
      <c r="N104" s="209" t="n"/>
      <c r="O104" s="209" t="n"/>
      <c r="P104" s="209" t="n"/>
      <c r="Q104" s="209" t="n"/>
      <c r="R104" s="209" t="n"/>
      <c r="S104" s="209" t="n"/>
      <c r="T104" s="209" t="n"/>
      <c r="U104" s="209" t="n"/>
      <c r="V104" s="209" t="n"/>
      <c r="W104" s="209" t="n"/>
      <c r="X104" s="209" t="n"/>
      <c r="Y104" s="209" t="n"/>
      <c r="Z104" s="209" t="n"/>
      <c r="AA104" s="209" t="n"/>
    </row>
    <row r="105" ht="15.75" customHeight="1" s="230">
      <c r="A105" s="211" t="n"/>
      <c r="B105" s="211" t="n"/>
      <c r="C105" s="211" t="n"/>
      <c r="D105" s="211" t="n"/>
      <c r="E105" s="211" t="n"/>
      <c r="F105" s="213" t="n"/>
      <c r="G105" s="211" t="inlineStr">
        <is>
          <t>TA-II, FSD SABARMATI</t>
        </is>
      </c>
      <c r="H105" s="211" t="n"/>
      <c r="I105" s="211" t="n"/>
      <c r="J105" s="209" t="n"/>
      <c r="K105" s="209" t="n"/>
      <c r="L105" s="209" t="n"/>
      <c r="M105" s="209" t="n"/>
      <c r="N105" s="209" t="n"/>
      <c r="O105" s="209" t="n"/>
      <c r="P105" s="209" t="n"/>
      <c r="Q105" s="209" t="n"/>
      <c r="R105" s="209" t="n"/>
      <c r="S105" s="209" t="n"/>
      <c r="T105" s="209" t="n"/>
      <c r="U105" s="209" t="n"/>
      <c r="V105" s="209" t="n"/>
      <c r="W105" s="209" t="n"/>
      <c r="X105" s="209" t="n"/>
      <c r="Y105" s="209" t="n"/>
      <c r="Z105" s="209" t="n"/>
      <c r="AA105" s="209" t="n"/>
    </row>
    <row r="106" ht="15.75" customHeight="1" s="230">
      <c r="A106" s="211" t="n"/>
      <c r="B106" s="211" t="n"/>
      <c r="C106" s="211" t="n"/>
      <c r="D106" s="211" t="n"/>
      <c r="E106" s="211" t="n"/>
      <c r="F106" s="213" t="n"/>
      <c r="G106" s="211" t="inlineStr">
        <is>
          <t>QC UNIT NO -III</t>
        </is>
      </c>
      <c r="H106" s="211" t="n"/>
      <c r="I106" s="211" t="n"/>
      <c r="J106" s="209" t="n"/>
      <c r="K106" s="209" t="n"/>
      <c r="L106" s="209" t="n"/>
      <c r="M106" s="209" t="n"/>
      <c r="N106" s="209" t="n"/>
      <c r="O106" s="209" t="n"/>
      <c r="P106" s="209" t="n"/>
      <c r="Q106" s="209" t="n"/>
      <c r="R106" s="209" t="n"/>
      <c r="S106" s="209" t="n"/>
      <c r="T106" s="209" t="n"/>
      <c r="U106" s="209" t="n"/>
      <c r="V106" s="209" t="n"/>
      <c r="W106" s="209" t="n"/>
      <c r="X106" s="209" t="n"/>
      <c r="Y106" s="209" t="n"/>
      <c r="Z106" s="209" t="n"/>
      <c r="AA106" s="209" t="n"/>
    </row>
    <row r="107" ht="15.75" customHeight="1" s="230">
      <c r="A107" s="211" t="n"/>
      <c r="B107" s="211" t="n"/>
      <c r="C107" s="211" t="n"/>
      <c r="D107" s="211" t="n"/>
      <c r="E107" s="211" t="n"/>
      <c r="F107" s="213" t="n"/>
      <c r="G107" s="211" t="n"/>
      <c r="H107" s="211" t="n"/>
      <c r="I107" s="211" t="n"/>
      <c r="J107" s="209" t="n"/>
      <c r="K107" s="209" t="n"/>
      <c r="L107" s="209" t="n"/>
      <c r="M107" s="209" t="n"/>
      <c r="N107" s="209" t="n"/>
      <c r="O107" s="209" t="n"/>
      <c r="P107" s="209" t="n"/>
      <c r="Q107" s="209" t="n"/>
      <c r="R107" s="209" t="n"/>
      <c r="S107" s="209" t="n"/>
      <c r="T107" s="209" t="n"/>
      <c r="U107" s="209" t="n"/>
      <c r="V107" s="209" t="n"/>
      <c r="W107" s="209" t="n"/>
      <c r="X107" s="209" t="n"/>
      <c r="Y107" s="209" t="n"/>
      <c r="Z107" s="209" t="n"/>
      <c r="AA107" s="209" t="n"/>
    </row>
    <row r="108" ht="15.75" customHeight="1" s="230">
      <c r="A108" s="211" t="n"/>
      <c r="B108" s="211" t="n"/>
      <c r="C108" s="211" t="n"/>
      <c r="D108" s="211" t="n"/>
      <c r="E108" s="211" t="n"/>
      <c r="F108" s="213" t="n"/>
      <c r="G108" s="211" t="n"/>
      <c r="H108" s="211" t="n"/>
      <c r="I108" s="211" t="n"/>
      <c r="J108" s="209" t="n"/>
      <c r="K108" s="209" t="n"/>
      <c r="L108" s="209" t="n"/>
      <c r="M108" s="209" t="n"/>
      <c r="N108" s="209" t="n"/>
      <c r="O108" s="209" t="n"/>
      <c r="P108" s="209" t="n"/>
      <c r="Q108" s="209" t="n"/>
      <c r="R108" s="209" t="n"/>
      <c r="S108" s="209" t="n"/>
      <c r="T108" s="209" t="n"/>
      <c r="U108" s="209" t="n"/>
      <c r="V108" s="209" t="n"/>
      <c r="W108" s="209" t="n"/>
      <c r="X108" s="209" t="n"/>
      <c r="Y108" s="209" t="n"/>
      <c r="Z108" s="209" t="n"/>
      <c r="AA108" s="209" t="n"/>
    </row>
    <row r="109" ht="15.75" customHeight="1" s="230">
      <c r="A109" s="211" t="n"/>
      <c r="B109" s="211" t="n"/>
      <c r="C109" s="211" t="n"/>
      <c r="D109" s="211" t="n"/>
      <c r="E109" s="211" t="n"/>
      <c r="F109" s="213" t="n"/>
      <c r="G109" s="211" t="n"/>
      <c r="H109" s="211" t="n"/>
      <c r="I109" s="211" t="n"/>
      <c r="J109" s="209" t="n"/>
      <c r="K109" s="209" t="n"/>
      <c r="L109" s="209" t="n"/>
      <c r="M109" s="209" t="n"/>
      <c r="N109" s="209" t="n"/>
      <c r="O109" s="209" t="n"/>
      <c r="P109" s="209" t="n"/>
      <c r="Q109" s="209" t="n"/>
      <c r="R109" s="209" t="n"/>
      <c r="S109" s="209" t="n"/>
      <c r="T109" s="209" t="n"/>
      <c r="U109" s="209" t="n"/>
      <c r="V109" s="209" t="n"/>
      <c r="W109" s="209" t="n"/>
      <c r="X109" s="209" t="n"/>
      <c r="Y109" s="209" t="n"/>
      <c r="Z109" s="209" t="n"/>
      <c r="AA109" s="209" t="n"/>
    </row>
    <row r="110" ht="15.75" customHeight="1" s="230">
      <c r="A110" s="211" t="n"/>
      <c r="B110" s="211" t="n"/>
      <c r="C110" s="211" t="n"/>
      <c r="D110" s="211" t="n"/>
      <c r="E110" s="211" t="n"/>
      <c r="F110" s="213" t="n"/>
      <c r="G110" s="211" t="n"/>
      <c r="H110" s="211" t="n"/>
      <c r="I110" s="211" t="n"/>
      <c r="J110" s="209" t="n"/>
      <c r="K110" s="209" t="n"/>
      <c r="L110" s="209" t="n"/>
      <c r="M110" s="209" t="n"/>
      <c r="N110" s="209" t="n"/>
      <c r="O110" s="209" t="n"/>
      <c r="P110" s="209" t="n"/>
      <c r="Q110" s="209" t="n"/>
      <c r="R110" s="209" t="n"/>
      <c r="S110" s="209" t="n"/>
      <c r="T110" s="209" t="n"/>
      <c r="U110" s="209" t="n"/>
      <c r="V110" s="209" t="n"/>
      <c r="W110" s="209" t="n"/>
      <c r="X110" s="209" t="n"/>
      <c r="Y110" s="209" t="n"/>
      <c r="Z110" s="209" t="n"/>
      <c r="AA110" s="209" t="n"/>
    </row>
    <row r="111" ht="15.75" customHeight="1" s="230">
      <c r="A111" s="211" t="n"/>
      <c r="B111" s="211" t="n"/>
      <c r="C111" s="211" t="n"/>
      <c r="D111" s="211" t="n"/>
      <c r="E111" s="211" t="n"/>
      <c r="F111" s="213" t="n"/>
      <c r="G111" s="211" t="n"/>
      <c r="H111" s="211" t="n"/>
      <c r="I111" s="211" t="n"/>
      <c r="J111" s="209" t="n"/>
      <c r="K111" s="209" t="n"/>
      <c r="L111" s="209" t="n"/>
      <c r="M111" s="209" t="n"/>
      <c r="N111" s="209" t="n"/>
      <c r="O111" s="209" t="n"/>
      <c r="P111" s="209" t="n"/>
      <c r="Q111" s="209" t="n"/>
      <c r="R111" s="209" t="n"/>
      <c r="S111" s="209" t="n"/>
      <c r="T111" s="209" t="n"/>
      <c r="U111" s="209" t="n"/>
      <c r="V111" s="209" t="n"/>
      <c r="W111" s="209" t="n"/>
      <c r="X111" s="209" t="n"/>
      <c r="Y111" s="209" t="n"/>
      <c r="Z111" s="209" t="n"/>
      <c r="AA111" s="209" t="n"/>
    </row>
    <row r="112" ht="15.75" customHeight="1" s="230">
      <c r="A112" s="211" t="n"/>
      <c r="B112" s="211" t="n"/>
      <c r="C112" s="211" t="n"/>
      <c r="D112" s="211" t="n"/>
      <c r="E112" s="211" t="n"/>
      <c r="F112" s="213" t="n"/>
      <c r="G112" s="211" t="n"/>
      <c r="H112" s="211" t="n"/>
      <c r="I112" s="211" t="n"/>
      <c r="J112" s="209" t="n"/>
      <c r="K112" s="209" t="n"/>
      <c r="L112" s="209" t="n"/>
      <c r="M112" s="209" t="n"/>
      <c r="N112" s="209" t="n"/>
      <c r="O112" s="209" t="n"/>
      <c r="P112" s="209" t="n"/>
      <c r="Q112" s="209" t="n"/>
      <c r="R112" s="209" t="n"/>
      <c r="S112" s="209" t="n"/>
      <c r="T112" s="209" t="n"/>
      <c r="U112" s="209" t="n"/>
      <c r="V112" s="209" t="n"/>
      <c r="W112" s="209" t="n"/>
      <c r="X112" s="209" t="n"/>
      <c r="Y112" s="209" t="n"/>
      <c r="Z112" s="209" t="n"/>
      <c r="AA112" s="209" t="n"/>
    </row>
    <row r="113" ht="15.75" customHeight="1" s="230">
      <c r="A113" s="211" t="n"/>
      <c r="B113" s="211" t="n"/>
      <c r="C113" s="211" t="n"/>
      <c r="D113" s="211" t="n"/>
      <c r="E113" s="211" t="n"/>
      <c r="F113" s="213" t="n"/>
      <c r="G113" s="211" t="n"/>
      <c r="H113" s="211" t="n"/>
      <c r="I113" s="211" t="n"/>
      <c r="J113" s="209" t="n"/>
      <c r="K113" s="209" t="n"/>
      <c r="L113" s="209" t="n"/>
      <c r="M113" s="209" t="n"/>
      <c r="N113" s="209" t="n"/>
      <c r="O113" s="209" t="n"/>
      <c r="P113" s="209" t="n"/>
      <c r="Q113" s="209" t="n"/>
      <c r="R113" s="209" t="n"/>
      <c r="S113" s="209" t="n"/>
      <c r="T113" s="209" t="n"/>
      <c r="U113" s="209" t="n"/>
      <c r="V113" s="209" t="n"/>
      <c r="W113" s="209" t="n"/>
      <c r="X113" s="209" t="n"/>
      <c r="Y113" s="209" t="n"/>
      <c r="Z113" s="209" t="n"/>
      <c r="AA113" s="209" t="n"/>
    </row>
    <row r="114" ht="15.75" customHeight="1" s="230">
      <c r="A114" s="211" t="n"/>
      <c r="B114" s="211" t="n"/>
      <c r="C114" s="211" t="n"/>
      <c r="D114" s="211" t="n"/>
      <c r="E114" s="211" t="n"/>
      <c r="F114" s="213" t="n"/>
      <c r="G114" s="211" t="n"/>
      <c r="H114" s="211" t="n"/>
      <c r="I114" s="211" t="n"/>
      <c r="J114" s="209" t="n"/>
      <c r="K114" s="209" t="n"/>
      <c r="L114" s="209" t="n"/>
      <c r="M114" s="209" t="n"/>
      <c r="N114" s="209" t="n"/>
      <c r="O114" s="209" t="n"/>
      <c r="P114" s="209" t="n"/>
      <c r="Q114" s="209" t="n"/>
      <c r="R114" s="209" t="n"/>
      <c r="S114" s="209" t="n"/>
      <c r="T114" s="209" t="n"/>
      <c r="U114" s="209" t="n"/>
      <c r="V114" s="209" t="n"/>
      <c r="W114" s="209" t="n"/>
      <c r="X114" s="209" t="n"/>
      <c r="Y114" s="209" t="n"/>
      <c r="Z114" s="209" t="n"/>
      <c r="AA114" s="209" t="n"/>
    </row>
    <row r="115" ht="15.75" customHeight="1" s="230">
      <c r="A115" s="211" t="n"/>
      <c r="B115" s="211" t="n"/>
      <c r="C115" s="211" t="n"/>
      <c r="D115" s="211" t="n"/>
      <c r="E115" s="211" t="n"/>
      <c r="F115" s="213" t="n"/>
      <c r="G115" s="211" t="n"/>
      <c r="H115" s="211" t="n"/>
      <c r="I115" s="211" t="n"/>
      <c r="J115" s="209" t="n"/>
      <c r="K115" s="209" t="n"/>
      <c r="L115" s="209" t="n"/>
      <c r="M115" s="209" t="n"/>
      <c r="N115" s="209" t="n"/>
      <c r="O115" s="209" t="n"/>
      <c r="P115" s="209" t="n"/>
      <c r="Q115" s="209" t="n"/>
      <c r="R115" s="209" t="n"/>
      <c r="S115" s="209" t="n"/>
      <c r="T115" s="209" t="n"/>
      <c r="U115" s="209" t="n"/>
      <c r="V115" s="209" t="n"/>
      <c r="W115" s="209" t="n"/>
      <c r="X115" s="209" t="n"/>
      <c r="Y115" s="209" t="n"/>
      <c r="Z115" s="209" t="n"/>
      <c r="AA115" s="209" t="n"/>
    </row>
    <row r="116" ht="15.75" customHeight="1" s="230">
      <c r="A116" s="211" t="n"/>
      <c r="B116" s="211" t="n"/>
      <c r="C116" s="211" t="n"/>
      <c r="D116" s="211" t="n"/>
      <c r="E116" s="211" t="n"/>
      <c r="F116" s="213" t="n"/>
      <c r="G116" s="211" t="n"/>
      <c r="H116" s="211" t="n"/>
      <c r="I116" s="211" t="n"/>
      <c r="J116" s="209" t="n"/>
      <c r="K116" s="209" t="n"/>
      <c r="L116" s="209" t="n"/>
      <c r="M116" s="209" t="n"/>
      <c r="N116" s="209" t="n"/>
      <c r="O116" s="209" t="n"/>
      <c r="P116" s="209" t="n"/>
      <c r="Q116" s="209" t="n"/>
      <c r="R116" s="209" t="n"/>
      <c r="S116" s="209" t="n"/>
      <c r="T116" s="209" t="n"/>
      <c r="U116" s="209" t="n"/>
      <c r="V116" s="209" t="n"/>
      <c r="W116" s="209" t="n"/>
      <c r="X116" s="209" t="n"/>
      <c r="Y116" s="209" t="n"/>
      <c r="Z116" s="209" t="n"/>
      <c r="AA116" s="209" t="n"/>
    </row>
    <row r="117" ht="15.75" customHeight="1" s="230">
      <c r="A117" s="211" t="n"/>
      <c r="B117" s="211" t="n"/>
      <c r="C117" s="211" t="n"/>
      <c r="D117" s="211" t="n"/>
      <c r="E117" s="211" t="n"/>
      <c r="F117" s="213" t="n"/>
      <c r="G117" s="211" t="n"/>
      <c r="H117" s="211" t="n"/>
      <c r="I117" s="211" t="n"/>
      <c r="J117" s="209" t="n"/>
      <c r="K117" s="209" t="n"/>
      <c r="L117" s="209" t="n"/>
      <c r="M117" s="209" t="n"/>
      <c r="N117" s="209" t="n"/>
      <c r="O117" s="209" t="n"/>
      <c r="P117" s="209" t="n"/>
      <c r="Q117" s="209" t="n"/>
      <c r="R117" s="209" t="n"/>
      <c r="S117" s="209" t="n"/>
      <c r="T117" s="209" t="n"/>
      <c r="U117" s="209" t="n"/>
      <c r="V117" s="209" t="n"/>
      <c r="W117" s="209" t="n"/>
      <c r="X117" s="209" t="n"/>
      <c r="Y117" s="209" t="n"/>
      <c r="Z117" s="209" t="n"/>
      <c r="AA117" s="209" t="n"/>
    </row>
    <row r="118" ht="15.75" customHeight="1" s="230">
      <c r="A118" s="211" t="n"/>
      <c r="B118" s="211" t="n"/>
      <c r="C118" s="211" t="n"/>
      <c r="D118" s="211" t="n"/>
      <c r="E118" s="211" t="n"/>
      <c r="F118" s="213" t="n"/>
      <c r="G118" s="211" t="n"/>
      <c r="H118" s="211" t="n"/>
      <c r="I118" s="211" t="n"/>
      <c r="J118" s="209" t="n"/>
      <c r="K118" s="209" t="n"/>
      <c r="L118" s="209" t="n"/>
      <c r="M118" s="209" t="n"/>
      <c r="N118" s="209" t="n"/>
      <c r="O118" s="209" t="n"/>
      <c r="P118" s="209" t="n"/>
      <c r="Q118" s="209" t="n"/>
      <c r="R118" s="209" t="n"/>
      <c r="S118" s="209" t="n"/>
      <c r="T118" s="209" t="n"/>
      <c r="U118" s="209" t="n"/>
      <c r="V118" s="209" t="n"/>
      <c r="W118" s="209" t="n"/>
      <c r="X118" s="209" t="n"/>
      <c r="Y118" s="209" t="n"/>
      <c r="Z118" s="209" t="n"/>
      <c r="AA118" s="209" t="n"/>
    </row>
    <row r="119" ht="15.75" customHeight="1" s="230">
      <c r="A119" s="211" t="n"/>
      <c r="B119" s="211" t="n"/>
      <c r="C119" s="211" t="n"/>
      <c r="D119" s="211" t="n"/>
      <c r="E119" s="211" t="n"/>
      <c r="F119" s="213" t="n"/>
      <c r="G119" s="211" t="n"/>
      <c r="H119" s="211" t="n"/>
      <c r="I119" s="211" t="n"/>
      <c r="J119" s="209" t="n"/>
      <c r="K119" s="209" t="n"/>
      <c r="L119" s="209" t="n"/>
      <c r="M119" s="209" t="n"/>
      <c r="N119" s="209" t="n"/>
      <c r="O119" s="209" t="n"/>
      <c r="P119" s="209" t="n"/>
      <c r="Q119" s="209" t="n"/>
      <c r="R119" s="209" t="n"/>
      <c r="S119" s="209" t="n"/>
      <c r="T119" s="209" t="n"/>
      <c r="U119" s="209" t="n"/>
      <c r="V119" s="209" t="n"/>
      <c r="W119" s="209" t="n"/>
      <c r="X119" s="209" t="n"/>
      <c r="Y119" s="209" t="n"/>
      <c r="Z119" s="209" t="n"/>
      <c r="AA119" s="209" t="n"/>
    </row>
    <row r="120" ht="15.75" customHeight="1" s="230">
      <c r="A120" s="211" t="n"/>
      <c r="B120" s="211" t="n"/>
      <c r="C120" s="211" t="n"/>
      <c r="D120" s="211" t="n"/>
      <c r="E120" s="211" t="n"/>
      <c r="F120" s="213" t="n"/>
      <c r="G120" s="211" t="n"/>
      <c r="H120" s="211" t="n"/>
      <c r="I120" s="211" t="n"/>
      <c r="J120" s="209" t="n"/>
      <c r="K120" s="209" t="n"/>
      <c r="L120" s="209" t="n"/>
      <c r="M120" s="209" t="n"/>
      <c r="N120" s="209" t="n"/>
      <c r="O120" s="209" t="n"/>
      <c r="P120" s="209" t="n"/>
      <c r="Q120" s="209" t="n"/>
      <c r="R120" s="209" t="n"/>
      <c r="S120" s="209" t="n"/>
      <c r="T120" s="209" t="n"/>
      <c r="U120" s="209" t="n"/>
      <c r="V120" s="209" t="n"/>
      <c r="W120" s="209" t="n"/>
      <c r="X120" s="209" t="n"/>
      <c r="Y120" s="209" t="n"/>
      <c r="Z120" s="209" t="n"/>
      <c r="AA120" s="209" t="n"/>
    </row>
    <row r="121" ht="15.75" customHeight="1" s="230">
      <c r="A121" s="211" t="n"/>
      <c r="B121" s="211" t="n"/>
      <c r="C121" s="211" t="n"/>
      <c r="D121" s="211" t="n"/>
      <c r="E121" s="211" t="n"/>
      <c r="F121" s="213" t="n"/>
      <c r="G121" s="211" t="n"/>
      <c r="H121" s="211" t="n"/>
      <c r="I121" s="211" t="n"/>
      <c r="J121" s="209" t="n"/>
      <c r="K121" s="209" t="n"/>
      <c r="L121" s="209" t="n"/>
      <c r="M121" s="209" t="n"/>
      <c r="N121" s="209" t="n"/>
      <c r="O121" s="209" t="n"/>
      <c r="P121" s="209" t="n"/>
      <c r="Q121" s="209" t="n"/>
      <c r="R121" s="209" t="n"/>
      <c r="S121" s="209" t="n"/>
      <c r="T121" s="209" t="n"/>
      <c r="U121" s="209" t="n"/>
      <c r="V121" s="209" t="n"/>
      <c r="W121" s="209" t="n"/>
      <c r="X121" s="209" t="n"/>
      <c r="Y121" s="209" t="n"/>
      <c r="Z121" s="209" t="n"/>
      <c r="AA121" s="209" t="n"/>
    </row>
    <row r="122" ht="15.75" customHeight="1" s="230">
      <c r="A122" s="211" t="n"/>
      <c r="B122" s="211" t="n"/>
      <c r="C122" s="211" t="n"/>
      <c r="D122" s="211" t="n"/>
      <c r="E122" s="211" t="n"/>
      <c r="F122" s="213" t="n"/>
      <c r="G122" s="211" t="n"/>
      <c r="H122" s="211" t="n"/>
      <c r="I122" s="211" t="n"/>
      <c r="J122" s="209" t="n"/>
      <c r="K122" s="209" t="n"/>
      <c r="L122" s="209" t="n"/>
      <c r="M122" s="209" t="n"/>
      <c r="N122" s="209" t="n"/>
      <c r="O122" s="209" t="n"/>
      <c r="P122" s="209" t="n"/>
      <c r="Q122" s="209" t="n"/>
      <c r="R122" s="209" t="n"/>
      <c r="S122" s="209" t="n"/>
      <c r="T122" s="209" t="n"/>
      <c r="U122" s="209" t="n"/>
      <c r="V122" s="209" t="n"/>
      <c r="W122" s="209" t="n"/>
      <c r="X122" s="209" t="n"/>
      <c r="Y122" s="209" t="n"/>
      <c r="Z122" s="209" t="n"/>
      <c r="AA122" s="209" t="n"/>
    </row>
    <row r="123" ht="15.75" customHeight="1" s="230">
      <c r="A123" s="211" t="n"/>
      <c r="B123" s="211" t="n"/>
      <c r="C123" s="211" t="n"/>
      <c r="D123" s="211" t="n"/>
      <c r="E123" s="211" t="n"/>
      <c r="F123" s="213" t="n"/>
      <c r="G123" s="211" t="n"/>
      <c r="H123" s="211" t="n"/>
      <c r="I123" s="211" t="n"/>
      <c r="J123" s="209" t="n"/>
      <c r="K123" s="209" t="n"/>
      <c r="L123" s="209" t="n"/>
      <c r="M123" s="209" t="n"/>
      <c r="N123" s="209" t="n"/>
      <c r="O123" s="209" t="n"/>
      <c r="P123" s="209" t="n"/>
      <c r="Q123" s="209" t="n"/>
      <c r="R123" s="209" t="n"/>
      <c r="S123" s="209" t="n"/>
      <c r="T123" s="209" t="n"/>
      <c r="U123" s="209" t="n"/>
      <c r="V123" s="209" t="n"/>
      <c r="W123" s="209" t="n"/>
      <c r="X123" s="209" t="n"/>
      <c r="Y123" s="209" t="n"/>
      <c r="Z123" s="209" t="n"/>
      <c r="AA123" s="209" t="n"/>
    </row>
    <row r="124" ht="15.75" customHeight="1" s="230">
      <c r="A124" s="211" t="n"/>
      <c r="B124" s="211" t="n"/>
      <c r="C124" s="211" t="n"/>
      <c r="D124" s="211" t="n"/>
      <c r="E124" s="211" t="n"/>
      <c r="F124" s="213" t="n"/>
      <c r="G124" s="211" t="n"/>
      <c r="H124" s="211" t="n"/>
      <c r="I124" s="211" t="n"/>
      <c r="J124" s="209" t="n"/>
      <c r="K124" s="209" t="n"/>
      <c r="L124" s="209" t="n"/>
      <c r="M124" s="209" t="n"/>
      <c r="N124" s="209" t="n"/>
      <c r="O124" s="209" t="n"/>
      <c r="P124" s="209" t="n"/>
      <c r="Q124" s="209" t="n"/>
      <c r="R124" s="209" t="n"/>
      <c r="S124" s="209" t="n"/>
      <c r="T124" s="209" t="n"/>
      <c r="U124" s="209" t="n"/>
      <c r="V124" s="209" t="n"/>
      <c r="W124" s="209" t="n"/>
      <c r="X124" s="209" t="n"/>
      <c r="Y124" s="209" t="n"/>
      <c r="Z124" s="209" t="n"/>
      <c r="AA124" s="209" t="n"/>
    </row>
    <row r="125" ht="15.75" customHeight="1" s="230">
      <c r="A125" s="211" t="n"/>
      <c r="B125" s="211" t="n"/>
      <c r="C125" s="211" t="n"/>
      <c r="D125" s="211" t="n"/>
      <c r="E125" s="211" t="n"/>
      <c r="F125" s="213" t="n"/>
      <c r="G125" s="211" t="n"/>
      <c r="H125" s="211" t="n"/>
      <c r="I125" s="211" t="n"/>
      <c r="J125" s="209" t="n"/>
      <c r="K125" s="209" t="n"/>
      <c r="L125" s="209" t="n"/>
      <c r="M125" s="209" t="n"/>
      <c r="N125" s="209" t="n"/>
      <c r="O125" s="209" t="n"/>
      <c r="P125" s="209" t="n"/>
      <c r="Q125" s="209" t="n"/>
      <c r="R125" s="209" t="n"/>
      <c r="S125" s="209" t="n"/>
      <c r="T125" s="209" t="n"/>
      <c r="U125" s="209" t="n"/>
      <c r="V125" s="209" t="n"/>
      <c r="W125" s="209" t="n"/>
      <c r="X125" s="209" t="n"/>
      <c r="Y125" s="209" t="n"/>
      <c r="Z125" s="209" t="n"/>
      <c r="AA125" s="209" t="n"/>
    </row>
    <row r="126" ht="15.75" customHeight="1" s="230">
      <c r="A126" s="211" t="n"/>
      <c r="B126" s="211" t="n"/>
      <c r="C126" s="211" t="n"/>
      <c r="D126" s="211" t="n"/>
      <c r="E126" s="211" t="n"/>
      <c r="F126" s="213" t="n"/>
      <c r="G126" s="211" t="n"/>
      <c r="H126" s="211" t="n"/>
      <c r="I126" s="211" t="n"/>
      <c r="J126" s="209" t="n"/>
      <c r="K126" s="209" t="n"/>
      <c r="L126" s="209" t="n"/>
      <c r="M126" s="209" t="n"/>
      <c r="N126" s="209" t="n"/>
      <c r="O126" s="209" t="n"/>
      <c r="P126" s="209" t="n"/>
      <c r="Q126" s="209" t="n"/>
      <c r="R126" s="209" t="n"/>
      <c r="S126" s="209" t="n"/>
      <c r="T126" s="209" t="n"/>
      <c r="U126" s="209" t="n"/>
      <c r="V126" s="209" t="n"/>
      <c r="W126" s="209" t="n"/>
      <c r="X126" s="209" t="n"/>
      <c r="Y126" s="209" t="n"/>
      <c r="Z126" s="209" t="n"/>
      <c r="AA126" s="209" t="n"/>
    </row>
    <row r="127" ht="15.75" customHeight="1" s="230">
      <c r="A127" s="211" t="n"/>
      <c r="B127" s="211" t="n"/>
      <c r="C127" s="211" t="n"/>
      <c r="D127" s="211" t="n"/>
      <c r="E127" s="211" t="n"/>
      <c r="F127" s="213" t="n"/>
      <c r="G127" s="211" t="n"/>
      <c r="H127" s="211" t="n"/>
      <c r="I127" s="211" t="n"/>
      <c r="J127" s="209" t="n"/>
      <c r="K127" s="209" t="n"/>
      <c r="L127" s="209" t="n"/>
      <c r="M127" s="209" t="n"/>
      <c r="N127" s="209" t="n"/>
      <c r="O127" s="209" t="n"/>
      <c r="P127" s="209" t="n"/>
      <c r="Q127" s="209" t="n"/>
      <c r="R127" s="209" t="n"/>
      <c r="S127" s="209" t="n"/>
      <c r="T127" s="209" t="n"/>
      <c r="U127" s="209" t="n"/>
      <c r="V127" s="209" t="n"/>
      <c r="W127" s="209" t="n"/>
      <c r="X127" s="209" t="n"/>
      <c r="Y127" s="209" t="n"/>
      <c r="Z127" s="209" t="n"/>
      <c r="AA127" s="209" t="n"/>
    </row>
    <row r="128" ht="15.75" customHeight="1" s="230">
      <c r="A128" s="211" t="n"/>
      <c r="B128" s="211" t="n"/>
      <c r="C128" s="211" t="n"/>
      <c r="D128" s="211" t="n"/>
      <c r="E128" s="211" t="n"/>
      <c r="F128" s="213" t="n"/>
      <c r="G128" s="211" t="n"/>
      <c r="H128" s="211" t="n"/>
      <c r="I128" s="211" t="n"/>
      <c r="J128" s="209" t="n"/>
      <c r="K128" s="209" t="n"/>
      <c r="L128" s="209" t="n"/>
      <c r="M128" s="209" t="n"/>
      <c r="N128" s="209" t="n"/>
      <c r="O128" s="209" t="n"/>
      <c r="P128" s="209" t="n"/>
      <c r="Q128" s="209" t="n"/>
      <c r="R128" s="209" t="n"/>
      <c r="S128" s="209" t="n"/>
      <c r="T128" s="209" t="n"/>
      <c r="U128" s="209" t="n"/>
      <c r="V128" s="209" t="n"/>
      <c r="W128" s="209" t="n"/>
      <c r="X128" s="209" t="n"/>
      <c r="Y128" s="209" t="n"/>
      <c r="Z128" s="209" t="n"/>
      <c r="AA128" s="209" t="n"/>
    </row>
    <row r="129" ht="15.75" customHeight="1" s="230">
      <c r="A129" s="211" t="n"/>
      <c r="B129" s="211" t="n"/>
      <c r="C129" s="211" t="n"/>
      <c r="D129" s="211" t="n"/>
      <c r="E129" s="211" t="n"/>
      <c r="F129" s="213" t="n"/>
      <c r="G129" s="211" t="n"/>
      <c r="H129" s="211" t="n"/>
      <c r="I129" s="211" t="n"/>
      <c r="J129" s="209" t="n"/>
      <c r="K129" s="209" t="n"/>
      <c r="L129" s="209" t="n"/>
      <c r="M129" s="209" t="n"/>
      <c r="N129" s="209" t="n"/>
      <c r="O129" s="209" t="n"/>
      <c r="P129" s="209" t="n"/>
      <c r="Q129" s="209" t="n"/>
      <c r="R129" s="209" t="n"/>
      <c r="S129" s="209" t="n"/>
      <c r="T129" s="209" t="n"/>
      <c r="U129" s="209" t="n"/>
      <c r="V129" s="209" t="n"/>
      <c r="W129" s="209" t="n"/>
      <c r="X129" s="209" t="n"/>
      <c r="Y129" s="209" t="n"/>
      <c r="Z129" s="209" t="n"/>
      <c r="AA129" s="209" t="n"/>
    </row>
    <row r="130" ht="15.75" customHeight="1" s="230">
      <c r="A130" s="211" t="n"/>
      <c r="B130" s="211" t="n"/>
      <c r="C130" s="211" t="n"/>
      <c r="D130" s="211" t="n"/>
      <c r="E130" s="211" t="n"/>
      <c r="F130" s="213" t="n"/>
      <c r="G130" s="211" t="n"/>
      <c r="H130" s="211" t="n"/>
      <c r="I130" s="211" t="n"/>
      <c r="J130" s="209" t="n"/>
      <c r="K130" s="209" t="n"/>
      <c r="L130" s="209" t="n"/>
      <c r="M130" s="209" t="n"/>
      <c r="N130" s="209" t="n"/>
      <c r="O130" s="209" t="n"/>
      <c r="P130" s="209" t="n"/>
      <c r="Q130" s="209" t="n"/>
      <c r="R130" s="209" t="n"/>
      <c r="S130" s="209" t="n"/>
      <c r="T130" s="209" t="n"/>
      <c r="U130" s="209" t="n"/>
      <c r="V130" s="209" t="n"/>
      <c r="W130" s="209" t="n"/>
      <c r="X130" s="209" t="n"/>
      <c r="Y130" s="209" t="n"/>
      <c r="Z130" s="209" t="n"/>
      <c r="AA130" s="209" t="n"/>
    </row>
    <row r="131" ht="15.75" customHeight="1" s="230">
      <c r="A131" s="211" t="n"/>
      <c r="B131" s="211" t="n"/>
      <c r="C131" s="211" t="n"/>
      <c r="D131" s="211" t="n"/>
      <c r="E131" s="211" t="n"/>
      <c r="F131" s="213" t="n"/>
      <c r="G131" s="211" t="n"/>
      <c r="H131" s="211" t="n"/>
      <c r="I131" s="211" t="n"/>
      <c r="J131" s="209" t="n"/>
      <c r="K131" s="209" t="n"/>
      <c r="L131" s="209" t="n"/>
      <c r="M131" s="209" t="n"/>
      <c r="N131" s="209" t="n"/>
      <c r="O131" s="209" t="n"/>
      <c r="P131" s="209" t="n"/>
      <c r="Q131" s="209" t="n"/>
      <c r="R131" s="209" t="n"/>
      <c r="S131" s="209" t="n"/>
      <c r="T131" s="209" t="n"/>
      <c r="U131" s="209" t="n"/>
      <c r="V131" s="209" t="n"/>
      <c r="W131" s="209" t="n"/>
      <c r="X131" s="209" t="n"/>
      <c r="Y131" s="209" t="n"/>
      <c r="Z131" s="209" t="n"/>
      <c r="AA131" s="209" t="n"/>
    </row>
    <row r="132" ht="15.75" customHeight="1" s="230">
      <c r="A132" s="211" t="n"/>
      <c r="B132" s="211" t="n"/>
      <c r="C132" s="211" t="n"/>
      <c r="D132" s="211" t="n"/>
      <c r="E132" s="211" t="n"/>
      <c r="F132" s="213" t="n"/>
      <c r="G132" s="211" t="n"/>
      <c r="H132" s="211" t="n"/>
      <c r="I132" s="211" t="n"/>
      <c r="J132" s="209" t="n"/>
      <c r="K132" s="209" t="n"/>
      <c r="L132" s="209" t="n"/>
      <c r="M132" s="209" t="n"/>
      <c r="N132" s="209" t="n"/>
      <c r="O132" s="209" t="n"/>
      <c r="P132" s="209" t="n"/>
      <c r="Q132" s="209" t="n"/>
      <c r="R132" s="209" t="n"/>
      <c r="S132" s="209" t="n"/>
      <c r="T132" s="209" t="n"/>
      <c r="U132" s="209" t="n"/>
      <c r="V132" s="209" t="n"/>
      <c r="W132" s="209" t="n"/>
      <c r="X132" s="209" t="n"/>
      <c r="Y132" s="209" t="n"/>
      <c r="Z132" s="209" t="n"/>
      <c r="AA132" s="209" t="n"/>
    </row>
    <row r="133" ht="15.75" customHeight="1" s="230">
      <c r="A133" s="211" t="n"/>
      <c r="B133" s="211" t="n"/>
      <c r="C133" s="211" t="n"/>
      <c r="D133" s="211" t="n"/>
      <c r="E133" s="211" t="n"/>
      <c r="F133" s="213" t="n"/>
      <c r="G133" s="211" t="n"/>
      <c r="H133" s="211" t="n"/>
      <c r="I133" s="211" t="n"/>
      <c r="J133" s="209" t="n"/>
      <c r="K133" s="209" t="n"/>
      <c r="L133" s="209" t="n"/>
      <c r="M133" s="209" t="n"/>
      <c r="N133" s="209" t="n"/>
      <c r="O133" s="209" t="n"/>
      <c r="P133" s="209" t="n"/>
      <c r="Q133" s="209" t="n"/>
      <c r="R133" s="209" t="n"/>
      <c r="S133" s="209" t="n"/>
      <c r="T133" s="209" t="n"/>
      <c r="U133" s="209" t="n"/>
      <c r="V133" s="209" t="n"/>
      <c r="W133" s="209" t="n"/>
      <c r="X133" s="209" t="n"/>
      <c r="Y133" s="209" t="n"/>
      <c r="Z133" s="209" t="n"/>
      <c r="AA133" s="209" t="n"/>
    </row>
    <row r="134" ht="15.75" customHeight="1" s="230">
      <c r="A134" s="211" t="n"/>
      <c r="B134" s="211" t="n"/>
      <c r="C134" s="211" t="n"/>
      <c r="D134" s="211" t="n"/>
      <c r="E134" s="211" t="n"/>
      <c r="F134" s="213" t="n"/>
      <c r="G134" s="211" t="n"/>
      <c r="H134" s="211" t="n"/>
      <c r="I134" s="211" t="n"/>
      <c r="J134" s="209" t="n"/>
      <c r="K134" s="209" t="n"/>
      <c r="L134" s="209" t="n"/>
      <c r="M134" s="209" t="n"/>
      <c r="N134" s="209" t="n"/>
      <c r="O134" s="209" t="n"/>
      <c r="P134" s="209" t="n"/>
      <c r="Q134" s="209" t="n"/>
      <c r="R134" s="209" t="n"/>
      <c r="S134" s="209" t="n"/>
      <c r="T134" s="209" t="n"/>
      <c r="U134" s="209" t="n"/>
      <c r="V134" s="209" t="n"/>
      <c r="W134" s="209" t="n"/>
      <c r="X134" s="209" t="n"/>
      <c r="Y134" s="209" t="n"/>
      <c r="Z134" s="209" t="n"/>
      <c r="AA134" s="209" t="n"/>
    </row>
    <row r="135" ht="15.75" customHeight="1" s="230">
      <c r="A135" s="211" t="n"/>
      <c r="B135" s="211" t="n"/>
      <c r="C135" s="211" t="n"/>
      <c r="D135" s="211" t="n"/>
      <c r="E135" s="211" t="n"/>
      <c r="F135" s="213" t="n"/>
      <c r="G135" s="211" t="n"/>
      <c r="H135" s="211" t="n"/>
      <c r="I135" s="211" t="n"/>
      <c r="J135" s="209" t="n"/>
      <c r="K135" s="209" t="n"/>
      <c r="L135" s="209" t="n"/>
      <c r="M135" s="209" t="n"/>
      <c r="N135" s="209" t="n"/>
      <c r="O135" s="209" t="n"/>
      <c r="P135" s="209" t="n"/>
      <c r="Q135" s="209" t="n"/>
      <c r="R135" s="209" t="n"/>
      <c r="S135" s="209" t="n"/>
      <c r="T135" s="209" t="n"/>
      <c r="U135" s="209" t="n"/>
      <c r="V135" s="209" t="n"/>
      <c r="W135" s="209" t="n"/>
      <c r="X135" s="209" t="n"/>
      <c r="Y135" s="209" t="n"/>
      <c r="Z135" s="209" t="n"/>
      <c r="AA135" s="209" t="n"/>
    </row>
    <row r="136" ht="15.75" customHeight="1" s="230">
      <c r="A136" s="211" t="n"/>
      <c r="B136" s="211" t="n"/>
      <c r="C136" s="211" t="n"/>
      <c r="D136" s="211" t="n"/>
      <c r="E136" s="211" t="n"/>
      <c r="F136" s="213" t="n"/>
      <c r="G136" s="211" t="n"/>
      <c r="H136" s="211" t="n"/>
      <c r="I136" s="211" t="n"/>
      <c r="J136" s="209" t="n"/>
      <c r="K136" s="209" t="n"/>
      <c r="L136" s="209" t="n"/>
      <c r="M136" s="209" t="n"/>
      <c r="N136" s="209" t="n"/>
      <c r="O136" s="209" t="n"/>
      <c r="P136" s="209" t="n"/>
      <c r="Q136" s="209" t="n"/>
      <c r="R136" s="209" t="n"/>
      <c r="S136" s="209" t="n"/>
      <c r="T136" s="209" t="n"/>
      <c r="U136" s="209" t="n"/>
      <c r="V136" s="209" t="n"/>
      <c r="W136" s="209" t="n"/>
      <c r="X136" s="209" t="n"/>
      <c r="Y136" s="209" t="n"/>
      <c r="Z136" s="209" t="n"/>
      <c r="AA136" s="209" t="n"/>
    </row>
    <row r="137" ht="15.75" customHeight="1" s="230">
      <c r="A137" s="211" t="n"/>
      <c r="B137" s="211" t="n"/>
      <c r="C137" s="211" t="n"/>
      <c r="D137" s="211" t="n"/>
      <c r="E137" s="211" t="n"/>
      <c r="F137" s="213" t="n"/>
      <c r="G137" s="211" t="n"/>
      <c r="H137" s="211" t="n"/>
      <c r="I137" s="211" t="n"/>
      <c r="J137" s="209" t="n"/>
      <c r="K137" s="209" t="n"/>
      <c r="L137" s="209" t="n"/>
      <c r="M137" s="209" t="n"/>
      <c r="N137" s="209" t="n"/>
      <c r="O137" s="209" t="n"/>
      <c r="P137" s="209" t="n"/>
      <c r="Q137" s="209" t="n"/>
      <c r="R137" s="209" t="n"/>
      <c r="S137" s="209" t="n"/>
      <c r="T137" s="209" t="n"/>
      <c r="U137" s="209" t="n"/>
      <c r="V137" s="209" t="n"/>
      <c r="W137" s="209" t="n"/>
      <c r="X137" s="209" t="n"/>
      <c r="Y137" s="209" t="n"/>
      <c r="Z137" s="209" t="n"/>
      <c r="AA137" s="209" t="n"/>
    </row>
    <row r="138" ht="15.75" customHeight="1" s="230">
      <c r="A138" s="211" t="n"/>
      <c r="B138" s="211" t="n"/>
      <c r="C138" s="211" t="n"/>
      <c r="D138" s="211" t="n"/>
      <c r="E138" s="211" t="n"/>
      <c r="F138" s="213" t="n"/>
      <c r="G138" s="211" t="n"/>
      <c r="H138" s="211" t="n"/>
      <c r="I138" s="211" t="n"/>
      <c r="J138" s="209" t="n"/>
      <c r="K138" s="209" t="n"/>
      <c r="L138" s="209" t="n"/>
      <c r="M138" s="209" t="n"/>
      <c r="N138" s="209" t="n"/>
      <c r="O138" s="209" t="n"/>
      <c r="P138" s="209" t="n"/>
      <c r="Q138" s="209" t="n"/>
      <c r="R138" s="209" t="n"/>
      <c r="S138" s="209" t="n"/>
      <c r="T138" s="209" t="n"/>
      <c r="U138" s="209" t="n"/>
      <c r="V138" s="209" t="n"/>
      <c r="W138" s="209" t="n"/>
      <c r="X138" s="209" t="n"/>
      <c r="Y138" s="209" t="n"/>
      <c r="Z138" s="209" t="n"/>
      <c r="AA138" s="209" t="n"/>
    </row>
    <row r="139" ht="15.75" customHeight="1" s="230">
      <c r="A139" s="211" t="n"/>
      <c r="B139" s="211" t="n"/>
      <c r="C139" s="211" t="n"/>
      <c r="D139" s="211" t="n"/>
      <c r="E139" s="211" t="n"/>
      <c r="F139" s="213" t="n"/>
      <c r="G139" s="211" t="n"/>
      <c r="H139" s="211" t="n"/>
      <c r="I139" s="211" t="n"/>
      <c r="J139" s="209" t="n"/>
      <c r="K139" s="209" t="n"/>
      <c r="L139" s="209" t="n"/>
      <c r="M139" s="209" t="n"/>
      <c r="N139" s="209" t="n"/>
      <c r="O139" s="209" t="n"/>
      <c r="P139" s="209" t="n"/>
      <c r="Q139" s="209" t="n"/>
      <c r="R139" s="209" t="n"/>
      <c r="S139" s="209" t="n"/>
      <c r="T139" s="209" t="n"/>
      <c r="U139" s="209" t="n"/>
      <c r="V139" s="209" t="n"/>
      <c r="W139" s="209" t="n"/>
      <c r="X139" s="209" t="n"/>
      <c r="Y139" s="209" t="n"/>
      <c r="Z139" s="209" t="n"/>
      <c r="AA139" s="209" t="n"/>
    </row>
    <row r="140" ht="15.75" customHeight="1" s="230">
      <c r="A140" s="211" t="n"/>
      <c r="B140" s="211" t="n"/>
      <c r="C140" s="211" t="n"/>
      <c r="D140" s="211" t="n"/>
      <c r="E140" s="211" t="n"/>
      <c r="F140" s="213" t="n"/>
      <c r="G140" s="211" t="n"/>
      <c r="H140" s="211" t="n"/>
      <c r="I140" s="211" t="n"/>
      <c r="J140" s="209" t="n"/>
      <c r="K140" s="209" t="n"/>
      <c r="L140" s="209" t="n"/>
      <c r="M140" s="209" t="n"/>
      <c r="N140" s="209" t="n"/>
      <c r="O140" s="209" t="n"/>
      <c r="P140" s="209" t="n"/>
      <c r="Q140" s="209" t="n"/>
      <c r="R140" s="209" t="n"/>
      <c r="S140" s="209" t="n"/>
      <c r="T140" s="209" t="n"/>
      <c r="U140" s="209" t="n"/>
      <c r="V140" s="209" t="n"/>
      <c r="W140" s="209" t="n"/>
      <c r="X140" s="209" t="n"/>
      <c r="Y140" s="209" t="n"/>
      <c r="Z140" s="209" t="n"/>
      <c r="AA140" s="209" t="n"/>
    </row>
    <row r="141" ht="15.75" customHeight="1" s="230">
      <c r="A141" s="211" t="n"/>
      <c r="B141" s="211" t="n"/>
      <c r="C141" s="211" t="n"/>
      <c r="D141" s="211" t="n"/>
      <c r="E141" s="211" t="n"/>
      <c r="F141" s="213" t="n"/>
      <c r="G141" s="211" t="n"/>
      <c r="H141" s="211" t="n"/>
      <c r="I141" s="211" t="n"/>
      <c r="J141" s="209" t="n"/>
      <c r="K141" s="209" t="n"/>
      <c r="L141" s="209" t="n"/>
      <c r="M141" s="209" t="n"/>
      <c r="N141" s="209" t="n"/>
      <c r="O141" s="209" t="n"/>
      <c r="P141" s="209" t="n"/>
      <c r="Q141" s="209" t="n"/>
      <c r="R141" s="209" t="n"/>
      <c r="S141" s="209" t="n"/>
      <c r="T141" s="209" t="n"/>
      <c r="U141" s="209" t="n"/>
      <c r="V141" s="209" t="n"/>
      <c r="W141" s="209" t="n"/>
      <c r="X141" s="209" t="n"/>
      <c r="Y141" s="209" t="n"/>
      <c r="Z141" s="209" t="n"/>
      <c r="AA141" s="209" t="n"/>
    </row>
    <row r="142" ht="15.75" customHeight="1" s="230">
      <c r="A142" s="211" t="n"/>
      <c r="B142" s="211" t="n"/>
      <c r="C142" s="211" t="n"/>
      <c r="D142" s="211" t="n"/>
      <c r="E142" s="211" t="n"/>
      <c r="F142" s="213" t="n"/>
      <c r="G142" s="211" t="n"/>
      <c r="H142" s="211" t="n"/>
      <c r="I142" s="211" t="n"/>
      <c r="J142" s="209" t="n"/>
      <c r="K142" s="209" t="n"/>
      <c r="L142" s="209" t="n"/>
      <c r="M142" s="209" t="n"/>
      <c r="N142" s="209" t="n"/>
      <c r="O142" s="209" t="n"/>
      <c r="P142" s="209" t="n"/>
      <c r="Q142" s="209" t="n"/>
      <c r="R142" s="209" t="n"/>
      <c r="S142" s="209" t="n"/>
      <c r="T142" s="209" t="n"/>
      <c r="U142" s="209" t="n"/>
      <c r="V142" s="209" t="n"/>
      <c r="W142" s="209" t="n"/>
      <c r="X142" s="209" t="n"/>
      <c r="Y142" s="209" t="n"/>
      <c r="Z142" s="209" t="n"/>
      <c r="AA142" s="209" t="n"/>
    </row>
    <row r="143" ht="15.75" customHeight="1" s="230">
      <c r="A143" s="211" t="n"/>
      <c r="B143" s="211" t="n"/>
      <c r="C143" s="211" t="n"/>
      <c r="D143" s="211" t="n"/>
      <c r="E143" s="211" t="n"/>
      <c r="F143" s="213" t="n"/>
      <c r="G143" s="211" t="n"/>
      <c r="H143" s="211" t="n"/>
      <c r="I143" s="211" t="n"/>
      <c r="J143" s="209" t="n"/>
      <c r="K143" s="209" t="n"/>
      <c r="L143" s="209" t="n"/>
      <c r="M143" s="209" t="n"/>
      <c r="N143" s="209" t="n"/>
      <c r="O143" s="209" t="n"/>
      <c r="P143" s="209" t="n"/>
      <c r="Q143" s="209" t="n"/>
      <c r="R143" s="209" t="n"/>
      <c r="S143" s="209" t="n"/>
      <c r="T143" s="209" t="n"/>
      <c r="U143" s="209" t="n"/>
      <c r="V143" s="209" t="n"/>
      <c r="W143" s="209" t="n"/>
      <c r="X143" s="209" t="n"/>
      <c r="Y143" s="209" t="n"/>
      <c r="Z143" s="209" t="n"/>
      <c r="AA143" s="209" t="n"/>
    </row>
    <row r="144" ht="15.75" customHeight="1" s="230">
      <c r="A144" s="211" t="n"/>
      <c r="B144" s="211" t="n"/>
      <c r="C144" s="211" t="n"/>
      <c r="D144" s="211" t="n"/>
      <c r="E144" s="211" t="n"/>
      <c r="F144" s="213" t="n"/>
      <c r="G144" s="211" t="n"/>
      <c r="H144" s="211" t="n"/>
      <c r="I144" s="211" t="n"/>
      <c r="J144" s="209" t="n"/>
      <c r="K144" s="209" t="n"/>
      <c r="L144" s="209" t="n"/>
      <c r="M144" s="209" t="n"/>
      <c r="N144" s="209" t="n"/>
      <c r="O144" s="209" t="n"/>
      <c r="P144" s="209" t="n"/>
      <c r="Q144" s="209" t="n"/>
      <c r="R144" s="209" t="n"/>
      <c r="S144" s="209" t="n"/>
      <c r="T144" s="209" t="n"/>
      <c r="U144" s="209" t="n"/>
      <c r="V144" s="209" t="n"/>
      <c r="W144" s="209" t="n"/>
      <c r="X144" s="209" t="n"/>
      <c r="Y144" s="209" t="n"/>
      <c r="Z144" s="209" t="n"/>
      <c r="AA144" s="209" t="n"/>
    </row>
    <row r="145" ht="15.75" customHeight="1" s="230">
      <c r="A145" s="211" t="n"/>
      <c r="B145" s="211" t="n"/>
      <c r="C145" s="211" t="n"/>
      <c r="D145" s="211" t="n"/>
      <c r="E145" s="211" t="n"/>
      <c r="F145" s="213" t="n"/>
      <c r="G145" s="211" t="n"/>
      <c r="H145" s="211" t="n"/>
      <c r="I145" s="211" t="n"/>
      <c r="J145" s="209" t="n"/>
      <c r="K145" s="209" t="n"/>
      <c r="L145" s="209" t="n"/>
      <c r="M145" s="209" t="n"/>
      <c r="N145" s="209" t="n"/>
      <c r="O145" s="209" t="n"/>
      <c r="P145" s="209" t="n"/>
      <c r="Q145" s="209" t="n"/>
      <c r="R145" s="209" t="n"/>
      <c r="S145" s="209" t="n"/>
      <c r="T145" s="209" t="n"/>
      <c r="U145" s="209" t="n"/>
      <c r="V145" s="209" t="n"/>
      <c r="W145" s="209" t="n"/>
      <c r="X145" s="209" t="n"/>
      <c r="Y145" s="209" t="n"/>
      <c r="Z145" s="209" t="n"/>
      <c r="AA145" s="209" t="n"/>
    </row>
    <row r="146" ht="15.75" customHeight="1" s="230">
      <c r="A146" s="211" t="n"/>
      <c r="B146" s="211" t="n"/>
      <c r="C146" s="211" t="n"/>
      <c r="D146" s="211" t="n"/>
      <c r="E146" s="211" t="n"/>
      <c r="F146" s="213" t="n"/>
      <c r="G146" s="211" t="n"/>
      <c r="H146" s="211" t="n"/>
      <c r="I146" s="211" t="n"/>
      <c r="J146" s="209" t="n"/>
      <c r="K146" s="209" t="n"/>
      <c r="L146" s="209" t="n"/>
      <c r="M146" s="209" t="n"/>
      <c r="N146" s="209" t="n"/>
      <c r="O146" s="209" t="n"/>
      <c r="P146" s="209" t="n"/>
      <c r="Q146" s="209" t="n"/>
      <c r="R146" s="209" t="n"/>
      <c r="S146" s="209" t="n"/>
      <c r="T146" s="209" t="n"/>
      <c r="U146" s="209" t="n"/>
      <c r="V146" s="209" t="n"/>
      <c r="W146" s="209" t="n"/>
      <c r="X146" s="209" t="n"/>
      <c r="Y146" s="209" t="n"/>
      <c r="Z146" s="209" t="n"/>
      <c r="AA146" s="209" t="n"/>
    </row>
    <row r="147" ht="15.75" customHeight="1" s="230">
      <c r="A147" s="211" t="n"/>
      <c r="B147" s="211" t="n"/>
      <c r="C147" s="211" t="n"/>
      <c r="D147" s="211" t="n"/>
      <c r="E147" s="211" t="n"/>
      <c r="F147" s="213" t="n"/>
      <c r="G147" s="211" t="n"/>
      <c r="H147" s="211" t="n"/>
      <c r="I147" s="211" t="n"/>
      <c r="J147" s="209" t="n"/>
      <c r="K147" s="209" t="n"/>
      <c r="L147" s="209" t="n"/>
      <c r="M147" s="209" t="n"/>
      <c r="N147" s="209" t="n"/>
      <c r="O147" s="209" t="n"/>
      <c r="P147" s="209" t="n"/>
      <c r="Q147" s="209" t="n"/>
      <c r="R147" s="209" t="n"/>
      <c r="S147" s="209" t="n"/>
      <c r="T147" s="209" t="n"/>
      <c r="U147" s="209" t="n"/>
      <c r="V147" s="209" t="n"/>
      <c r="W147" s="209" t="n"/>
      <c r="X147" s="209" t="n"/>
      <c r="Y147" s="209" t="n"/>
      <c r="Z147" s="209" t="n"/>
      <c r="AA147" s="209" t="n"/>
    </row>
    <row r="148" ht="15.75" customHeight="1" s="230">
      <c r="A148" s="211" t="n"/>
      <c r="B148" s="211" t="n"/>
      <c r="C148" s="211" t="n"/>
      <c r="D148" s="211" t="n"/>
      <c r="E148" s="211" t="n"/>
      <c r="F148" s="213" t="n"/>
      <c r="G148" s="211" t="n"/>
      <c r="H148" s="211" t="n"/>
      <c r="I148" s="211" t="n"/>
      <c r="J148" s="209" t="n"/>
      <c r="K148" s="209" t="n"/>
      <c r="L148" s="209" t="n"/>
      <c r="M148" s="209" t="n"/>
      <c r="N148" s="209" t="n"/>
      <c r="O148" s="209" t="n"/>
      <c r="P148" s="209" t="n"/>
      <c r="Q148" s="209" t="n"/>
      <c r="R148" s="209" t="n"/>
      <c r="S148" s="209" t="n"/>
      <c r="T148" s="209" t="n"/>
      <c r="U148" s="209" t="n"/>
      <c r="V148" s="209" t="n"/>
      <c r="W148" s="209" t="n"/>
      <c r="X148" s="209" t="n"/>
      <c r="Y148" s="209" t="n"/>
      <c r="Z148" s="209" t="n"/>
      <c r="AA148" s="209" t="n"/>
    </row>
    <row r="149" ht="15.75" customHeight="1" s="230">
      <c r="A149" s="211" t="n"/>
      <c r="B149" s="211" t="n"/>
      <c r="C149" s="211" t="n"/>
      <c r="D149" s="211" t="n"/>
      <c r="E149" s="211" t="n"/>
      <c r="F149" s="213" t="n"/>
      <c r="G149" s="211" t="n"/>
      <c r="H149" s="211" t="n"/>
      <c r="I149" s="211" t="n"/>
      <c r="J149" s="209" t="n"/>
      <c r="K149" s="209" t="n"/>
      <c r="L149" s="209" t="n"/>
      <c r="M149" s="209" t="n"/>
      <c r="N149" s="209" t="n"/>
      <c r="O149" s="209" t="n"/>
      <c r="P149" s="209" t="n"/>
      <c r="Q149" s="209" t="n"/>
      <c r="R149" s="209" t="n"/>
      <c r="S149" s="209" t="n"/>
      <c r="T149" s="209" t="n"/>
      <c r="U149" s="209" t="n"/>
      <c r="V149" s="209" t="n"/>
      <c r="W149" s="209" t="n"/>
      <c r="X149" s="209" t="n"/>
      <c r="Y149" s="209" t="n"/>
      <c r="Z149" s="209" t="n"/>
      <c r="AA149" s="209" t="n"/>
    </row>
    <row r="150" ht="15.75" customHeight="1" s="230">
      <c r="A150" s="211" t="n"/>
      <c r="B150" s="211" t="n"/>
      <c r="C150" s="211" t="n"/>
      <c r="D150" s="211" t="n"/>
      <c r="E150" s="211" t="n"/>
      <c r="F150" s="213" t="n"/>
      <c r="G150" s="211" t="n"/>
      <c r="H150" s="211" t="n"/>
      <c r="I150" s="211" t="n"/>
      <c r="J150" s="209" t="n"/>
      <c r="K150" s="209" t="n"/>
      <c r="L150" s="209" t="n"/>
      <c r="M150" s="209" t="n"/>
      <c r="N150" s="209" t="n"/>
      <c r="O150" s="209" t="n"/>
      <c r="P150" s="209" t="n"/>
      <c r="Q150" s="209" t="n"/>
      <c r="R150" s="209" t="n"/>
      <c r="S150" s="209" t="n"/>
      <c r="T150" s="209" t="n"/>
      <c r="U150" s="209" t="n"/>
      <c r="V150" s="209" t="n"/>
      <c r="W150" s="209" t="n"/>
      <c r="X150" s="209" t="n"/>
      <c r="Y150" s="209" t="n"/>
      <c r="Z150" s="209" t="n"/>
      <c r="AA150" s="209" t="n"/>
    </row>
    <row r="151" ht="15.75" customHeight="1" s="230">
      <c r="A151" s="211" t="n"/>
      <c r="B151" s="211" t="n"/>
      <c r="C151" s="211" t="n"/>
      <c r="D151" s="211" t="n"/>
      <c r="E151" s="211" t="n"/>
      <c r="F151" s="213" t="n"/>
      <c r="G151" s="211" t="n"/>
      <c r="H151" s="211" t="n"/>
      <c r="I151" s="211" t="n"/>
      <c r="J151" s="209" t="n"/>
      <c r="K151" s="209" t="n"/>
      <c r="L151" s="209" t="n"/>
      <c r="M151" s="209" t="n"/>
      <c r="N151" s="209" t="n"/>
      <c r="O151" s="209" t="n"/>
      <c r="P151" s="209" t="n"/>
      <c r="Q151" s="209" t="n"/>
      <c r="R151" s="209" t="n"/>
      <c r="S151" s="209" t="n"/>
      <c r="T151" s="209" t="n"/>
      <c r="U151" s="209" t="n"/>
      <c r="V151" s="209" t="n"/>
      <c r="W151" s="209" t="n"/>
      <c r="X151" s="209" t="n"/>
      <c r="Y151" s="209" t="n"/>
      <c r="Z151" s="209" t="n"/>
      <c r="AA151" s="209" t="n"/>
    </row>
    <row r="152" ht="15.75" customHeight="1" s="230">
      <c r="A152" s="211" t="n"/>
      <c r="B152" s="211" t="n"/>
      <c r="C152" s="211" t="n"/>
      <c r="D152" s="211" t="n"/>
      <c r="E152" s="211" t="n"/>
      <c r="F152" s="213" t="n"/>
      <c r="G152" s="211" t="n"/>
      <c r="H152" s="211" t="n"/>
      <c r="I152" s="211" t="n"/>
      <c r="J152" s="209" t="n"/>
      <c r="K152" s="209" t="n"/>
      <c r="L152" s="209" t="n"/>
      <c r="M152" s="209" t="n"/>
      <c r="N152" s="209" t="n"/>
      <c r="O152" s="209" t="n"/>
      <c r="P152" s="209" t="n"/>
      <c r="Q152" s="209" t="n"/>
      <c r="R152" s="209" t="n"/>
      <c r="S152" s="209" t="n"/>
      <c r="T152" s="209" t="n"/>
      <c r="U152" s="209" t="n"/>
      <c r="V152" s="209" t="n"/>
      <c r="W152" s="209" t="n"/>
      <c r="X152" s="209" t="n"/>
      <c r="Y152" s="209" t="n"/>
      <c r="Z152" s="209" t="n"/>
      <c r="AA152" s="209" t="n"/>
    </row>
    <row r="153" ht="15.75" customHeight="1" s="230">
      <c r="A153" s="211" t="n"/>
      <c r="B153" s="211" t="n"/>
      <c r="C153" s="211" t="n"/>
      <c r="D153" s="211" t="n"/>
      <c r="E153" s="211" t="n"/>
      <c r="F153" s="213" t="n"/>
      <c r="G153" s="211" t="n"/>
      <c r="H153" s="211" t="n"/>
      <c r="I153" s="211" t="n"/>
      <c r="J153" s="209" t="n"/>
      <c r="K153" s="209" t="n"/>
      <c r="L153" s="209" t="n"/>
      <c r="M153" s="209" t="n"/>
      <c r="N153" s="209" t="n"/>
      <c r="O153" s="209" t="n"/>
      <c r="P153" s="209" t="n"/>
      <c r="Q153" s="209" t="n"/>
      <c r="R153" s="209" t="n"/>
      <c r="S153" s="209" t="n"/>
      <c r="T153" s="209" t="n"/>
      <c r="U153" s="209" t="n"/>
      <c r="V153" s="209" t="n"/>
      <c r="W153" s="209" t="n"/>
      <c r="X153" s="209" t="n"/>
      <c r="Y153" s="209" t="n"/>
      <c r="Z153" s="209" t="n"/>
      <c r="AA153" s="209" t="n"/>
    </row>
    <row r="154" ht="15.75" customHeight="1" s="230">
      <c r="A154" s="211" t="n"/>
      <c r="B154" s="211" t="n"/>
      <c r="C154" s="211" t="n"/>
      <c r="D154" s="211" t="n"/>
      <c r="E154" s="211" t="n"/>
      <c r="F154" s="213" t="n"/>
      <c r="G154" s="211" t="n"/>
      <c r="H154" s="211" t="n"/>
      <c r="I154" s="211" t="n"/>
      <c r="J154" s="209" t="n"/>
      <c r="K154" s="209" t="n"/>
      <c r="L154" s="209" t="n"/>
      <c r="M154" s="209" t="n"/>
      <c r="N154" s="209" t="n"/>
      <c r="O154" s="209" t="n"/>
      <c r="P154" s="209" t="n"/>
      <c r="Q154" s="209" t="n"/>
      <c r="R154" s="209" t="n"/>
      <c r="S154" s="209" t="n"/>
      <c r="T154" s="209" t="n"/>
      <c r="U154" s="209" t="n"/>
      <c r="V154" s="209" t="n"/>
      <c r="W154" s="209" t="n"/>
      <c r="X154" s="209" t="n"/>
      <c r="Y154" s="209" t="n"/>
      <c r="Z154" s="209" t="n"/>
      <c r="AA154" s="209" t="n"/>
    </row>
    <row r="155" ht="15.75" customHeight="1" s="230">
      <c r="A155" s="211" t="n"/>
      <c r="B155" s="211" t="n"/>
      <c r="C155" s="211" t="n"/>
      <c r="D155" s="211" t="n"/>
      <c r="E155" s="211" t="n"/>
      <c r="F155" s="213" t="n"/>
      <c r="G155" s="211" t="n"/>
      <c r="H155" s="211" t="n"/>
      <c r="I155" s="211" t="n"/>
      <c r="J155" s="209" t="n"/>
      <c r="K155" s="209" t="n"/>
      <c r="L155" s="209" t="n"/>
      <c r="M155" s="209" t="n"/>
      <c r="N155" s="209" t="n"/>
      <c r="O155" s="209" t="n"/>
      <c r="P155" s="209" t="n"/>
      <c r="Q155" s="209" t="n"/>
      <c r="R155" s="209" t="n"/>
      <c r="S155" s="209" t="n"/>
      <c r="T155" s="209" t="n"/>
      <c r="U155" s="209" t="n"/>
      <c r="V155" s="209" t="n"/>
      <c r="W155" s="209" t="n"/>
      <c r="X155" s="209" t="n"/>
      <c r="Y155" s="209" t="n"/>
      <c r="Z155" s="209" t="n"/>
      <c r="AA155" s="209" t="n"/>
    </row>
    <row r="156" ht="15.75" customHeight="1" s="230">
      <c r="A156" s="211" t="n"/>
      <c r="B156" s="211" t="n"/>
      <c r="C156" s="211" t="n"/>
      <c r="D156" s="211" t="n"/>
      <c r="E156" s="211" t="n"/>
      <c r="F156" s="213" t="n"/>
      <c r="G156" s="211" t="n"/>
      <c r="H156" s="211" t="n"/>
      <c r="I156" s="211" t="n"/>
      <c r="J156" s="209" t="n"/>
      <c r="K156" s="209" t="n"/>
      <c r="L156" s="209" t="n"/>
      <c r="M156" s="209" t="n"/>
      <c r="N156" s="209" t="n"/>
      <c r="O156" s="209" t="n"/>
      <c r="P156" s="209" t="n"/>
      <c r="Q156" s="209" t="n"/>
      <c r="R156" s="209" t="n"/>
      <c r="S156" s="209" t="n"/>
      <c r="T156" s="209" t="n"/>
      <c r="U156" s="209" t="n"/>
      <c r="V156" s="209" t="n"/>
      <c r="W156" s="209" t="n"/>
      <c r="X156" s="209" t="n"/>
      <c r="Y156" s="209" t="n"/>
      <c r="Z156" s="209" t="n"/>
      <c r="AA156" s="209" t="n"/>
    </row>
    <row r="157" ht="15.75" customHeight="1" s="230">
      <c r="A157" s="211" t="n"/>
      <c r="B157" s="211" t="n"/>
      <c r="C157" s="211" t="n"/>
      <c r="D157" s="211" t="n"/>
      <c r="E157" s="211" t="n"/>
      <c r="F157" s="213" t="n"/>
      <c r="G157" s="211" t="n"/>
      <c r="H157" s="211" t="n"/>
      <c r="I157" s="211" t="n"/>
      <c r="J157" s="209" t="n"/>
      <c r="K157" s="209" t="n"/>
      <c r="L157" s="209" t="n"/>
      <c r="M157" s="209" t="n"/>
      <c r="N157" s="209" t="n"/>
      <c r="O157" s="209" t="n"/>
      <c r="P157" s="209" t="n"/>
      <c r="Q157" s="209" t="n"/>
      <c r="R157" s="209" t="n"/>
      <c r="S157" s="209" t="n"/>
      <c r="T157" s="209" t="n"/>
      <c r="U157" s="209" t="n"/>
      <c r="V157" s="209" t="n"/>
      <c r="W157" s="209" t="n"/>
      <c r="X157" s="209" t="n"/>
      <c r="Y157" s="209" t="n"/>
      <c r="Z157" s="209" t="n"/>
      <c r="AA157" s="209" t="n"/>
    </row>
    <row r="158" ht="15.75" customHeight="1" s="230">
      <c r="A158" s="211" t="n"/>
      <c r="B158" s="211" t="n"/>
      <c r="C158" s="211" t="n"/>
      <c r="D158" s="211" t="n"/>
      <c r="E158" s="211" t="n"/>
      <c r="F158" s="213" t="n"/>
      <c r="G158" s="211" t="n"/>
      <c r="H158" s="211" t="n"/>
      <c r="I158" s="211" t="n"/>
      <c r="J158" s="209" t="n"/>
      <c r="K158" s="209" t="n"/>
      <c r="L158" s="209" t="n"/>
      <c r="M158" s="209" t="n"/>
      <c r="N158" s="209" t="n"/>
      <c r="O158" s="209" t="n"/>
      <c r="P158" s="209" t="n"/>
      <c r="Q158" s="209" t="n"/>
      <c r="R158" s="209" t="n"/>
      <c r="S158" s="209" t="n"/>
      <c r="T158" s="209" t="n"/>
      <c r="U158" s="209" t="n"/>
      <c r="V158" s="209" t="n"/>
      <c r="W158" s="209" t="n"/>
      <c r="X158" s="209" t="n"/>
      <c r="Y158" s="209" t="n"/>
      <c r="Z158" s="209" t="n"/>
      <c r="AA158" s="209" t="n"/>
    </row>
    <row r="159" ht="15.75" customHeight="1" s="230">
      <c r="A159" s="211" t="n"/>
      <c r="B159" s="211" t="n"/>
      <c r="C159" s="211" t="n"/>
      <c r="D159" s="211" t="n"/>
      <c r="E159" s="211" t="n"/>
      <c r="F159" s="213" t="n"/>
      <c r="G159" s="211" t="n"/>
      <c r="H159" s="211" t="n"/>
      <c r="I159" s="211" t="n"/>
      <c r="J159" s="209" t="n"/>
      <c r="K159" s="209" t="n"/>
      <c r="L159" s="209" t="n"/>
      <c r="M159" s="209" t="n"/>
      <c r="N159" s="209" t="n"/>
      <c r="O159" s="209" t="n"/>
      <c r="P159" s="209" t="n"/>
      <c r="Q159" s="209" t="n"/>
      <c r="R159" s="209" t="n"/>
      <c r="S159" s="209" t="n"/>
      <c r="T159" s="209" t="n"/>
      <c r="U159" s="209" t="n"/>
      <c r="V159" s="209" t="n"/>
      <c r="W159" s="209" t="n"/>
      <c r="X159" s="209" t="n"/>
      <c r="Y159" s="209" t="n"/>
      <c r="Z159" s="209" t="n"/>
      <c r="AA159" s="209" t="n"/>
    </row>
    <row r="160" ht="15.75" customHeight="1" s="230">
      <c r="A160" s="211" t="n"/>
      <c r="B160" s="211" t="n"/>
      <c r="C160" s="211" t="n"/>
      <c r="D160" s="211" t="n"/>
      <c r="E160" s="211" t="n"/>
      <c r="F160" s="213" t="n"/>
      <c r="G160" s="211" t="n"/>
      <c r="H160" s="211" t="n"/>
      <c r="I160" s="211" t="n"/>
      <c r="J160" s="209" t="n"/>
      <c r="K160" s="209" t="n"/>
      <c r="L160" s="209" t="n"/>
      <c r="M160" s="209" t="n"/>
      <c r="N160" s="209" t="n"/>
      <c r="O160" s="209" t="n"/>
      <c r="P160" s="209" t="n"/>
      <c r="Q160" s="209" t="n"/>
      <c r="R160" s="209" t="n"/>
      <c r="S160" s="209" t="n"/>
      <c r="T160" s="209" t="n"/>
      <c r="U160" s="209" t="n"/>
      <c r="V160" s="209" t="n"/>
      <c r="W160" s="209" t="n"/>
      <c r="X160" s="209" t="n"/>
      <c r="Y160" s="209" t="n"/>
      <c r="Z160" s="209" t="n"/>
      <c r="AA160" s="209" t="n"/>
    </row>
    <row r="161" ht="15.75" customHeight="1" s="230">
      <c r="A161" s="211" t="n"/>
      <c r="B161" s="211" t="n"/>
      <c r="C161" s="211" t="n"/>
      <c r="D161" s="211" t="n"/>
      <c r="E161" s="211" t="n"/>
      <c r="F161" s="213" t="n"/>
      <c r="G161" s="211" t="n"/>
      <c r="H161" s="211" t="n"/>
      <c r="I161" s="211" t="n"/>
      <c r="J161" s="209" t="n"/>
      <c r="K161" s="209" t="n"/>
      <c r="L161" s="209" t="n"/>
      <c r="M161" s="209" t="n"/>
      <c r="N161" s="209" t="n"/>
      <c r="O161" s="209" t="n"/>
      <c r="P161" s="209" t="n"/>
      <c r="Q161" s="209" t="n"/>
      <c r="R161" s="209" t="n"/>
      <c r="S161" s="209" t="n"/>
      <c r="T161" s="209" t="n"/>
      <c r="U161" s="209" t="n"/>
      <c r="V161" s="209" t="n"/>
      <c r="W161" s="209" t="n"/>
      <c r="X161" s="209" t="n"/>
      <c r="Y161" s="209" t="n"/>
      <c r="Z161" s="209" t="n"/>
      <c r="AA161" s="209" t="n"/>
    </row>
    <row r="162" ht="15.75" customHeight="1" s="230">
      <c r="A162" s="211" t="n"/>
      <c r="B162" s="211" t="n"/>
      <c r="C162" s="211" t="n"/>
      <c r="D162" s="211" t="n"/>
      <c r="E162" s="211" t="n"/>
      <c r="F162" s="213" t="n"/>
      <c r="G162" s="211" t="n"/>
      <c r="H162" s="211" t="n"/>
      <c r="I162" s="211" t="n"/>
      <c r="J162" s="209" t="n"/>
      <c r="K162" s="209" t="n"/>
      <c r="L162" s="209" t="n"/>
      <c r="M162" s="209" t="n"/>
      <c r="N162" s="209" t="n"/>
      <c r="O162" s="209" t="n"/>
      <c r="P162" s="209" t="n"/>
      <c r="Q162" s="209" t="n"/>
      <c r="R162" s="209" t="n"/>
      <c r="S162" s="209" t="n"/>
      <c r="T162" s="209" t="n"/>
      <c r="U162" s="209" t="n"/>
      <c r="V162" s="209" t="n"/>
      <c r="W162" s="209" t="n"/>
      <c r="X162" s="209" t="n"/>
      <c r="Y162" s="209" t="n"/>
      <c r="Z162" s="209" t="n"/>
      <c r="AA162" s="209" t="n"/>
    </row>
    <row r="163" ht="15.75" customHeight="1" s="230">
      <c r="A163" s="211" t="n"/>
      <c r="B163" s="211" t="n"/>
      <c r="C163" s="211" t="n"/>
      <c r="D163" s="211" t="n"/>
      <c r="E163" s="211" t="n"/>
      <c r="F163" s="213" t="n"/>
      <c r="G163" s="211" t="n"/>
      <c r="H163" s="211" t="n"/>
      <c r="I163" s="211" t="n"/>
      <c r="J163" s="209" t="n"/>
      <c r="K163" s="209" t="n"/>
      <c r="L163" s="209" t="n"/>
      <c r="M163" s="209" t="n"/>
      <c r="N163" s="209" t="n"/>
      <c r="O163" s="209" t="n"/>
      <c r="P163" s="209" t="n"/>
      <c r="Q163" s="209" t="n"/>
      <c r="R163" s="209" t="n"/>
      <c r="S163" s="209" t="n"/>
      <c r="T163" s="209" t="n"/>
      <c r="U163" s="209" t="n"/>
      <c r="V163" s="209" t="n"/>
      <c r="W163" s="209" t="n"/>
      <c r="X163" s="209" t="n"/>
      <c r="Y163" s="209" t="n"/>
      <c r="Z163" s="209" t="n"/>
      <c r="AA163" s="209" t="n"/>
    </row>
    <row r="164" ht="15.75" customHeight="1" s="230">
      <c r="A164" s="211" t="n"/>
      <c r="B164" s="211" t="n"/>
      <c r="C164" s="211" t="n"/>
      <c r="D164" s="211" t="n"/>
      <c r="E164" s="211" t="n"/>
      <c r="F164" s="213" t="n"/>
      <c r="G164" s="211" t="n"/>
      <c r="H164" s="211" t="n"/>
      <c r="I164" s="211" t="n"/>
      <c r="J164" s="209" t="n"/>
      <c r="K164" s="209" t="n"/>
      <c r="L164" s="209" t="n"/>
      <c r="M164" s="209" t="n"/>
      <c r="N164" s="209" t="n"/>
      <c r="O164" s="209" t="n"/>
      <c r="P164" s="209" t="n"/>
      <c r="Q164" s="209" t="n"/>
      <c r="R164" s="209" t="n"/>
      <c r="S164" s="209" t="n"/>
      <c r="T164" s="209" t="n"/>
      <c r="U164" s="209" t="n"/>
      <c r="V164" s="209" t="n"/>
      <c r="W164" s="209" t="n"/>
      <c r="X164" s="209" t="n"/>
      <c r="Y164" s="209" t="n"/>
      <c r="Z164" s="209" t="n"/>
      <c r="AA164" s="209" t="n"/>
    </row>
    <row r="165" ht="15.75" customHeight="1" s="230">
      <c r="A165" s="211" t="n"/>
      <c r="B165" s="211" t="n"/>
      <c r="C165" s="211" t="n"/>
      <c r="D165" s="211" t="n"/>
      <c r="E165" s="211" t="n"/>
      <c r="F165" s="213" t="n"/>
      <c r="G165" s="211" t="n"/>
      <c r="H165" s="211" t="n"/>
      <c r="I165" s="211" t="n"/>
      <c r="J165" s="209" t="n"/>
      <c r="K165" s="209" t="n"/>
      <c r="L165" s="209" t="n"/>
      <c r="M165" s="209" t="n"/>
      <c r="N165" s="209" t="n"/>
      <c r="O165" s="209" t="n"/>
      <c r="P165" s="209" t="n"/>
      <c r="Q165" s="209" t="n"/>
      <c r="R165" s="209" t="n"/>
      <c r="S165" s="209" t="n"/>
      <c r="T165" s="209" t="n"/>
      <c r="U165" s="209" t="n"/>
      <c r="V165" s="209" t="n"/>
      <c r="W165" s="209" t="n"/>
      <c r="X165" s="209" t="n"/>
      <c r="Y165" s="209" t="n"/>
      <c r="Z165" s="209" t="n"/>
      <c r="AA165" s="209" t="n"/>
    </row>
    <row r="166" ht="15.75" customHeight="1" s="230">
      <c r="A166" s="211" t="n"/>
      <c r="B166" s="211" t="n"/>
      <c r="C166" s="211" t="n"/>
      <c r="D166" s="211" t="n"/>
      <c r="E166" s="211" t="n"/>
      <c r="F166" s="213" t="n"/>
      <c r="G166" s="211" t="n"/>
      <c r="H166" s="211" t="n"/>
      <c r="I166" s="211" t="n"/>
      <c r="J166" s="209" t="n"/>
      <c r="K166" s="209" t="n"/>
      <c r="L166" s="209" t="n"/>
      <c r="M166" s="209" t="n"/>
      <c r="N166" s="209" t="n"/>
      <c r="O166" s="209" t="n"/>
      <c r="P166" s="209" t="n"/>
      <c r="Q166" s="209" t="n"/>
      <c r="R166" s="209" t="n"/>
      <c r="S166" s="209" t="n"/>
      <c r="T166" s="209" t="n"/>
      <c r="U166" s="209" t="n"/>
      <c r="V166" s="209" t="n"/>
      <c r="W166" s="209" t="n"/>
      <c r="X166" s="209" t="n"/>
      <c r="Y166" s="209" t="n"/>
      <c r="Z166" s="209" t="n"/>
      <c r="AA166" s="209" t="n"/>
    </row>
    <row r="167" ht="15.75" customHeight="1" s="230">
      <c r="A167" s="211" t="n"/>
      <c r="B167" s="211" t="n"/>
      <c r="C167" s="211" t="n"/>
      <c r="D167" s="211" t="n"/>
      <c r="E167" s="211" t="n"/>
      <c r="F167" s="213" t="n"/>
      <c r="G167" s="211" t="n"/>
      <c r="H167" s="211" t="n"/>
      <c r="I167" s="211" t="n"/>
      <c r="J167" s="209" t="n"/>
      <c r="K167" s="209" t="n"/>
      <c r="L167" s="209" t="n"/>
      <c r="M167" s="209" t="n"/>
      <c r="N167" s="209" t="n"/>
      <c r="O167" s="209" t="n"/>
      <c r="P167" s="209" t="n"/>
      <c r="Q167" s="209" t="n"/>
      <c r="R167" s="209" t="n"/>
      <c r="S167" s="209" t="n"/>
      <c r="T167" s="209" t="n"/>
      <c r="U167" s="209" t="n"/>
      <c r="V167" s="209" t="n"/>
      <c r="W167" s="209" t="n"/>
      <c r="X167" s="209" t="n"/>
      <c r="Y167" s="209" t="n"/>
      <c r="Z167" s="209" t="n"/>
      <c r="AA167" s="209" t="n"/>
    </row>
    <row r="168" ht="15.75" customHeight="1" s="230">
      <c r="A168" s="211" t="n"/>
      <c r="B168" s="211" t="n"/>
      <c r="C168" s="211" t="n"/>
      <c r="D168" s="211" t="n"/>
      <c r="E168" s="211" t="n"/>
      <c r="F168" s="213" t="n"/>
      <c r="G168" s="211" t="n"/>
      <c r="H168" s="211" t="n"/>
      <c r="I168" s="211" t="n"/>
      <c r="J168" s="209" t="n"/>
      <c r="K168" s="209" t="n"/>
      <c r="L168" s="209" t="n"/>
      <c r="M168" s="209" t="n"/>
      <c r="N168" s="209" t="n"/>
      <c r="O168" s="209" t="n"/>
      <c r="P168" s="209" t="n"/>
      <c r="Q168" s="209" t="n"/>
      <c r="R168" s="209" t="n"/>
      <c r="S168" s="209" t="n"/>
      <c r="T168" s="209" t="n"/>
      <c r="U168" s="209" t="n"/>
      <c r="V168" s="209" t="n"/>
      <c r="W168" s="209" t="n"/>
      <c r="X168" s="209" t="n"/>
      <c r="Y168" s="209" t="n"/>
      <c r="Z168" s="209" t="n"/>
      <c r="AA168" s="209" t="n"/>
    </row>
    <row r="169" ht="15.75" customHeight="1" s="230">
      <c r="A169" s="211" t="n"/>
      <c r="B169" s="211" t="n"/>
      <c r="C169" s="211" t="n"/>
      <c r="D169" s="211" t="n"/>
      <c r="E169" s="211" t="n"/>
      <c r="F169" s="213" t="n"/>
      <c r="G169" s="211" t="n"/>
      <c r="H169" s="211" t="n"/>
      <c r="I169" s="211" t="n"/>
      <c r="J169" s="209" t="n"/>
      <c r="K169" s="209" t="n"/>
      <c r="L169" s="209" t="n"/>
      <c r="M169" s="209" t="n"/>
      <c r="N169" s="209" t="n"/>
      <c r="O169" s="209" t="n"/>
      <c r="P169" s="209" t="n"/>
      <c r="Q169" s="209" t="n"/>
      <c r="R169" s="209" t="n"/>
      <c r="S169" s="209" t="n"/>
      <c r="T169" s="209" t="n"/>
      <c r="U169" s="209" t="n"/>
      <c r="V169" s="209" t="n"/>
      <c r="W169" s="209" t="n"/>
      <c r="X169" s="209" t="n"/>
      <c r="Y169" s="209" t="n"/>
      <c r="Z169" s="209" t="n"/>
      <c r="AA169" s="209" t="n"/>
    </row>
    <row r="170" ht="15.75" customHeight="1" s="230">
      <c r="A170" s="211" t="n"/>
      <c r="B170" s="211" t="n"/>
      <c r="C170" s="211" t="n"/>
      <c r="D170" s="211" t="n"/>
      <c r="E170" s="211" t="n"/>
      <c r="F170" s="213" t="n"/>
      <c r="G170" s="211" t="n"/>
      <c r="H170" s="211" t="n"/>
      <c r="I170" s="211" t="n"/>
      <c r="J170" s="209" t="n"/>
      <c r="K170" s="209" t="n"/>
      <c r="L170" s="209" t="n"/>
      <c r="M170" s="209" t="n"/>
      <c r="N170" s="209" t="n"/>
      <c r="O170" s="209" t="n"/>
      <c r="P170" s="209" t="n"/>
      <c r="Q170" s="209" t="n"/>
      <c r="R170" s="209" t="n"/>
      <c r="S170" s="209" t="n"/>
      <c r="T170" s="209" t="n"/>
      <c r="U170" s="209" t="n"/>
      <c r="V170" s="209" t="n"/>
      <c r="W170" s="209" t="n"/>
      <c r="X170" s="209" t="n"/>
      <c r="Y170" s="209" t="n"/>
      <c r="Z170" s="209" t="n"/>
      <c r="AA170" s="209" t="n"/>
    </row>
    <row r="171" ht="15.75" customHeight="1" s="230">
      <c r="A171" s="211" t="n"/>
      <c r="B171" s="211" t="n"/>
      <c r="C171" s="211" t="n"/>
      <c r="D171" s="211" t="n"/>
      <c r="E171" s="211" t="n"/>
      <c r="F171" s="213" t="n"/>
      <c r="G171" s="211" t="n"/>
      <c r="H171" s="211" t="n"/>
      <c r="I171" s="211" t="n"/>
      <c r="J171" s="209" t="n"/>
      <c r="K171" s="209" t="n"/>
      <c r="L171" s="209" t="n"/>
      <c r="M171" s="209" t="n"/>
      <c r="N171" s="209" t="n"/>
      <c r="O171" s="209" t="n"/>
      <c r="P171" s="209" t="n"/>
      <c r="Q171" s="209" t="n"/>
      <c r="R171" s="209" t="n"/>
      <c r="S171" s="209" t="n"/>
      <c r="T171" s="209" t="n"/>
      <c r="U171" s="209" t="n"/>
      <c r="V171" s="209" t="n"/>
      <c r="W171" s="209" t="n"/>
      <c r="X171" s="209" t="n"/>
      <c r="Y171" s="209" t="n"/>
      <c r="Z171" s="209" t="n"/>
      <c r="AA171" s="209" t="n"/>
    </row>
    <row r="172" ht="15.75" customHeight="1" s="230">
      <c r="A172" s="211" t="n"/>
      <c r="B172" s="211" t="n"/>
      <c r="C172" s="211" t="n"/>
      <c r="D172" s="211" t="n"/>
      <c r="E172" s="211" t="n"/>
      <c r="F172" s="213" t="n"/>
      <c r="G172" s="211" t="n"/>
      <c r="H172" s="211" t="n"/>
      <c r="I172" s="211" t="n"/>
      <c r="J172" s="209" t="n"/>
      <c r="K172" s="209" t="n"/>
      <c r="L172" s="209" t="n"/>
      <c r="M172" s="209" t="n"/>
      <c r="N172" s="209" t="n"/>
      <c r="O172" s="209" t="n"/>
      <c r="P172" s="209" t="n"/>
      <c r="Q172" s="209" t="n"/>
      <c r="R172" s="209" t="n"/>
      <c r="S172" s="209" t="n"/>
      <c r="T172" s="209" t="n"/>
      <c r="U172" s="209" t="n"/>
      <c r="V172" s="209" t="n"/>
      <c r="W172" s="209" t="n"/>
      <c r="X172" s="209" t="n"/>
      <c r="Y172" s="209" t="n"/>
      <c r="Z172" s="209" t="n"/>
      <c r="AA172" s="209" t="n"/>
    </row>
    <row r="173" ht="15.75" customHeight="1" s="230">
      <c r="A173" s="211" t="n"/>
      <c r="B173" s="211" t="n"/>
      <c r="C173" s="211" t="n"/>
      <c r="D173" s="211" t="n"/>
      <c r="E173" s="211" t="n"/>
      <c r="F173" s="213" t="n"/>
      <c r="G173" s="211" t="n"/>
      <c r="H173" s="211" t="n"/>
      <c r="I173" s="211" t="n"/>
      <c r="J173" s="209" t="n"/>
      <c r="K173" s="209" t="n"/>
      <c r="L173" s="209" t="n"/>
      <c r="M173" s="209" t="n"/>
      <c r="N173" s="209" t="n"/>
      <c r="O173" s="209" t="n"/>
      <c r="P173" s="209" t="n"/>
      <c r="Q173" s="209" t="n"/>
      <c r="R173" s="209" t="n"/>
      <c r="S173" s="209" t="n"/>
      <c r="T173" s="209" t="n"/>
      <c r="U173" s="209" t="n"/>
      <c r="V173" s="209" t="n"/>
      <c r="W173" s="209" t="n"/>
      <c r="X173" s="209" t="n"/>
      <c r="Y173" s="209" t="n"/>
      <c r="Z173" s="209" t="n"/>
      <c r="AA173" s="209" t="n"/>
    </row>
    <row r="174" ht="15.75" customHeight="1" s="230">
      <c r="A174" s="211" t="n"/>
      <c r="B174" s="211" t="n"/>
      <c r="C174" s="211" t="n"/>
      <c r="D174" s="211" t="n"/>
      <c r="E174" s="211" t="n"/>
      <c r="F174" s="213" t="n"/>
      <c r="G174" s="211" t="n"/>
      <c r="H174" s="211" t="n"/>
      <c r="I174" s="211" t="n"/>
      <c r="J174" s="209" t="n"/>
      <c r="K174" s="209" t="n"/>
      <c r="L174" s="209" t="n"/>
      <c r="M174" s="209" t="n"/>
      <c r="N174" s="209" t="n"/>
      <c r="O174" s="209" t="n"/>
      <c r="P174" s="209" t="n"/>
      <c r="Q174" s="209" t="n"/>
      <c r="R174" s="209" t="n"/>
      <c r="S174" s="209" t="n"/>
      <c r="T174" s="209" t="n"/>
      <c r="U174" s="209" t="n"/>
      <c r="V174" s="209" t="n"/>
      <c r="W174" s="209" t="n"/>
      <c r="X174" s="209" t="n"/>
      <c r="Y174" s="209" t="n"/>
      <c r="Z174" s="209" t="n"/>
      <c r="AA174" s="209" t="n"/>
    </row>
    <row r="175" ht="15.75" customHeight="1" s="230">
      <c r="A175" s="211" t="n"/>
      <c r="B175" s="211" t="n"/>
      <c r="C175" s="211" t="n"/>
      <c r="D175" s="211" t="n"/>
      <c r="E175" s="211" t="n"/>
      <c r="F175" s="213" t="n"/>
      <c r="G175" s="211" t="n"/>
      <c r="H175" s="211" t="n"/>
      <c r="I175" s="211" t="n"/>
      <c r="J175" s="209" t="n"/>
      <c r="K175" s="209" t="n"/>
      <c r="L175" s="209" t="n"/>
      <c r="M175" s="209" t="n"/>
      <c r="N175" s="209" t="n"/>
      <c r="O175" s="209" t="n"/>
      <c r="P175" s="209" t="n"/>
      <c r="Q175" s="209" t="n"/>
      <c r="R175" s="209" t="n"/>
      <c r="S175" s="209" t="n"/>
      <c r="T175" s="209" t="n"/>
      <c r="U175" s="209" t="n"/>
      <c r="V175" s="209" t="n"/>
      <c r="W175" s="209" t="n"/>
      <c r="X175" s="209" t="n"/>
      <c r="Y175" s="209" t="n"/>
      <c r="Z175" s="209" t="n"/>
      <c r="AA175" s="209" t="n"/>
    </row>
    <row r="176" ht="15.75" customHeight="1" s="230">
      <c r="A176" s="211" t="n"/>
      <c r="B176" s="211" t="n"/>
      <c r="C176" s="211" t="n"/>
      <c r="D176" s="211" t="n"/>
      <c r="E176" s="211" t="n"/>
      <c r="F176" s="213" t="n"/>
      <c r="G176" s="211" t="n"/>
      <c r="H176" s="211" t="n"/>
      <c r="I176" s="211" t="n"/>
      <c r="J176" s="209" t="n"/>
      <c r="K176" s="209" t="n"/>
      <c r="L176" s="209" t="n"/>
      <c r="M176" s="209" t="n"/>
      <c r="N176" s="209" t="n"/>
      <c r="O176" s="209" t="n"/>
      <c r="P176" s="209" t="n"/>
      <c r="Q176" s="209" t="n"/>
      <c r="R176" s="209" t="n"/>
      <c r="S176" s="209" t="n"/>
      <c r="T176" s="209" t="n"/>
      <c r="U176" s="209" t="n"/>
      <c r="V176" s="209" t="n"/>
      <c r="W176" s="209" t="n"/>
      <c r="X176" s="209" t="n"/>
      <c r="Y176" s="209" t="n"/>
      <c r="Z176" s="209" t="n"/>
      <c r="AA176" s="209" t="n"/>
    </row>
    <row r="177" ht="15.75" customHeight="1" s="230">
      <c r="A177" s="211" t="n"/>
      <c r="B177" s="211" t="n"/>
      <c r="C177" s="211" t="n"/>
      <c r="D177" s="211" t="n"/>
      <c r="E177" s="211" t="n"/>
      <c r="F177" s="213" t="n"/>
      <c r="G177" s="211" t="n"/>
      <c r="H177" s="211" t="n"/>
      <c r="I177" s="211" t="n"/>
      <c r="J177" s="209" t="n"/>
      <c r="K177" s="209" t="n"/>
      <c r="L177" s="209" t="n"/>
      <c r="M177" s="209" t="n"/>
      <c r="N177" s="209" t="n"/>
      <c r="O177" s="209" t="n"/>
      <c r="P177" s="209" t="n"/>
      <c r="Q177" s="209" t="n"/>
      <c r="R177" s="209" t="n"/>
      <c r="S177" s="209" t="n"/>
      <c r="T177" s="209" t="n"/>
      <c r="U177" s="209" t="n"/>
      <c r="V177" s="209" t="n"/>
      <c r="W177" s="209" t="n"/>
      <c r="X177" s="209" t="n"/>
      <c r="Y177" s="209" t="n"/>
      <c r="Z177" s="209" t="n"/>
      <c r="AA177" s="209" t="n"/>
    </row>
    <row r="178" ht="15.75" customHeight="1" s="230">
      <c r="A178" s="211" t="n"/>
      <c r="B178" s="211" t="n"/>
      <c r="C178" s="211" t="n"/>
      <c r="D178" s="211" t="n"/>
      <c r="E178" s="211" t="n"/>
      <c r="F178" s="213" t="n"/>
      <c r="G178" s="211" t="n"/>
      <c r="H178" s="211" t="n"/>
      <c r="I178" s="211" t="n"/>
      <c r="J178" s="209" t="n"/>
      <c r="K178" s="209" t="n"/>
      <c r="L178" s="209" t="n"/>
      <c r="M178" s="209" t="n"/>
      <c r="N178" s="209" t="n"/>
      <c r="O178" s="209" t="n"/>
      <c r="P178" s="209" t="n"/>
      <c r="Q178" s="209" t="n"/>
      <c r="R178" s="209" t="n"/>
      <c r="S178" s="209" t="n"/>
      <c r="T178" s="209" t="n"/>
      <c r="U178" s="209" t="n"/>
      <c r="V178" s="209" t="n"/>
      <c r="W178" s="209" t="n"/>
      <c r="X178" s="209" t="n"/>
      <c r="Y178" s="209" t="n"/>
      <c r="Z178" s="209" t="n"/>
      <c r="AA178" s="209" t="n"/>
    </row>
    <row r="179" ht="15.75" customHeight="1" s="230">
      <c r="A179" s="211" t="n"/>
      <c r="B179" s="211" t="n"/>
      <c r="C179" s="211" t="n"/>
      <c r="D179" s="211" t="n"/>
      <c r="E179" s="211" t="n"/>
      <c r="F179" s="213" t="n"/>
      <c r="G179" s="211" t="n"/>
      <c r="H179" s="211" t="n"/>
      <c r="I179" s="211" t="n"/>
      <c r="J179" s="209" t="n"/>
      <c r="K179" s="209" t="n"/>
      <c r="L179" s="209" t="n"/>
      <c r="M179" s="209" t="n"/>
      <c r="N179" s="209" t="n"/>
      <c r="O179" s="209" t="n"/>
      <c r="P179" s="209" t="n"/>
      <c r="Q179" s="209" t="n"/>
      <c r="R179" s="209" t="n"/>
      <c r="S179" s="209" t="n"/>
      <c r="T179" s="209" t="n"/>
      <c r="U179" s="209" t="n"/>
      <c r="V179" s="209" t="n"/>
      <c r="W179" s="209" t="n"/>
      <c r="X179" s="209" t="n"/>
      <c r="Y179" s="209" t="n"/>
      <c r="Z179" s="209" t="n"/>
      <c r="AA179" s="209" t="n"/>
    </row>
    <row r="180" ht="15.75" customHeight="1" s="230">
      <c r="A180" s="211" t="n"/>
      <c r="B180" s="211" t="n"/>
      <c r="C180" s="211" t="n"/>
      <c r="D180" s="211" t="n"/>
      <c r="E180" s="211" t="n"/>
      <c r="F180" s="213" t="n"/>
      <c r="G180" s="211" t="n"/>
      <c r="H180" s="211" t="n"/>
      <c r="I180" s="211" t="n"/>
      <c r="J180" s="209" t="n"/>
      <c r="K180" s="209" t="n"/>
      <c r="L180" s="209" t="n"/>
      <c r="M180" s="209" t="n"/>
      <c r="N180" s="209" t="n"/>
      <c r="O180" s="209" t="n"/>
      <c r="P180" s="209" t="n"/>
      <c r="Q180" s="209" t="n"/>
      <c r="R180" s="209" t="n"/>
      <c r="S180" s="209" t="n"/>
      <c r="T180" s="209" t="n"/>
      <c r="U180" s="209" t="n"/>
      <c r="V180" s="209" t="n"/>
      <c r="W180" s="209" t="n"/>
      <c r="X180" s="209" t="n"/>
      <c r="Y180" s="209" t="n"/>
      <c r="Z180" s="209" t="n"/>
      <c r="AA180" s="209" t="n"/>
    </row>
    <row r="181" ht="15.75" customHeight="1" s="230">
      <c r="A181" s="211" t="n"/>
      <c r="B181" s="211" t="n"/>
      <c r="C181" s="211" t="n"/>
      <c r="D181" s="211" t="n"/>
      <c r="E181" s="211" t="n"/>
      <c r="F181" s="213" t="n"/>
      <c r="G181" s="211" t="n"/>
      <c r="H181" s="211" t="n"/>
      <c r="I181" s="211" t="n"/>
      <c r="J181" s="209" t="n"/>
      <c r="K181" s="209" t="n"/>
      <c r="L181" s="209" t="n"/>
      <c r="M181" s="209" t="n"/>
      <c r="N181" s="209" t="n"/>
      <c r="O181" s="209" t="n"/>
      <c r="P181" s="209" t="n"/>
      <c r="Q181" s="209" t="n"/>
      <c r="R181" s="209" t="n"/>
      <c r="S181" s="209" t="n"/>
      <c r="T181" s="209" t="n"/>
      <c r="U181" s="209" t="n"/>
      <c r="V181" s="209" t="n"/>
      <c r="W181" s="209" t="n"/>
      <c r="X181" s="209" t="n"/>
      <c r="Y181" s="209" t="n"/>
      <c r="Z181" s="209" t="n"/>
      <c r="AA181" s="209" t="n"/>
    </row>
    <row r="182" ht="15.75" customHeight="1" s="230">
      <c r="A182" s="211" t="n"/>
      <c r="B182" s="211" t="n"/>
      <c r="C182" s="211" t="n"/>
      <c r="D182" s="211" t="n"/>
      <c r="E182" s="211" t="n"/>
      <c r="F182" s="213" t="n"/>
      <c r="G182" s="211" t="n"/>
      <c r="H182" s="211" t="n"/>
      <c r="I182" s="211" t="n"/>
      <c r="J182" s="209" t="n"/>
      <c r="K182" s="209" t="n"/>
      <c r="L182" s="209" t="n"/>
      <c r="M182" s="209" t="n"/>
      <c r="N182" s="209" t="n"/>
      <c r="O182" s="209" t="n"/>
      <c r="P182" s="209" t="n"/>
      <c r="Q182" s="209" t="n"/>
      <c r="R182" s="209" t="n"/>
      <c r="S182" s="209" t="n"/>
      <c r="T182" s="209" t="n"/>
      <c r="U182" s="209" t="n"/>
      <c r="V182" s="209" t="n"/>
      <c r="W182" s="209" t="n"/>
      <c r="X182" s="209" t="n"/>
      <c r="Y182" s="209" t="n"/>
      <c r="Z182" s="209" t="n"/>
      <c r="AA182" s="209" t="n"/>
    </row>
    <row r="183" ht="15.75" customHeight="1" s="230">
      <c r="A183" s="211" t="n"/>
      <c r="B183" s="211" t="n"/>
      <c r="C183" s="211" t="n"/>
      <c r="D183" s="211" t="n"/>
      <c r="E183" s="211" t="n"/>
      <c r="F183" s="213" t="n"/>
      <c r="G183" s="211" t="n"/>
      <c r="H183" s="211" t="n"/>
      <c r="I183" s="211" t="n"/>
      <c r="J183" s="209" t="n"/>
      <c r="K183" s="209" t="n"/>
      <c r="L183" s="209" t="n"/>
      <c r="M183" s="209" t="n"/>
      <c r="N183" s="209" t="n"/>
      <c r="O183" s="209" t="n"/>
      <c r="P183" s="209" t="n"/>
      <c r="Q183" s="209" t="n"/>
      <c r="R183" s="209" t="n"/>
      <c r="S183" s="209" t="n"/>
      <c r="T183" s="209" t="n"/>
      <c r="U183" s="209" t="n"/>
      <c r="V183" s="209" t="n"/>
      <c r="W183" s="209" t="n"/>
      <c r="X183" s="209" t="n"/>
      <c r="Y183" s="209" t="n"/>
      <c r="Z183" s="209" t="n"/>
      <c r="AA183" s="209" t="n"/>
    </row>
    <row r="184" ht="15.75" customHeight="1" s="230">
      <c r="A184" s="211" t="n"/>
      <c r="B184" s="211" t="n"/>
      <c r="C184" s="211" t="n"/>
      <c r="D184" s="211" t="n"/>
      <c r="E184" s="211" t="n"/>
      <c r="F184" s="213" t="n"/>
      <c r="G184" s="211" t="n"/>
      <c r="H184" s="211" t="n"/>
      <c r="I184" s="211" t="n"/>
      <c r="J184" s="209" t="n"/>
      <c r="K184" s="209" t="n"/>
      <c r="L184" s="209" t="n"/>
      <c r="M184" s="209" t="n"/>
      <c r="N184" s="209" t="n"/>
      <c r="O184" s="209" t="n"/>
      <c r="P184" s="209" t="n"/>
      <c r="Q184" s="209" t="n"/>
      <c r="R184" s="209" t="n"/>
      <c r="S184" s="209" t="n"/>
      <c r="T184" s="209" t="n"/>
      <c r="U184" s="209" t="n"/>
      <c r="V184" s="209" t="n"/>
      <c r="W184" s="209" t="n"/>
      <c r="X184" s="209" t="n"/>
      <c r="Y184" s="209" t="n"/>
      <c r="Z184" s="209" t="n"/>
      <c r="AA184" s="209" t="n"/>
    </row>
    <row r="185" ht="15.75" customHeight="1" s="230">
      <c r="A185" s="211" t="n"/>
      <c r="B185" s="211" t="n"/>
      <c r="C185" s="211" t="n"/>
      <c r="D185" s="211" t="n"/>
      <c r="E185" s="211" t="n"/>
      <c r="F185" s="213" t="n"/>
      <c r="G185" s="211" t="n"/>
      <c r="H185" s="211" t="n"/>
      <c r="I185" s="211" t="n"/>
      <c r="J185" s="209" t="n"/>
      <c r="K185" s="209" t="n"/>
      <c r="L185" s="209" t="n"/>
      <c r="M185" s="209" t="n"/>
      <c r="N185" s="209" t="n"/>
      <c r="O185" s="209" t="n"/>
      <c r="P185" s="209" t="n"/>
      <c r="Q185" s="209" t="n"/>
      <c r="R185" s="209" t="n"/>
      <c r="S185" s="209" t="n"/>
      <c r="T185" s="209" t="n"/>
      <c r="U185" s="209" t="n"/>
      <c r="V185" s="209" t="n"/>
      <c r="W185" s="209" t="n"/>
      <c r="X185" s="209" t="n"/>
      <c r="Y185" s="209" t="n"/>
      <c r="Z185" s="209" t="n"/>
      <c r="AA185" s="209" t="n"/>
    </row>
    <row r="186" ht="15.75" customHeight="1" s="230">
      <c r="A186" s="211" t="n"/>
      <c r="B186" s="211" t="n"/>
      <c r="C186" s="211" t="n"/>
      <c r="D186" s="211" t="n"/>
      <c r="E186" s="211" t="n"/>
      <c r="F186" s="213" t="n"/>
      <c r="G186" s="211" t="n"/>
      <c r="H186" s="211" t="n"/>
      <c r="I186" s="211" t="n"/>
      <c r="J186" s="209" t="n"/>
      <c r="K186" s="209" t="n"/>
      <c r="L186" s="209" t="n"/>
      <c r="M186" s="209" t="n"/>
      <c r="N186" s="209" t="n"/>
      <c r="O186" s="209" t="n"/>
      <c r="P186" s="209" t="n"/>
      <c r="Q186" s="209" t="n"/>
      <c r="R186" s="209" t="n"/>
      <c r="S186" s="209" t="n"/>
      <c r="T186" s="209" t="n"/>
      <c r="U186" s="209" t="n"/>
      <c r="V186" s="209" t="n"/>
      <c r="W186" s="209" t="n"/>
      <c r="X186" s="209" t="n"/>
      <c r="Y186" s="209" t="n"/>
      <c r="Z186" s="209" t="n"/>
      <c r="AA186" s="209" t="n"/>
    </row>
    <row r="187" ht="15.75" customHeight="1" s="230">
      <c r="A187" s="211" t="n"/>
      <c r="B187" s="211" t="n"/>
      <c r="C187" s="211" t="n"/>
      <c r="D187" s="211" t="n"/>
      <c r="E187" s="211" t="n"/>
      <c r="F187" s="213" t="n"/>
      <c r="G187" s="211" t="n"/>
      <c r="H187" s="211" t="n"/>
      <c r="I187" s="211" t="n"/>
      <c r="J187" s="209" t="n"/>
      <c r="K187" s="209" t="n"/>
      <c r="L187" s="209" t="n"/>
      <c r="M187" s="209" t="n"/>
      <c r="N187" s="209" t="n"/>
      <c r="O187" s="209" t="n"/>
      <c r="P187" s="209" t="n"/>
      <c r="Q187" s="209" t="n"/>
      <c r="R187" s="209" t="n"/>
      <c r="S187" s="209" t="n"/>
      <c r="T187" s="209" t="n"/>
      <c r="U187" s="209" t="n"/>
      <c r="V187" s="209" t="n"/>
      <c r="W187" s="209" t="n"/>
      <c r="X187" s="209" t="n"/>
      <c r="Y187" s="209" t="n"/>
      <c r="Z187" s="209" t="n"/>
      <c r="AA187" s="209" t="n"/>
    </row>
    <row r="188" ht="15.75" customHeight="1" s="230">
      <c r="A188" s="211" t="n"/>
      <c r="B188" s="211" t="n"/>
      <c r="C188" s="211" t="n"/>
      <c r="D188" s="211" t="n"/>
      <c r="E188" s="211" t="n"/>
      <c r="F188" s="213" t="n"/>
      <c r="G188" s="211" t="n"/>
      <c r="H188" s="211" t="n"/>
      <c r="I188" s="211" t="n"/>
      <c r="J188" s="209" t="n"/>
      <c r="K188" s="209" t="n"/>
      <c r="L188" s="209" t="n"/>
      <c r="M188" s="209" t="n"/>
      <c r="N188" s="209" t="n"/>
      <c r="O188" s="209" t="n"/>
      <c r="P188" s="209" t="n"/>
      <c r="Q188" s="209" t="n"/>
      <c r="R188" s="209" t="n"/>
      <c r="S188" s="209" t="n"/>
      <c r="T188" s="209" t="n"/>
      <c r="U188" s="209" t="n"/>
      <c r="V188" s="209" t="n"/>
      <c r="W188" s="209" t="n"/>
      <c r="X188" s="209" t="n"/>
      <c r="Y188" s="209" t="n"/>
      <c r="Z188" s="209" t="n"/>
      <c r="AA188" s="209" t="n"/>
    </row>
    <row r="189" ht="15.75" customHeight="1" s="230">
      <c r="A189" s="211" t="n"/>
      <c r="B189" s="211" t="n"/>
      <c r="C189" s="211" t="n"/>
      <c r="D189" s="211" t="n"/>
      <c r="E189" s="211" t="n"/>
      <c r="F189" s="213" t="n"/>
      <c r="G189" s="211" t="n"/>
      <c r="H189" s="211" t="n"/>
      <c r="I189" s="211" t="n"/>
      <c r="J189" s="209" t="n"/>
      <c r="K189" s="209" t="n"/>
      <c r="L189" s="209" t="n"/>
      <c r="M189" s="209" t="n"/>
      <c r="N189" s="209" t="n"/>
      <c r="O189" s="209" t="n"/>
      <c r="P189" s="209" t="n"/>
      <c r="Q189" s="209" t="n"/>
      <c r="R189" s="209" t="n"/>
      <c r="S189" s="209" t="n"/>
      <c r="T189" s="209" t="n"/>
      <c r="U189" s="209" t="n"/>
      <c r="V189" s="209" t="n"/>
      <c r="W189" s="209" t="n"/>
      <c r="X189" s="209" t="n"/>
      <c r="Y189" s="209" t="n"/>
      <c r="Z189" s="209" t="n"/>
      <c r="AA189" s="209" t="n"/>
    </row>
    <row r="190" ht="15.75" customHeight="1" s="230">
      <c r="A190" s="211" t="n"/>
      <c r="B190" s="211" t="n"/>
      <c r="C190" s="211" t="n"/>
      <c r="D190" s="211" t="n"/>
      <c r="E190" s="211" t="n"/>
      <c r="F190" s="213" t="n"/>
      <c r="G190" s="211" t="n"/>
      <c r="H190" s="211" t="n"/>
      <c r="I190" s="211" t="n"/>
      <c r="J190" s="209" t="n"/>
      <c r="K190" s="209" t="n"/>
      <c r="L190" s="209" t="n"/>
      <c r="M190" s="209" t="n"/>
      <c r="N190" s="209" t="n"/>
      <c r="O190" s="209" t="n"/>
      <c r="P190" s="209" t="n"/>
      <c r="Q190" s="209" t="n"/>
      <c r="R190" s="209" t="n"/>
      <c r="S190" s="209" t="n"/>
      <c r="T190" s="209" t="n"/>
      <c r="U190" s="209" t="n"/>
      <c r="V190" s="209" t="n"/>
      <c r="W190" s="209" t="n"/>
      <c r="X190" s="209" t="n"/>
      <c r="Y190" s="209" t="n"/>
      <c r="Z190" s="209" t="n"/>
      <c r="AA190" s="209" t="n"/>
    </row>
    <row r="191" ht="15.75" customHeight="1" s="230">
      <c r="A191" s="211" t="n"/>
      <c r="B191" s="211" t="n"/>
      <c r="C191" s="211" t="n"/>
      <c r="D191" s="211" t="n"/>
      <c r="E191" s="211" t="n"/>
      <c r="F191" s="213" t="n"/>
      <c r="G191" s="211" t="n"/>
      <c r="H191" s="211" t="n"/>
      <c r="I191" s="211" t="n"/>
      <c r="J191" s="209" t="n"/>
      <c r="K191" s="209" t="n"/>
      <c r="L191" s="209" t="n"/>
      <c r="M191" s="209" t="n"/>
      <c r="N191" s="209" t="n"/>
      <c r="O191" s="209" t="n"/>
      <c r="P191" s="209" t="n"/>
      <c r="Q191" s="209" t="n"/>
      <c r="R191" s="209" t="n"/>
      <c r="S191" s="209" t="n"/>
      <c r="T191" s="209" t="n"/>
      <c r="U191" s="209" t="n"/>
      <c r="V191" s="209" t="n"/>
      <c r="W191" s="209" t="n"/>
      <c r="X191" s="209" t="n"/>
      <c r="Y191" s="209" t="n"/>
      <c r="Z191" s="209" t="n"/>
      <c r="AA191" s="209" t="n"/>
    </row>
    <row r="192" ht="15.75" customHeight="1" s="230">
      <c r="A192" s="211" t="n"/>
      <c r="B192" s="211" t="n"/>
      <c r="C192" s="211" t="n"/>
      <c r="D192" s="211" t="n"/>
      <c r="E192" s="211" t="n"/>
      <c r="F192" s="213" t="n"/>
      <c r="G192" s="211" t="n"/>
      <c r="H192" s="211" t="n"/>
      <c r="I192" s="211" t="n"/>
      <c r="J192" s="209" t="n"/>
      <c r="K192" s="209" t="n"/>
      <c r="L192" s="209" t="n"/>
      <c r="M192" s="209" t="n"/>
      <c r="N192" s="209" t="n"/>
      <c r="O192" s="209" t="n"/>
      <c r="P192" s="209" t="n"/>
      <c r="Q192" s="209" t="n"/>
      <c r="R192" s="209" t="n"/>
      <c r="S192" s="209" t="n"/>
      <c r="T192" s="209" t="n"/>
      <c r="U192" s="209" t="n"/>
      <c r="V192" s="209" t="n"/>
      <c r="W192" s="209" t="n"/>
      <c r="X192" s="209" t="n"/>
      <c r="Y192" s="209" t="n"/>
      <c r="Z192" s="209" t="n"/>
      <c r="AA192" s="209" t="n"/>
    </row>
    <row r="193" ht="15.75" customHeight="1" s="230">
      <c r="A193" s="211" t="n"/>
      <c r="B193" s="211" t="n"/>
      <c r="C193" s="211" t="n"/>
      <c r="D193" s="211" t="n"/>
      <c r="E193" s="211" t="n"/>
      <c r="F193" s="213" t="n"/>
      <c r="G193" s="211" t="n"/>
      <c r="H193" s="211" t="n"/>
      <c r="I193" s="211" t="n"/>
      <c r="J193" s="209" t="n"/>
      <c r="K193" s="209" t="n"/>
      <c r="L193" s="209" t="n"/>
      <c r="M193" s="209" t="n"/>
      <c r="N193" s="209" t="n"/>
      <c r="O193" s="209" t="n"/>
      <c r="P193" s="209" t="n"/>
      <c r="Q193" s="209" t="n"/>
      <c r="R193" s="209" t="n"/>
      <c r="S193" s="209" t="n"/>
      <c r="T193" s="209" t="n"/>
      <c r="U193" s="209" t="n"/>
      <c r="V193" s="209" t="n"/>
      <c r="W193" s="209" t="n"/>
      <c r="X193" s="209" t="n"/>
      <c r="Y193" s="209" t="n"/>
      <c r="Z193" s="209" t="n"/>
      <c r="AA193" s="209" t="n"/>
    </row>
    <row r="194" ht="15.75" customHeight="1" s="230">
      <c r="A194" s="211" t="n"/>
      <c r="B194" s="211" t="n"/>
      <c r="C194" s="211" t="n"/>
      <c r="D194" s="211" t="n"/>
      <c r="E194" s="211" t="n"/>
      <c r="F194" s="213" t="n"/>
      <c r="G194" s="211" t="n"/>
      <c r="H194" s="211" t="n"/>
      <c r="I194" s="211" t="n"/>
      <c r="J194" s="209" t="n"/>
      <c r="K194" s="209" t="n"/>
      <c r="L194" s="209" t="n"/>
      <c r="M194" s="209" t="n"/>
      <c r="N194" s="209" t="n"/>
      <c r="O194" s="209" t="n"/>
      <c r="P194" s="209" t="n"/>
      <c r="Q194" s="209" t="n"/>
      <c r="R194" s="209" t="n"/>
      <c r="S194" s="209" t="n"/>
      <c r="T194" s="209" t="n"/>
      <c r="U194" s="209" t="n"/>
      <c r="V194" s="209" t="n"/>
      <c r="W194" s="209" t="n"/>
      <c r="X194" s="209" t="n"/>
      <c r="Y194" s="209" t="n"/>
      <c r="Z194" s="209" t="n"/>
      <c r="AA194" s="209" t="n"/>
    </row>
    <row r="195" ht="15.75" customHeight="1" s="230">
      <c r="A195" s="211" t="n"/>
      <c r="B195" s="211" t="n"/>
      <c r="C195" s="211" t="n"/>
      <c r="D195" s="211" t="n"/>
      <c r="E195" s="211" t="n"/>
      <c r="F195" s="213" t="n"/>
      <c r="G195" s="211" t="n"/>
      <c r="H195" s="211" t="n"/>
      <c r="I195" s="211" t="n"/>
      <c r="J195" s="209" t="n"/>
      <c r="K195" s="209" t="n"/>
      <c r="L195" s="209" t="n"/>
      <c r="M195" s="209" t="n"/>
      <c r="N195" s="209" t="n"/>
      <c r="O195" s="209" t="n"/>
      <c r="P195" s="209" t="n"/>
      <c r="Q195" s="209" t="n"/>
      <c r="R195" s="209" t="n"/>
      <c r="S195" s="209" t="n"/>
      <c r="T195" s="209" t="n"/>
      <c r="U195" s="209" t="n"/>
      <c r="V195" s="209" t="n"/>
      <c r="W195" s="209" t="n"/>
      <c r="X195" s="209" t="n"/>
      <c r="Y195" s="209" t="n"/>
      <c r="Z195" s="209" t="n"/>
      <c r="AA195" s="209" t="n"/>
    </row>
    <row r="196" ht="15.75" customHeight="1" s="230">
      <c r="A196" s="211" t="n"/>
      <c r="B196" s="211" t="n"/>
      <c r="C196" s="211" t="n"/>
      <c r="D196" s="211" t="n"/>
      <c r="E196" s="211" t="n"/>
      <c r="F196" s="213" t="n"/>
      <c r="G196" s="211" t="n"/>
      <c r="H196" s="211" t="n"/>
      <c r="I196" s="211" t="n"/>
      <c r="J196" s="209" t="n"/>
      <c r="K196" s="209" t="n"/>
      <c r="L196" s="209" t="n"/>
      <c r="M196" s="209" t="n"/>
      <c r="N196" s="209" t="n"/>
      <c r="O196" s="209" t="n"/>
      <c r="P196" s="209" t="n"/>
      <c r="Q196" s="209" t="n"/>
      <c r="R196" s="209" t="n"/>
      <c r="S196" s="209" t="n"/>
      <c r="T196" s="209" t="n"/>
      <c r="U196" s="209" t="n"/>
      <c r="V196" s="209" t="n"/>
      <c r="W196" s="209" t="n"/>
      <c r="X196" s="209" t="n"/>
      <c r="Y196" s="209" t="n"/>
      <c r="Z196" s="209" t="n"/>
      <c r="AA196" s="209" t="n"/>
    </row>
    <row r="197" ht="15.75" customHeight="1" s="230">
      <c r="A197" s="211" t="n"/>
      <c r="B197" s="211" t="n"/>
      <c r="C197" s="211" t="n"/>
      <c r="D197" s="211" t="n"/>
      <c r="E197" s="211" t="n"/>
      <c r="F197" s="213" t="n"/>
      <c r="G197" s="211" t="n"/>
      <c r="H197" s="211" t="n"/>
      <c r="I197" s="211" t="n"/>
      <c r="J197" s="209" t="n"/>
      <c r="K197" s="209" t="n"/>
      <c r="L197" s="209" t="n"/>
      <c r="M197" s="209" t="n"/>
      <c r="N197" s="209" t="n"/>
      <c r="O197" s="209" t="n"/>
      <c r="P197" s="209" t="n"/>
      <c r="Q197" s="209" t="n"/>
      <c r="R197" s="209" t="n"/>
      <c r="S197" s="209" t="n"/>
      <c r="T197" s="209" t="n"/>
      <c r="U197" s="209" t="n"/>
      <c r="V197" s="209" t="n"/>
      <c r="W197" s="209" t="n"/>
      <c r="X197" s="209" t="n"/>
      <c r="Y197" s="209" t="n"/>
      <c r="Z197" s="209" t="n"/>
      <c r="AA197" s="209" t="n"/>
    </row>
    <row r="198" ht="15.75" customHeight="1" s="230">
      <c r="A198" s="211" t="n"/>
      <c r="B198" s="211" t="n"/>
      <c r="C198" s="211" t="n"/>
      <c r="D198" s="211" t="n"/>
      <c r="E198" s="211" t="n"/>
      <c r="F198" s="213" t="n"/>
      <c r="G198" s="211" t="n"/>
      <c r="H198" s="211" t="n"/>
      <c r="I198" s="211" t="n"/>
      <c r="J198" s="209" t="n"/>
      <c r="K198" s="209" t="n"/>
      <c r="L198" s="209" t="n"/>
      <c r="M198" s="209" t="n"/>
      <c r="N198" s="209" t="n"/>
      <c r="O198" s="209" t="n"/>
      <c r="P198" s="209" t="n"/>
      <c r="Q198" s="209" t="n"/>
      <c r="R198" s="209" t="n"/>
      <c r="S198" s="209" t="n"/>
      <c r="T198" s="209" t="n"/>
      <c r="U198" s="209" t="n"/>
      <c r="V198" s="209" t="n"/>
      <c r="W198" s="209" t="n"/>
      <c r="X198" s="209" t="n"/>
      <c r="Y198" s="209" t="n"/>
      <c r="Z198" s="209" t="n"/>
      <c r="AA198" s="209" t="n"/>
    </row>
    <row r="199" ht="15.75" customHeight="1" s="230">
      <c r="A199" s="211" t="n"/>
      <c r="B199" s="211" t="n"/>
      <c r="C199" s="211" t="n"/>
      <c r="D199" s="211" t="n"/>
      <c r="E199" s="211" t="n"/>
      <c r="F199" s="213" t="n"/>
      <c r="G199" s="211" t="n"/>
      <c r="H199" s="211" t="n"/>
      <c r="I199" s="211" t="n"/>
      <c r="J199" s="209" t="n"/>
      <c r="K199" s="209" t="n"/>
      <c r="L199" s="209" t="n"/>
      <c r="M199" s="209" t="n"/>
      <c r="N199" s="209" t="n"/>
      <c r="O199" s="209" t="n"/>
      <c r="P199" s="209" t="n"/>
      <c r="Q199" s="209" t="n"/>
      <c r="R199" s="209" t="n"/>
      <c r="S199" s="209" t="n"/>
      <c r="T199" s="209" t="n"/>
      <c r="U199" s="209" t="n"/>
      <c r="V199" s="209" t="n"/>
      <c r="W199" s="209" t="n"/>
      <c r="X199" s="209" t="n"/>
      <c r="Y199" s="209" t="n"/>
      <c r="Z199" s="209" t="n"/>
      <c r="AA199" s="209" t="n"/>
    </row>
    <row r="200" ht="15.75" customHeight="1" s="230">
      <c r="A200" s="211" t="n"/>
      <c r="B200" s="211" t="n"/>
      <c r="C200" s="211" t="n"/>
      <c r="D200" s="211" t="n"/>
      <c r="E200" s="211" t="n"/>
      <c r="F200" s="213" t="n"/>
      <c r="G200" s="211" t="n"/>
      <c r="H200" s="211" t="n"/>
      <c r="I200" s="211" t="n"/>
      <c r="J200" s="209" t="n"/>
      <c r="K200" s="209" t="n"/>
      <c r="L200" s="209" t="n"/>
      <c r="M200" s="209" t="n"/>
      <c r="N200" s="209" t="n"/>
      <c r="O200" s="209" t="n"/>
      <c r="P200" s="209" t="n"/>
      <c r="Q200" s="209" t="n"/>
      <c r="R200" s="209" t="n"/>
      <c r="S200" s="209" t="n"/>
      <c r="T200" s="209" t="n"/>
      <c r="U200" s="209" t="n"/>
      <c r="V200" s="209" t="n"/>
      <c r="W200" s="209" t="n"/>
      <c r="X200" s="209" t="n"/>
      <c r="Y200" s="209" t="n"/>
      <c r="Z200" s="209" t="n"/>
      <c r="AA200" s="209" t="n"/>
    </row>
    <row r="201" ht="15.75" customHeight="1" s="230">
      <c r="A201" s="211" t="n"/>
      <c r="B201" s="211" t="n"/>
      <c r="C201" s="211" t="n"/>
      <c r="D201" s="211" t="n"/>
      <c r="E201" s="211" t="n"/>
      <c r="F201" s="213" t="n"/>
      <c r="G201" s="211" t="n"/>
      <c r="H201" s="211" t="n"/>
      <c r="I201" s="211" t="n"/>
      <c r="J201" s="209" t="n"/>
      <c r="K201" s="209" t="n"/>
      <c r="L201" s="209" t="n"/>
      <c r="M201" s="209" t="n"/>
      <c r="N201" s="209" t="n"/>
      <c r="O201" s="209" t="n"/>
      <c r="P201" s="209" t="n"/>
      <c r="Q201" s="209" t="n"/>
      <c r="R201" s="209" t="n"/>
      <c r="S201" s="209" t="n"/>
      <c r="T201" s="209" t="n"/>
      <c r="U201" s="209" t="n"/>
      <c r="V201" s="209" t="n"/>
      <c r="W201" s="209" t="n"/>
      <c r="X201" s="209" t="n"/>
      <c r="Y201" s="209" t="n"/>
      <c r="Z201" s="209" t="n"/>
      <c r="AA201" s="209" t="n"/>
    </row>
    <row r="202" ht="15.75" customHeight="1" s="230">
      <c r="A202" s="211" t="n"/>
      <c r="B202" s="211" t="n"/>
      <c r="C202" s="211" t="n"/>
      <c r="D202" s="211" t="n"/>
      <c r="E202" s="211" t="n"/>
      <c r="F202" s="213" t="n"/>
      <c r="G202" s="211" t="n"/>
      <c r="H202" s="211" t="n"/>
      <c r="I202" s="211" t="n"/>
      <c r="J202" s="209" t="n"/>
      <c r="K202" s="209" t="n"/>
      <c r="L202" s="209" t="n"/>
      <c r="M202" s="209" t="n"/>
      <c r="N202" s="209" t="n"/>
      <c r="O202" s="209" t="n"/>
      <c r="P202" s="209" t="n"/>
      <c r="Q202" s="209" t="n"/>
      <c r="R202" s="209" t="n"/>
      <c r="S202" s="209" t="n"/>
      <c r="T202" s="209" t="n"/>
      <c r="U202" s="209" t="n"/>
      <c r="V202" s="209" t="n"/>
      <c r="W202" s="209" t="n"/>
      <c r="X202" s="209" t="n"/>
      <c r="Y202" s="209" t="n"/>
      <c r="Z202" s="209" t="n"/>
      <c r="AA202" s="209" t="n"/>
    </row>
    <row r="203" ht="15.75" customHeight="1" s="230">
      <c r="A203" s="211" t="n"/>
      <c r="B203" s="211" t="n"/>
      <c r="C203" s="211" t="n"/>
      <c r="D203" s="211" t="n"/>
      <c r="E203" s="211" t="n"/>
      <c r="F203" s="213" t="n"/>
      <c r="G203" s="211" t="n"/>
      <c r="H203" s="211" t="n"/>
      <c r="I203" s="211" t="n"/>
      <c r="J203" s="209" t="n"/>
      <c r="K203" s="209" t="n"/>
      <c r="L203" s="209" t="n"/>
      <c r="M203" s="209" t="n"/>
      <c r="N203" s="209" t="n"/>
      <c r="O203" s="209" t="n"/>
      <c r="P203" s="209" t="n"/>
      <c r="Q203" s="209" t="n"/>
      <c r="R203" s="209" t="n"/>
      <c r="S203" s="209" t="n"/>
      <c r="T203" s="209" t="n"/>
      <c r="U203" s="209" t="n"/>
      <c r="V203" s="209" t="n"/>
      <c r="W203" s="209" t="n"/>
      <c r="X203" s="209" t="n"/>
      <c r="Y203" s="209" t="n"/>
      <c r="Z203" s="209" t="n"/>
      <c r="AA203" s="209" t="n"/>
    </row>
    <row r="204" ht="15.75" customHeight="1" s="230">
      <c r="A204" s="211" t="n"/>
      <c r="B204" s="211" t="n"/>
      <c r="C204" s="211" t="n"/>
      <c r="D204" s="211" t="n"/>
      <c r="E204" s="211" t="n"/>
      <c r="F204" s="213" t="n"/>
      <c r="G204" s="211" t="n"/>
      <c r="H204" s="211" t="n"/>
      <c r="I204" s="211" t="n"/>
      <c r="J204" s="209" t="n"/>
      <c r="K204" s="209" t="n"/>
      <c r="L204" s="209" t="n"/>
      <c r="M204" s="209" t="n"/>
      <c r="N204" s="209" t="n"/>
      <c r="O204" s="209" t="n"/>
      <c r="P204" s="209" t="n"/>
      <c r="Q204" s="209" t="n"/>
      <c r="R204" s="209" t="n"/>
      <c r="S204" s="209" t="n"/>
      <c r="T204" s="209" t="n"/>
      <c r="U204" s="209" t="n"/>
      <c r="V204" s="209" t="n"/>
      <c r="W204" s="209" t="n"/>
      <c r="X204" s="209" t="n"/>
      <c r="Y204" s="209" t="n"/>
      <c r="Z204" s="209" t="n"/>
      <c r="AA204" s="209" t="n"/>
    </row>
    <row r="205" ht="15.75" customHeight="1" s="230">
      <c r="A205" s="211" t="n"/>
      <c r="B205" s="211" t="n"/>
      <c r="C205" s="211" t="n"/>
      <c r="D205" s="211" t="n"/>
      <c r="E205" s="211" t="n"/>
      <c r="F205" s="213" t="n"/>
      <c r="G205" s="211" t="n"/>
      <c r="H205" s="211" t="n"/>
      <c r="I205" s="211" t="n"/>
      <c r="J205" s="209" t="n"/>
      <c r="K205" s="209" t="n"/>
      <c r="L205" s="209" t="n"/>
      <c r="M205" s="209" t="n"/>
      <c r="N205" s="209" t="n"/>
      <c r="O205" s="209" t="n"/>
      <c r="P205" s="209" t="n"/>
      <c r="Q205" s="209" t="n"/>
      <c r="R205" s="209" t="n"/>
      <c r="S205" s="209" t="n"/>
      <c r="T205" s="209" t="n"/>
      <c r="U205" s="209" t="n"/>
      <c r="V205" s="209" t="n"/>
      <c r="W205" s="209" t="n"/>
      <c r="X205" s="209" t="n"/>
      <c r="Y205" s="209" t="n"/>
      <c r="Z205" s="209" t="n"/>
      <c r="AA205" s="209" t="n"/>
    </row>
    <row r="206" ht="15.75" customHeight="1" s="230">
      <c r="A206" s="211" t="n"/>
      <c r="B206" s="211" t="n"/>
      <c r="C206" s="211" t="n"/>
      <c r="D206" s="211" t="n"/>
      <c r="E206" s="211" t="n"/>
      <c r="F206" s="213" t="n"/>
      <c r="G206" s="211" t="n"/>
      <c r="H206" s="211" t="n"/>
      <c r="I206" s="211" t="n"/>
      <c r="J206" s="209" t="n"/>
      <c r="K206" s="209" t="n"/>
      <c r="L206" s="209" t="n"/>
      <c r="M206" s="209" t="n"/>
      <c r="N206" s="209" t="n"/>
      <c r="O206" s="209" t="n"/>
      <c r="P206" s="209" t="n"/>
      <c r="Q206" s="209" t="n"/>
      <c r="R206" s="209" t="n"/>
      <c r="S206" s="209" t="n"/>
      <c r="T206" s="209" t="n"/>
      <c r="U206" s="209" t="n"/>
      <c r="V206" s="209" t="n"/>
      <c r="W206" s="209" t="n"/>
      <c r="X206" s="209" t="n"/>
      <c r="Y206" s="209" t="n"/>
      <c r="Z206" s="209" t="n"/>
      <c r="AA206" s="209" t="n"/>
    </row>
    <row r="207" ht="15.75" customHeight="1" s="230">
      <c r="A207" s="211" t="n"/>
      <c r="B207" s="211" t="n"/>
      <c r="C207" s="211" t="n"/>
      <c r="D207" s="211" t="n"/>
      <c r="E207" s="211" t="n"/>
      <c r="F207" s="213" t="n"/>
      <c r="G207" s="211" t="n"/>
      <c r="H207" s="211" t="n"/>
      <c r="I207" s="211" t="n"/>
      <c r="J207" s="209" t="n"/>
      <c r="K207" s="209" t="n"/>
      <c r="L207" s="209" t="n"/>
      <c r="M207" s="209" t="n"/>
      <c r="N207" s="209" t="n"/>
      <c r="O207" s="209" t="n"/>
      <c r="P207" s="209" t="n"/>
      <c r="Q207" s="209" t="n"/>
      <c r="R207" s="209" t="n"/>
      <c r="S207" s="209" t="n"/>
      <c r="T207" s="209" t="n"/>
      <c r="U207" s="209" t="n"/>
      <c r="V207" s="209" t="n"/>
      <c r="W207" s="209" t="n"/>
      <c r="X207" s="209" t="n"/>
      <c r="Y207" s="209" t="n"/>
      <c r="Z207" s="209" t="n"/>
      <c r="AA207" s="209" t="n"/>
    </row>
    <row r="208" ht="15.75" customHeight="1" s="230">
      <c r="A208" s="211" t="n"/>
      <c r="B208" s="211" t="n"/>
      <c r="C208" s="211" t="n"/>
      <c r="D208" s="211" t="n"/>
      <c r="E208" s="211" t="n"/>
      <c r="F208" s="213" t="n"/>
      <c r="G208" s="211" t="n"/>
      <c r="H208" s="211" t="n"/>
      <c r="I208" s="211" t="n"/>
      <c r="J208" s="209" t="n"/>
      <c r="K208" s="209" t="n"/>
      <c r="L208" s="209" t="n"/>
      <c r="M208" s="209" t="n"/>
      <c r="N208" s="209" t="n"/>
      <c r="O208" s="209" t="n"/>
      <c r="P208" s="209" t="n"/>
      <c r="Q208" s="209" t="n"/>
      <c r="R208" s="209" t="n"/>
      <c r="S208" s="209" t="n"/>
      <c r="T208" s="209" t="n"/>
      <c r="U208" s="209" t="n"/>
      <c r="V208" s="209" t="n"/>
      <c r="W208" s="209" t="n"/>
      <c r="X208" s="209" t="n"/>
      <c r="Y208" s="209" t="n"/>
      <c r="Z208" s="209" t="n"/>
      <c r="AA208" s="209" t="n"/>
    </row>
    <row r="209" ht="15.75" customHeight="1" s="230">
      <c r="A209" s="211" t="n"/>
      <c r="B209" s="211" t="n"/>
      <c r="C209" s="211" t="n"/>
      <c r="D209" s="211" t="n"/>
      <c r="E209" s="211" t="n"/>
      <c r="F209" s="213" t="n"/>
      <c r="G209" s="211" t="n"/>
      <c r="H209" s="211" t="n"/>
      <c r="I209" s="211" t="n"/>
      <c r="J209" s="209" t="n"/>
      <c r="K209" s="209" t="n"/>
      <c r="L209" s="209" t="n"/>
      <c r="M209" s="209" t="n"/>
      <c r="N209" s="209" t="n"/>
      <c r="O209" s="209" t="n"/>
      <c r="P209" s="209" t="n"/>
      <c r="Q209" s="209" t="n"/>
      <c r="R209" s="209" t="n"/>
      <c r="S209" s="209" t="n"/>
      <c r="T209" s="209" t="n"/>
      <c r="U209" s="209" t="n"/>
      <c r="V209" s="209" t="n"/>
      <c r="W209" s="209" t="n"/>
      <c r="X209" s="209" t="n"/>
      <c r="Y209" s="209" t="n"/>
      <c r="Z209" s="209" t="n"/>
      <c r="AA209" s="209" t="n"/>
    </row>
    <row r="210" ht="15.75" customHeight="1" s="230">
      <c r="A210" s="211" t="n"/>
      <c r="B210" s="211" t="n"/>
      <c r="C210" s="211" t="n"/>
      <c r="D210" s="211" t="n"/>
      <c r="E210" s="211" t="n"/>
      <c r="F210" s="213" t="n"/>
      <c r="G210" s="211" t="n"/>
      <c r="H210" s="211" t="n"/>
      <c r="I210" s="211" t="n"/>
      <c r="J210" s="209" t="n"/>
      <c r="K210" s="209" t="n"/>
      <c r="L210" s="209" t="n"/>
      <c r="M210" s="209" t="n"/>
      <c r="N210" s="209" t="n"/>
      <c r="O210" s="209" t="n"/>
      <c r="P210" s="209" t="n"/>
      <c r="Q210" s="209" t="n"/>
      <c r="R210" s="209" t="n"/>
      <c r="S210" s="209" t="n"/>
      <c r="T210" s="209" t="n"/>
      <c r="U210" s="209" t="n"/>
      <c r="V210" s="209" t="n"/>
      <c r="W210" s="209" t="n"/>
      <c r="X210" s="209" t="n"/>
      <c r="Y210" s="209" t="n"/>
      <c r="Z210" s="209" t="n"/>
      <c r="AA210" s="209" t="n"/>
    </row>
    <row r="211" ht="15.75" customHeight="1" s="230">
      <c r="A211" s="211" t="n"/>
      <c r="B211" s="211" t="n"/>
      <c r="C211" s="211" t="n"/>
      <c r="D211" s="211" t="n"/>
      <c r="E211" s="211" t="n"/>
      <c r="F211" s="213" t="n"/>
      <c r="G211" s="211" t="n"/>
      <c r="H211" s="211" t="n"/>
      <c r="I211" s="211" t="n"/>
      <c r="J211" s="209" t="n"/>
      <c r="K211" s="209" t="n"/>
      <c r="L211" s="209" t="n"/>
      <c r="M211" s="209" t="n"/>
      <c r="N211" s="209" t="n"/>
      <c r="O211" s="209" t="n"/>
      <c r="P211" s="209" t="n"/>
      <c r="Q211" s="209" t="n"/>
      <c r="R211" s="209" t="n"/>
      <c r="S211" s="209" t="n"/>
      <c r="T211" s="209" t="n"/>
      <c r="U211" s="209" t="n"/>
      <c r="V211" s="209" t="n"/>
      <c r="W211" s="209" t="n"/>
      <c r="X211" s="209" t="n"/>
      <c r="Y211" s="209" t="n"/>
      <c r="Z211" s="209" t="n"/>
      <c r="AA211" s="209" t="n"/>
    </row>
    <row r="212" ht="15.75" customHeight="1" s="230">
      <c r="A212" s="211" t="n"/>
      <c r="B212" s="211" t="n"/>
      <c r="C212" s="211" t="n"/>
      <c r="D212" s="211" t="n"/>
      <c r="E212" s="211" t="n"/>
      <c r="F212" s="213" t="n"/>
      <c r="G212" s="211" t="n"/>
      <c r="H212" s="211" t="n"/>
      <c r="I212" s="211" t="n"/>
      <c r="J212" s="209" t="n"/>
      <c r="K212" s="209" t="n"/>
      <c r="L212" s="209" t="n"/>
      <c r="M212" s="209" t="n"/>
      <c r="N212" s="209" t="n"/>
      <c r="O212" s="209" t="n"/>
      <c r="P212" s="209" t="n"/>
      <c r="Q212" s="209" t="n"/>
      <c r="R212" s="209" t="n"/>
      <c r="S212" s="209" t="n"/>
      <c r="T212" s="209" t="n"/>
      <c r="U212" s="209" t="n"/>
      <c r="V212" s="209" t="n"/>
      <c r="W212" s="209" t="n"/>
      <c r="X212" s="209" t="n"/>
      <c r="Y212" s="209" t="n"/>
      <c r="Z212" s="209" t="n"/>
      <c r="AA212" s="209" t="n"/>
    </row>
    <row r="213" ht="15.75" customHeight="1" s="230">
      <c r="A213" s="211" t="n"/>
      <c r="B213" s="211" t="n"/>
      <c r="C213" s="211" t="n"/>
      <c r="D213" s="211" t="n"/>
      <c r="E213" s="211" t="n"/>
      <c r="F213" s="213" t="n"/>
      <c r="G213" s="211" t="n"/>
      <c r="H213" s="211" t="n"/>
      <c r="I213" s="211" t="n"/>
      <c r="J213" s="209" t="n"/>
      <c r="K213" s="209" t="n"/>
      <c r="L213" s="209" t="n"/>
      <c r="M213" s="209" t="n"/>
      <c r="N213" s="209" t="n"/>
      <c r="O213" s="209" t="n"/>
      <c r="P213" s="209" t="n"/>
      <c r="Q213" s="209" t="n"/>
      <c r="R213" s="209" t="n"/>
      <c r="S213" s="209" t="n"/>
      <c r="T213" s="209" t="n"/>
      <c r="U213" s="209" t="n"/>
      <c r="V213" s="209" t="n"/>
      <c r="W213" s="209" t="n"/>
      <c r="X213" s="209" t="n"/>
      <c r="Y213" s="209" t="n"/>
      <c r="Z213" s="209" t="n"/>
      <c r="AA213" s="209" t="n"/>
    </row>
    <row r="214" ht="15.75" customHeight="1" s="230">
      <c r="A214" s="211" t="n"/>
      <c r="B214" s="211" t="n"/>
      <c r="C214" s="211" t="n"/>
      <c r="D214" s="211" t="n"/>
      <c r="E214" s="211" t="n"/>
      <c r="F214" s="213" t="n"/>
      <c r="G214" s="211" t="n"/>
      <c r="H214" s="211" t="n"/>
      <c r="I214" s="211" t="n"/>
      <c r="J214" s="209" t="n"/>
      <c r="K214" s="209" t="n"/>
      <c r="L214" s="209" t="n"/>
      <c r="M214" s="209" t="n"/>
      <c r="N214" s="209" t="n"/>
      <c r="O214" s="209" t="n"/>
      <c r="P214" s="209" t="n"/>
      <c r="Q214" s="209" t="n"/>
      <c r="R214" s="209" t="n"/>
      <c r="S214" s="209" t="n"/>
      <c r="T214" s="209" t="n"/>
      <c r="U214" s="209" t="n"/>
      <c r="V214" s="209" t="n"/>
      <c r="W214" s="209" t="n"/>
      <c r="X214" s="209" t="n"/>
      <c r="Y214" s="209" t="n"/>
      <c r="Z214" s="209" t="n"/>
      <c r="AA214" s="209" t="n"/>
    </row>
    <row r="215" ht="15.75" customHeight="1" s="230">
      <c r="A215" s="211" t="n"/>
      <c r="B215" s="211" t="n"/>
      <c r="C215" s="211" t="n"/>
      <c r="D215" s="211" t="n"/>
      <c r="E215" s="211" t="n"/>
      <c r="F215" s="213" t="n"/>
      <c r="G215" s="211" t="n"/>
      <c r="H215" s="211" t="n"/>
      <c r="I215" s="211" t="n"/>
      <c r="J215" s="209" t="n"/>
      <c r="K215" s="209" t="n"/>
      <c r="L215" s="209" t="n"/>
      <c r="M215" s="209" t="n"/>
      <c r="N215" s="209" t="n"/>
      <c r="O215" s="209" t="n"/>
      <c r="P215" s="209" t="n"/>
      <c r="Q215" s="209" t="n"/>
      <c r="R215" s="209" t="n"/>
      <c r="S215" s="209" t="n"/>
      <c r="T215" s="209" t="n"/>
      <c r="U215" s="209" t="n"/>
      <c r="V215" s="209" t="n"/>
      <c r="W215" s="209" t="n"/>
      <c r="X215" s="209" t="n"/>
      <c r="Y215" s="209" t="n"/>
      <c r="Z215" s="209" t="n"/>
      <c r="AA215" s="209" t="n"/>
    </row>
    <row r="216" ht="15.75" customHeight="1" s="230">
      <c r="A216" s="211" t="n"/>
      <c r="B216" s="211" t="n"/>
      <c r="C216" s="211" t="n"/>
      <c r="D216" s="211" t="n"/>
      <c r="E216" s="211" t="n"/>
      <c r="F216" s="213" t="n"/>
      <c r="G216" s="211" t="n"/>
      <c r="H216" s="211" t="n"/>
      <c r="I216" s="211" t="n"/>
      <c r="J216" s="209" t="n"/>
      <c r="K216" s="209" t="n"/>
      <c r="L216" s="209" t="n"/>
      <c r="M216" s="209" t="n"/>
      <c r="N216" s="209" t="n"/>
      <c r="O216" s="209" t="n"/>
      <c r="P216" s="209" t="n"/>
      <c r="Q216" s="209" t="n"/>
      <c r="R216" s="209" t="n"/>
      <c r="S216" s="209" t="n"/>
      <c r="T216" s="209" t="n"/>
      <c r="U216" s="209" t="n"/>
      <c r="V216" s="209" t="n"/>
      <c r="W216" s="209" t="n"/>
      <c r="X216" s="209" t="n"/>
      <c r="Y216" s="209" t="n"/>
      <c r="Z216" s="209" t="n"/>
      <c r="AA216" s="209" t="n"/>
    </row>
    <row r="217" ht="15.75" customHeight="1" s="230">
      <c r="A217" s="211" t="n"/>
      <c r="B217" s="211" t="n"/>
      <c r="C217" s="211" t="n"/>
      <c r="D217" s="211" t="n"/>
      <c r="E217" s="211" t="n"/>
      <c r="F217" s="213" t="n"/>
      <c r="G217" s="211" t="n"/>
      <c r="H217" s="211" t="n"/>
      <c r="I217" s="211" t="n"/>
      <c r="J217" s="209" t="n"/>
      <c r="K217" s="209" t="n"/>
      <c r="L217" s="209" t="n"/>
      <c r="M217" s="209" t="n"/>
      <c r="N217" s="209" t="n"/>
      <c r="O217" s="209" t="n"/>
      <c r="P217" s="209" t="n"/>
      <c r="Q217" s="209" t="n"/>
      <c r="R217" s="209" t="n"/>
      <c r="S217" s="209" t="n"/>
      <c r="T217" s="209" t="n"/>
      <c r="U217" s="209" t="n"/>
      <c r="V217" s="209" t="n"/>
      <c r="W217" s="209" t="n"/>
      <c r="X217" s="209" t="n"/>
      <c r="Y217" s="209" t="n"/>
      <c r="Z217" s="209" t="n"/>
      <c r="AA217" s="209" t="n"/>
    </row>
    <row r="218" ht="15.75" customHeight="1" s="230">
      <c r="A218" s="211" t="n"/>
      <c r="B218" s="211" t="n"/>
      <c r="C218" s="211" t="n"/>
      <c r="D218" s="211" t="n"/>
      <c r="E218" s="211" t="n"/>
      <c r="F218" s="213" t="n"/>
      <c r="G218" s="211" t="n"/>
      <c r="H218" s="211" t="n"/>
      <c r="I218" s="211" t="n"/>
      <c r="J218" s="209" t="n"/>
      <c r="K218" s="209" t="n"/>
      <c r="L218" s="209" t="n"/>
      <c r="M218" s="209" t="n"/>
      <c r="N218" s="209" t="n"/>
      <c r="O218" s="209" t="n"/>
      <c r="P218" s="209" t="n"/>
      <c r="Q218" s="209" t="n"/>
      <c r="R218" s="209" t="n"/>
      <c r="S218" s="209" t="n"/>
      <c r="T218" s="209" t="n"/>
      <c r="U218" s="209" t="n"/>
      <c r="V218" s="209" t="n"/>
      <c r="W218" s="209" t="n"/>
      <c r="X218" s="209" t="n"/>
      <c r="Y218" s="209" t="n"/>
      <c r="Z218" s="209" t="n"/>
      <c r="AA218" s="209" t="n"/>
    </row>
    <row r="219" ht="15.75" customHeight="1" s="230">
      <c r="A219" s="211" t="n"/>
      <c r="B219" s="211" t="n"/>
      <c r="C219" s="211" t="n"/>
      <c r="D219" s="211" t="n"/>
      <c r="E219" s="211" t="n"/>
      <c r="F219" s="213" t="n"/>
      <c r="G219" s="211" t="n"/>
      <c r="H219" s="211" t="n"/>
      <c r="I219" s="211" t="n"/>
      <c r="J219" s="209" t="n"/>
      <c r="K219" s="209" t="n"/>
      <c r="L219" s="209" t="n"/>
      <c r="M219" s="209" t="n"/>
      <c r="N219" s="209" t="n"/>
      <c r="O219" s="209" t="n"/>
      <c r="P219" s="209" t="n"/>
      <c r="Q219" s="209" t="n"/>
      <c r="R219" s="209" t="n"/>
      <c r="S219" s="209" t="n"/>
      <c r="T219" s="209" t="n"/>
      <c r="U219" s="209" t="n"/>
      <c r="V219" s="209" t="n"/>
      <c r="W219" s="209" t="n"/>
      <c r="X219" s="209" t="n"/>
      <c r="Y219" s="209" t="n"/>
      <c r="Z219" s="209" t="n"/>
      <c r="AA219" s="209" t="n"/>
    </row>
    <row r="220" ht="15.75" customHeight="1" s="230">
      <c r="A220" s="211" t="n"/>
      <c r="B220" s="211" t="n"/>
      <c r="C220" s="211" t="n"/>
      <c r="D220" s="211" t="n"/>
      <c r="E220" s="211" t="n"/>
      <c r="F220" s="213" t="n"/>
      <c r="G220" s="211" t="n"/>
      <c r="H220" s="211" t="n"/>
      <c r="I220" s="211" t="n"/>
      <c r="J220" s="209" t="n"/>
      <c r="K220" s="209" t="n"/>
      <c r="L220" s="209" t="n"/>
      <c r="M220" s="209" t="n"/>
      <c r="N220" s="209" t="n"/>
      <c r="O220" s="209" t="n"/>
      <c r="P220" s="209" t="n"/>
      <c r="Q220" s="209" t="n"/>
      <c r="R220" s="209" t="n"/>
      <c r="S220" s="209" t="n"/>
      <c r="T220" s="209" t="n"/>
      <c r="U220" s="209" t="n"/>
      <c r="V220" s="209" t="n"/>
      <c r="W220" s="209" t="n"/>
      <c r="X220" s="209" t="n"/>
      <c r="Y220" s="209" t="n"/>
      <c r="Z220" s="209" t="n"/>
      <c r="AA220" s="209" t="n"/>
    </row>
    <row r="221" ht="15.75" customHeight="1" s="230">
      <c r="A221" s="211" t="n"/>
      <c r="B221" s="211" t="n"/>
      <c r="C221" s="211" t="n"/>
      <c r="D221" s="211" t="n"/>
      <c r="E221" s="211" t="n"/>
      <c r="F221" s="213" t="n"/>
      <c r="G221" s="211" t="n"/>
      <c r="H221" s="211" t="n"/>
      <c r="I221" s="211" t="n"/>
      <c r="J221" s="209" t="n"/>
      <c r="K221" s="209" t="n"/>
      <c r="L221" s="209" t="n"/>
      <c r="M221" s="209" t="n"/>
      <c r="N221" s="209" t="n"/>
      <c r="O221" s="209" t="n"/>
      <c r="P221" s="209" t="n"/>
      <c r="Q221" s="209" t="n"/>
      <c r="R221" s="209" t="n"/>
      <c r="S221" s="209" t="n"/>
      <c r="T221" s="209" t="n"/>
      <c r="U221" s="209" t="n"/>
      <c r="V221" s="209" t="n"/>
      <c r="W221" s="209" t="n"/>
      <c r="X221" s="209" t="n"/>
      <c r="Y221" s="209" t="n"/>
      <c r="Z221" s="209" t="n"/>
      <c r="AA221" s="209" t="n"/>
    </row>
    <row r="222" ht="15.75" customHeight="1" s="230">
      <c r="A222" s="211" t="n"/>
      <c r="B222" s="211" t="n"/>
      <c r="C222" s="211" t="n"/>
      <c r="D222" s="211" t="n"/>
      <c r="E222" s="211" t="n"/>
      <c r="F222" s="213" t="n"/>
      <c r="G222" s="211" t="n"/>
      <c r="H222" s="211" t="n"/>
      <c r="I222" s="211" t="n"/>
      <c r="J222" s="209" t="n"/>
      <c r="K222" s="209" t="n"/>
      <c r="L222" s="209" t="n"/>
      <c r="M222" s="209" t="n"/>
      <c r="N222" s="209" t="n"/>
      <c r="O222" s="209" t="n"/>
      <c r="P222" s="209" t="n"/>
      <c r="Q222" s="209" t="n"/>
      <c r="R222" s="209" t="n"/>
      <c r="S222" s="209" t="n"/>
      <c r="T222" s="209" t="n"/>
      <c r="U222" s="209" t="n"/>
      <c r="V222" s="209" t="n"/>
      <c r="W222" s="209" t="n"/>
      <c r="X222" s="209" t="n"/>
      <c r="Y222" s="209" t="n"/>
      <c r="Z222" s="209" t="n"/>
      <c r="AA222" s="209" t="n"/>
    </row>
    <row r="223" ht="15.75" customHeight="1" s="230">
      <c r="A223" s="211" t="n"/>
      <c r="B223" s="211" t="n"/>
      <c r="C223" s="211" t="n"/>
      <c r="D223" s="211" t="n"/>
      <c r="E223" s="211" t="n"/>
      <c r="F223" s="213" t="n"/>
      <c r="G223" s="211" t="n"/>
      <c r="H223" s="211" t="n"/>
      <c r="I223" s="211" t="n"/>
      <c r="J223" s="209" t="n"/>
      <c r="K223" s="209" t="n"/>
      <c r="L223" s="209" t="n"/>
      <c r="M223" s="209" t="n"/>
      <c r="N223" s="209" t="n"/>
      <c r="O223" s="209" t="n"/>
      <c r="P223" s="209" t="n"/>
      <c r="Q223" s="209" t="n"/>
      <c r="R223" s="209" t="n"/>
      <c r="S223" s="209" t="n"/>
      <c r="T223" s="209" t="n"/>
      <c r="U223" s="209" t="n"/>
      <c r="V223" s="209" t="n"/>
      <c r="W223" s="209" t="n"/>
      <c r="X223" s="209" t="n"/>
      <c r="Y223" s="209" t="n"/>
      <c r="Z223" s="209" t="n"/>
      <c r="AA223" s="209" t="n"/>
    </row>
    <row r="224" ht="15.75" customHeight="1" s="230">
      <c r="A224" s="211" t="n"/>
      <c r="B224" s="211" t="n"/>
      <c r="C224" s="211" t="n"/>
      <c r="D224" s="211" t="n"/>
      <c r="E224" s="211" t="n"/>
      <c r="F224" s="213" t="n"/>
      <c r="G224" s="211" t="n"/>
      <c r="H224" s="211" t="n"/>
      <c r="I224" s="211" t="n"/>
      <c r="J224" s="209" t="n"/>
      <c r="K224" s="209" t="n"/>
      <c r="L224" s="209" t="n"/>
      <c r="M224" s="209" t="n"/>
      <c r="N224" s="209" t="n"/>
      <c r="O224" s="209" t="n"/>
      <c r="P224" s="209" t="n"/>
      <c r="Q224" s="209" t="n"/>
      <c r="R224" s="209" t="n"/>
      <c r="S224" s="209" t="n"/>
      <c r="T224" s="209" t="n"/>
      <c r="U224" s="209" t="n"/>
      <c r="V224" s="209" t="n"/>
      <c r="W224" s="209" t="n"/>
      <c r="X224" s="209" t="n"/>
      <c r="Y224" s="209" t="n"/>
      <c r="Z224" s="209" t="n"/>
      <c r="AA224" s="209" t="n"/>
    </row>
    <row r="225" ht="15.75" customHeight="1" s="230">
      <c r="A225" s="211" t="n"/>
      <c r="B225" s="211" t="n"/>
      <c r="C225" s="211" t="n"/>
      <c r="D225" s="211" t="n"/>
      <c r="E225" s="211" t="n"/>
      <c r="F225" s="213" t="n"/>
      <c r="G225" s="211" t="n"/>
      <c r="H225" s="211" t="n"/>
      <c r="I225" s="211" t="n"/>
      <c r="J225" s="209" t="n"/>
      <c r="K225" s="209" t="n"/>
      <c r="L225" s="209" t="n"/>
      <c r="M225" s="209" t="n"/>
      <c r="N225" s="209" t="n"/>
      <c r="O225" s="209" t="n"/>
      <c r="P225" s="209" t="n"/>
      <c r="Q225" s="209" t="n"/>
      <c r="R225" s="209" t="n"/>
      <c r="S225" s="209" t="n"/>
      <c r="T225" s="209" t="n"/>
      <c r="U225" s="209" t="n"/>
      <c r="V225" s="209" t="n"/>
      <c r="W225" s="209" t="n"/>
      <c r="X225" s="209" t="n"/>
      <c r="Y225" s="209" t="n"/>
      <c r="Z225" s="209" t="n"/>
      <c r="AA225" s="209" t="n"/>
    </row>
    <row r="226" ht="15.75" customHeight="1" s="230">
      <c r="A226" s="211" t="n"/>
      <c r="B226" s="211" t="n"/>
      <c r="C226" s="211" t="n"/>
      <c r="D226" s="211" t="n"/>
      <c r="E226" s="211" t="n"/>
      <c r="F226" s="213" t="n"/>
      <c r="G226" s="211" t="n"/>
      <c r="H226" s="211" t="n"/>
      <c r="I226" s="211" t="n"/>
      <c r="J226" s="209" t="n"/>
      <c r="K226" s="209" t="n"/>
      <c r="L226" s="209" t="n"/>
      <c r="M226" s="209" t="n"/>
      <c r="N226" s="209" t="n"/>
      <c r="O226" s="209" t="n"/>
      <c r="P226" s="209" t="n"/>
      <c r="Q226" s="209" t="n"/>
      <c r="R226" s="209" t="n"/>
      <c r="S226" s="209" t="n"/>
      <c r="T226" s="209" t="n"/>
      <c r="U226" s="209" t="n"/>
      <c r="V226" s="209" t="n"/>
      <c r="W226" s="209" t="n"/>
      <c r="X226" s="209" t="n"/>
      <c r="Y226" s="209" t="n"/>
      <c r="Z226" s="209" t="n"/>
      <c r="AA226" s="209" t="n"/>
    </row>
    <row r="227" ht="15.75" customHeight="1" s="230">
      <c r="A227" s="211" t="n"/>
      <c r="B227" s="211" t="n"/>
      <c r="C227" s="211" t="n"/>
      <c r="D227" s="211" t="n"/>
      <c r="E227" s="211" t="n"/>
      <c r="F227" s="213" t="n"/>
      <c r="G227" s="211" t="n"/>
      <c r="H227" s="211" t="n"/>
      <c r="I227" s="211" t="n"/>
      <c r="J227" s="209" t="n"/>
      <c r="K227" s="209" t="n"/>
      <c r="L227" s="209" t="n"/>
      <c r="M227" s="209" t="n"/>
      <c r="N227" s="209" t="n"/>
      <c r="O227" s="209" t="n"/>
      <c r="P227" s="209" t="n"/>
      <c r="Q227" s="209" t="n"/>
      <c r="R227" s="209" t="n"/>
      <c r="S227" s="209" t="n"/>
      <c r="T227" s="209" t="n"/>
      <c r="U227" s="209" t="n"/>
      <c r="V227" s="209" t="n"/>
      <c r="W227" s="209" t="n"/>
      <c r="X227" s="209" t="n"/>
      <c r="Y227" s="209" t="n"/>
      <c r="Z227" s="209" t="n"/>
      <c r="AA227" s="209" t="n"/>
    </row>
    <row r="228" ht="15.75" customHeight="1" s="230">
      <c r="A228" s="211" t="n"/>
      <c r="B228" s="211" t="n"/>
      <c r="C228" s="211" t="n"/>
      <c r="D228" s="211" t="n"/>
      <c r="E228" s="211" t="n"/>
      <c r="F228" s="213" t="n"/>
      <c r="G228" s="211" t="n"/>
      <c r="H228" s="211" t="n"/>
      <c r="I228" s="211" t="n"/>
      <c r="J228" s="209" t="n"/>
      <c r="K228" s="209" t="n"/>
      <c r="L228" s="209" t="n"/>
      <c r="M228" s="209" t="n"/>
      <c r="N228" s="209" t="n"/>
      <c r="O228" s="209" t="n"/>
      <c r="P228" s="209" t="n"/>
      <c r="Q228" s="209" t="n"/>
      <c r="R228" s="209" t="n"/>
      <c r="S228" s="209" t="n"/>
      <c r="T228" s="209" t="n"/>
      <c r="U228" s="209" t="n"/>
      <c r="V228" s="209" t="n"/>
      <c r="W228" s="209" t="n"/>
      <c r="X228" s="209" t="n"/>
      <c r="Y228" s="209" t="n"/>
      <c r="Z228" s="209" t="n"/>
      <c r="AA228" s="209" t="n"/>
    </row>
    <row r="229" ht="15.75" customHeight="1" s="230">
      <c r="A229" s="211" t="n"/>
      <c r="B229" s="211" t="n"/>
      <c r="C229" s="211" t="n"/>
      <c r="D229" s="211" t="n"/>
      <c r="E229" s="211" t="n"/>
      <c r="F229" s="213" t="n"/>
      <c r="G229" s="211" t="n"/>
      <c r="H229" s="211" t="n"/>
      <c r="I229" s="211" t="n"/>
      <c r="J229" s="209" t="n"/>
      <c r="K229" s="209" t="n"/>
      <c r="L229" s="209" t="n"/>
      <c r="M229" s="209" t="n"/>
      <c r="N229" s="209" t="n"/>
      <c r="O229" s="209" t="n"/>
      <c r="P229" s="209" t="n"/>
      <c r="Q229" s="209" t="n"/>
      <c r="R229" s="209" t="n"/>
      <c r="S229" s="209" t="n"/>
      <c r="T229" s="209" t="n"/>
      <c r="U229" s="209" t="n"/>
      <c r="V229" s="209" t="n"/>
      <c r="W229" s="209" t="n"/>
      <c r="X229" s="209" t="n"/>
      <c r="Y229" s="209" t="n"/>
      <c r="Z229" s="209" t="n"/>
      <c r="AA229" s="209" t="n"/>
    </row>
    <row r="230" ht="15.75" customHeight="1" s="230">
      <c r="A230" s="211" t="n"/>
      <c r="B230" s="211" t="n"/>
      <c r="C230" s="211" t="n"/>
      <c r="D230" s="211" t="n"/>
      <c r="E230" s="211" t="n"/>
      <c r="F230" s="213" t="n"/>
      <c r="G230" s="211" t="n"/>
      <c r="H230" s="211" t="n"/>
      <c r="I230" s="211" t="n"/>
      <c r="J230" s="209" t="n"/>
      <c r="K230" s="209" t="n"/>
      <c r="L230" s="209" t="n"/>
      <c r="M230" s="209" t="n"/>
      <c r="N230" s="209" t="n"/>
      <c r="O230" s="209" t="n"/>
      <c r="P230" s="209" t="n"/>
      <c r="Q230" s="209" t="n"/>
      <c r="R230" s="209" t="n"/>
      <c r="S230" s="209" t="n"/>
      <c r="T230" s="209" t="n"/>
      <c r="U230" s="209" t="n"/>
      <c r="V230" s="209" t="n"/>
      <c r="W230" s="209" t="n"/>
      <c r="X230" s="209" t="n"/>
      <c r="Y230" s="209" t="n"/>
      <c r="Z230" s="209" t="n"/>
      <c r="AA230" s="209" t="n"/>
    </row>
    <row r="231" ht="15.75" customHeight="1" s="230">
      <c r="A231" s="211" t="n"/>
      <c r="B231" s="211" t="n"/>
      <c r="C231" s="211" t="n"/>
      <c r="D231" s="211" t="n"/>
      <c r="E231" s="211" t="n"/>
      <c r="F231" s="213" t="n"/>
      <c r="G231" s="211" t="n"/>
      <c r="H231" s="211" t="n"/>
      <c r="I231" s="211" t="n"/>
      <c r="J231" s="209" t="n"/>
      <c r="K231" s="209" t="n"/>
      <c r="L231" s="209" t="n"/>
      <c r="M231" s="209" t="n"/>
      <c r="N231" s="209" t="n"/>
      <c r="O231" s="209" t="n"/>
      <c r="P231" s="209" t="n"/>
      <c r="Q231" s="209" t="n"/>
      <c r="R231" s="209" t="n"/>
      <c r="S231" s="209" t="n"/>
      <c r="T231" s="209" t="n"/>
      <c r="U231" s="209" t="n"/>
      <c r="V231" s="209" t="n"/>
      <c r="W231" s="209" t="n"/>
      <c r="X231" s="209" t="n"/>
      <c r="Y231" s="209" t="n"/>
      <c r="Z231" s="209" t="n"/>
      <c r="AA231" s="209" t="n"/>
    </row>
    <row r="232" ht="15.75" customHeight="1" s="230">
      <c r="A232" s="211" t="n"/>
      <c r="B232" s="211" t="n"/>
      <c r="C232" s="211" t="n"/>
      <c r="D232" s="211" t="n"/>
      <c r="E232" s="211" t="n"/>
      <c r="F232" s="213" t="n"/>
      <c r="G232" s="211" t="n"/>
      <c r="H232" s="211" t="n"/>
      <c r="I232" s="211" t="n"/>
      <c r="J232" s="209" t="n"/>
      <c r="K232" s="209" t="n"/>
      <c r="L232" s="209" t="n"/>
      <c r="M232" s="209" t="n"/>
      <c r="N232" s="209" t="n"/>
      <c r="O232" s="209" t="n"/>
      <c r="P232" s="209" t="n"/>
      <c r="Q232" s="209" t="n"/>
      <c r="R232" s="209" t="n"/>
      <c r="S232" s="209" t="n"/>
      <c r="T232" s="209" t="n"/>
      <c r="U232" s="209" t="n"/>
      <c r="V232" s="209" t="n"/>
      <c r="W232" s="209" t="n"/>
      <c r="X232" s="209" t="n"/>
      <c r="Y232" s="209" t="n"/>
      <c r="Z232" s="209" t="n"/>
      <c r="AA232" s="209" t="n"/>
    </row>
    <row r="233" ht="15.75" customHeight="1" s="230">
      <c r="A233" s="211" t="n"/>
      <c r="B233" s="211" t="n"/>
      <c r="C233" s="211" t="n"/>
      <c r="D233" s="211" t="n"/>
      <c r="E233" s="211" t="n"/>
      <c r="F233" s="213" t="n"/>
      <c r="G233" s="211" t="n"/>
      <c r="H233" s="211" t="n"/>
      <c r="I233" s="211" t="n"/>
      <c r="J233" s="209" t="n"/>
      <c r="K233" s="209" t="n"/>
      <c r="L233" s="209" t="n"/>
      <c r="M233" s="209" t="n"/>
      <c r="N233" s="209" t="n"/>
      <c r="O233" s="209" t="n"/>
      <c r="P233" s="209" t="n"/>
      <c r="Q233" s="209" t="n"/>
      <c r="R233" s="209" t="n"/>
      <c r="S233" s="209" t="n"/>
      <c r="T233" s="209" t="n"/>
      <c r="U233" s="209" t="n"/>
      <c r="V233" s="209" t="n"/>
      <c r="W233" s="209" t="n"/>
      <c r="X233" s="209" t="n"/>
      <c r="Y233" s="209" t="n"/>
      <c r="Z233" s="209" t="n"/>
      <c r="AA233" s="209" t="n"/>
    </row>
    <row r="234" ht="15.75" customHeight="1" s="230">
      <c r="A234" s="211" t="n"/>
      <c r="B234" s="211" t="n"/>
      <c r="C234" s="211" t="n"/>
      <c r="D234" s="211" t="n"/>
      <c r="E234" s="211" t="n"/>
      <c r="F234" s="213" t="n"/>
      <c r="G234" s="211" t="n"/>
      <c r="H234" s="211" t="n"/>
      <c r="I234" s="211" t="n"/>
      <c r="J234" s="209" t="n"/>
      <c r="K234" s="209" t="n"/>
      <c r="L234" s="209" t="n"/>
      <c r="M234" s="209" t="n"/>
      <c r="N234" s="209" t="n"/>
      <c r="O234" s="209" t="n"/>
      <c r="P234" s="209" t="n"/>
      <c r="Q234" s="209" t="n"/>
      <c r="R234" s="209" t="n"/>
      <c r="S234" s="209" t="n"/>
      <c r="T234" s="209" t="n"/>
      <c r="U234" s="209" t="n"/>
      <c r="V234" s="209" t="n"/>
      <c r="W234" s="209" t="n"/>
      <c r="X234" s="209" t="n"/>
      <c r="Y234" s="209" t="n"/>
      <c r="Z234" s="209" t="n"/>
      <c r="AA234" s="209" t="n"/>
    </row>
    <row r="235" ht="15.75" customHeight="1" s="230">
      <c r="A235" s="211" t="n"/>
      <c r="B235" s="211" t="n"/>
      <c r="C235" s="211" t="n"/>
      <c r="D235" s="211" t="n"/>
      <c r="E235" s="211" t="n"/>
      <c r="F235" s="213" t="n"/>
      <c r="G235" s="211" t="n"/>
      <c r="H235" s="211" t="n"/>
      <c r="I235" s="211" t="n"/>
      <c r="J235" s="209" t="n"/>
      <c r="K235" s="209" t="n"/>
      <c r="L235" s="209" t="n"/>
      <c r="M235" s="209" t="n"/>
      <c r="N235" s="209" t="n"/>
      <c r="O235" s="209" t="n"/>
      <c r="P235" s="209" t="n"/>
      <c r="Q235" s="209" t="n"/>
      <c r="R235" s="209" t="n"/>
      <c r="S235" s="209" t="n"/>
      <c r="T235" s="209" t="n"/>
      <c r="U235" s="209" t="n"/>
      <c r="V235" s="209" t="n"/>
      <c r="W235" s="209" t="n"/>
      <c r="X235" s="209" t="n"/>
      <c r="Y235" s="209" t="n"/>
      <c r="Z235" s="209" t="n"/>
      <c r="AA235" s="209" t="n"/>
    </row>
    <row r="236" ht="15.75" customHeight="1" s="230">
      <c r="A236" s="211" t="n"/>
      <c r="B236" s="211" t="n"/>
      <c r="C236" s="211" t="n"/>
      <c r="D236" s="211" t="n"/>
      <c r="E236" s="211" t="n"/>
      <c r="F236" s="213" t="n"/>
      <c r="G236" s="211" t="n"/>
      <c r="H236" s="211" t="n"/>
      <c r="I236" s="211" t="n"/>
      <c r="J236" s="209" t="n"/>
      <c r="K236" s="209" t="n"/>
      <c r="L236" s="209" t="n"/>
      <c r="M236" s="209" t="n"/>
      <c r="N236" s="209" t="n"/>
      <c r="O236" s="209" t="n"/>
      <c r="P236" s="209" t="n"/>
      <c r="Q236" s="209" t="n"/>
      <c r="R236" s="209" t="n"/>
      <c r="S236" s="209" t="n"/>
      <c r="T236" s="209" t="n"/>
      <c r="U236" s="209" t="n"/>
      <c r="V236" s="209" t="n"/>
      <c r="W236" s="209" t="n"/>
      <c r="X236" s="209" t="n"/>
      <c r="Y236" s="209" t="n"/>
      <c r="Z236" s="209" t="n"/>
      <c r="AA236" s="209" t="n"/>
    </row>
    <row r="237" ht="15.75" customHeight="1" s="230">
      <c r="A237" s="211" t="n"/>
      <c r="B237" s="211" t="n"/>
      <c r="C237" s="211" t="n"/>
      <c r="D237" s="211" t="n"/>
      <c r="E237" s="211" t="n"/>
      <c r="F237" s="213" t="n"/>
      <c r="G237" s="211" t="n"/>
      <c r="H237" s="211" t="n"/>
      <c r="I237" s="211" t="n"/>
      <c r="J237" s="209" t="n"/>
      <c r="K237" s="209" t="n"/>
      <c r="L237" s="209" t="n"/>
      <c r="M237" s="209" t="n"/>
      <c r="N237" s="209" t="n"/>
      <c r="O237" s="209" t="n"/>
      <c r="P237" s="209" t="n"/>
      <c r="Q237" s="209" t="n"/>
      <c r="R237" s="209" t="n"/>
      <c r="S237" s="209" t="n"/>
      <c r="T237" s="209" t="n"/>
      <c r="U237" s="209" t="n"/>
      <c r="V237" s="209" t="n"/>
      <c r="W237" s="209" t="n"/>
      <c r="X237" s="209" t="n"/>
      <c r="Y237" s="209" t="n"/>
      <c r="Z237" s="209" t="n"/>
      <c r="AA237" s="209" t="n"/>
    </row>
    <row r="238" ht="15.75" customHeight="1" s="230">
      <c r="A238" s="211" t="n"/>
      <c r="B238" s="211" t="n"/>
      <c r="C238" s="211" t="n"/>
      <c r="D238" s="211" t="n"/>
      <c r="E238" s="211" t="n"/>
      <c r="F238" s="213" t="n"/>
      <c r="G238" s="211" t="n"/>
      <c r="H238" s="211" t="n"/>
      <c r="I238" s="211" t="n"/>
      <c r="J238" s="209" t="n"/>
      <c r="K238" s="209" t="n"/>
      <c r="L238" s="209" t="n"/>
      <c r="M238" s="209" t="n"/>
      <c r="N238" s="209" t="n"/>
      <c r="O238" s="209" t="n"/>
      <c r="P238" s="209" t="n"/>
      <c r="Q238" s="209" t="n"/>
      <c r="R238" s="209" t="n"/>
      <c r="S238" s="209" t="n"/>
      <c r="T238" s="209" t="n"/>
      <c r="U238" s="209" t="n"/>
      <c r="V238" s="209" t="n"/>
      <c r="W238" s="209" t="n"/>
      <c r="X238" s="209" t="n"/>
      <c r="Y238" s="209" t="n"/>
      <c r="Z238" s="209" t="n"/>
      <c r="AA238" s="209" t="n"/>
    </row>
    <row r="239" ht="15.75" customHeight="1" s="230">
      <c r="A239" s="211" t="n"/>
      <c r="B239" s="211" t="n"/>
      <c r="C239" s="211" t="n"/>
      <c r="D239" s="211" t="n"/>
      <c r="E239" s="211" t="n"/>
      <c r="F239" s="213" t="n"/>
      <c r="G239" s="211" t="n"/>
      <c r="H239" s="211" t="n"/>
      <c r="I239" s="211" t="n"/>
      <c r="J239" s="209" t="n"/>
      <c r="K239" s="209" t="n"/>
      <c r="L239" s="209" t="n"/>
      <c r="M239" s="209" t="n"/>
      <c r="N239" s="209" t="n"/>
      <c r="O239" s="209" t="n"/>
      <c r="P239" s="209" t="n"/>
      <c r="Q239" s="209" t="n"/>
      <c r="R239" s="209" t="n"/>
      <c r="S239" s="209" t="n"/>
      <c r="T239" s="209" t="n"/>
      <c r="U239" s="209" t="n"/>
      <c r="V239" s="209" t="n"/>
      <c r="W239" s="209" t="n"/>
      <c r="X239" s="209" t="n"/>
      <c r="Y239" s="209" t="n"/>
      <c r="Z239" s="209" t="n"/>
      <c r="AA239" s="209" t="n"/>
    </row>
    <row r="240" ht="15.75" customHeight="1" s="230">
      <c r="A240" s="211" t="n"/>
      <c r="B240" s="211" t="n"/>
      <c r="C240" s="211" t="n"/>
      <c r="D240" s="211" t="n"/>
      <c r="E240" s="211" t="n"/>
      <c r="F240" s="213" t="n"/>
      <c r="G240" s="211" t="n"/>
      <c r="H240" s="211" t="n"/>
      <c r="I240" s="211" t="n"/>
      <c r="J240" s="209" t="n"/>
      <c r="K240" s="209" t="n"/>
      <c r="L240" s="209" t="n"/>
      <c r="M240" s="209" t="n"/>
      <c r="N240" s="209" t="n"/>
      <c r="O240" s="209" t="n"/>
      <c r="P240" s="209" t="n"/>
      <c r="Q240" s="209" t="n"/>
      <c r="R240" s="209" t="n"/>
      <c r="S240" s="209" t="n"/>
      <c r="T240" s="209" t="n"/>
      <c r="U240" s="209" t="n"/>
      <c r="V240" s="209" t="n"/>
      <c r="W240" s="209" t="n"/>
      <c r="X240" s="209" t="n"/>
      <c r="Y240" s="209" t="n"/>
      <c r="Z240" s="209" t="n"/>
      <c r="AA240" s="209" t="n"/>
    </row>
    <row r="241" ht="15.75" customHeight="1" s="230">
      <c r="A241" s="211" t="n"/>
      <c r="B241" s="211" t="n"/>
      <c r="C241" s="211" t="n"/>
      <c r="D241" s="211" t="n"/>
      <c r="E241" s="211" t="n"/>
      <c r="F241" s="213" t="n"/>
      <c r="G241" s="211" t="n"/>
      <c r="H241" s="211" t="n"/>
      <c r="I241" s="211" t="n"/>
      <c r="J241" s="209" t="n"/>
      <c r="K241" s="209" t="n"/>
      <c r="L241" s="209" t="n"/>
      <c r="M241" s="209" t="n"/>
      <c r="N241" s="209" t="n"/>
      <c r="O241" s="209" t="n"/>
      <c r="P241" s="209" t="n"/>
      <c r="Q241" s="209" t="n"/>
      <c r="R241" s="209" t="n"/>
      <c r="S241" s="209" t="n"/>
      <c r="T241" s="209" t="n"/>
      <c r="U241" s="209" t="n"/>
      <c r="V241" s="209" t="n"/>
      <c r="W241" s="209" t="n"/>
      <c r="X241" s="209" t="n"/>
      <c r="Y241" s="209" t="n"/>
      <c r="Z241" s="209" t="n"/>
      <c r="AA241" s="209" t="n"/>
    </row>
    <row r="242" ht="15.75" customHeight="1" s="230">
      <c r="A242" s="211" t="n"/>
      <c r="B242" s="211" t="n"/>
      <c r="C242" s="211" t="n"/>
      <c r="D242" s="211" t="n"/>
      <c r="E242" s="211" t="n"/>
      <c r="F242" s="213" t="n"/>
      <c r="G242" s="211" t="n"/>
      <c r="H242" s="211" t="n"/>
      <c r="I242" s="211" t="n"/>
      <c r="J242" s="209" t="n"/>
      <c r="K242" s="209" t="n"/>
      <c r="L242" s="209" t="n"/>
      <c r="M242" s="209" t="n"/>
      <c r="N242" s="209" t="n"/>
      <c r="O242" s="209" t="n"/>
      <c r="P242" s="209" t="n"/>
      <c r="Q242" s="209" t="n"/>
      <c r="R242" s="209" t="n"/>
      <c r="S242" s="209" t="n"/>
      <c r="T242" s="209" t="n"/>
      <c r="U242" s="209" t="n"/>
      <c r="V242" s="209" t="n"/>
      <c r="W242" s="209" t="n"/>
      <c r="X242" s="209" t="n"/>
      <c r="Y242" s="209" t="n"/>
      <c r="Z242" s="209" t="n"/>
      <c r="AA242" s="209" t="n"/>
    </row>
    <row r="243" ht="15.75" customHeight="1" s="230">
      <c r="A243" s="211" t="n"/>
      <c r="B243" s="211" t="n"/>
      <c r="C243" s="211" t="n"/>
      <c r="D243" s="211" t="n"/>
      <c r="E243" s="211" t="n"/>
      <c r="F243" s="213" t="n"/>
      <c r="G243" s="211" t="n"/>
      <c r="H243" s="211" t="n"/>
      <c r="I243" s="211" t="n"/>
      <c r="J243" s="209" t="n"/>
      <c r="K243" s="209" t="n"/>
      <c r="L243" s="209" t="n"/>
      <c r="M243" s="209" t="n"/>
      <c r="N243" s="209" t="n"/>
      <c r="O243" s="209" t="n"/>
      <c r="P243" s="209" t="n"/>
      <c r="Q243" s="209" t="n"/>
      <c r="R243" s="209" t="n"/>
      <c r="S243" s="209" t="n"/>
      <c r="T243" s="209" t="n"/>
      <c r="U243" s="209" t="n"/>
      <c r="V243" s="209" t="n"/>
      <c r="W243" s="209" t="n"/>
      <c r="X243" s="209" t="n"/>
      <c r="Y243" s="209" t="n"/>
      <c r="Z243" s="209" t="n"/>
      <c r="AA243" s="209" t="n"/>
    </row>
    <row r="244" ht="15.75" customHeight="1" s="230">
      <c r="A244" s="211" t="n"/>
      <c r="B244" s="211" t="n"/>
      <c r="C244" s="211" t="n"/>
      <c r="D244" s="211" t="n"/>
      <c r="E244" s="211" t="n"/>
      <c r="F244" s="213" t="n"/>
      <c r="G244" s="211" t="n"/>
      <c r="H244" s="211" t="n"/>
      <c r="I244" s="211" t="n"/>
      <c r="J244" s="209" t="n"/>
      <c r="K244" s="209" t="n"/>
      <c r="L244" s="209" t="n"/>
      <c r="M244" s="209" t="n"/>
      <c r="N244" s="209" t="n"/>
      <c r="O244" s="209" t="n"/>
      <c r="P244" s="209" t="n"/>
      <c r="Q244" s="209" t="n"/>
      <c r="R244" s="209" t="n"/>
      <c r="S244" s="209" t="n"/>
      <c r="T244" s="209" t="n"/>
      <c r="U244" s="209" t="n"/>
      <c r="V244" s="209" t="n"/>
      <c r="W244" s="209" t="n"/>
      <c r="X244" s="209" t="n"/>
      <c r="Y244" s="209" t="n"/>
      <c r="Z244" s="209" t="n"/>
      <c r="AA244" s="209" t="n"/>
    </row>
    <row r="245" ht="15.75" customHeight="1" s="230">
      <c r="A245" s="211" t="n"/>
      <c r="B245" s="211" t="n"/>
      <c r="C245" s="211" t="n"/>
      <c r="D245" s="211" t="n"/>
      <c r="E245" s="211" t="n"/>
      <c r="F245" s="213" t="n"/>
      <c r="G245" s="211" t="n"/>
      <c r="H245" s="211" t="n"/>
      <c r="I245" s="211" t="n"/>
      <c r="J245" s="209" t="n"/>
      <c r="K245" s="209" t="n"/>
      <c r="L245" s="209" t="n"/>
      <c r="M245" s="209" t="n"/>
      <c r="N245" s="209" t="n"/>
      <c r="O245" s="209" t="n"/>
      <c r="P245" s="209" t="n"/>
      <c r="Q245" s="209" t="n"/>
      <c r="R245" s="209" t="n"/>
      <c r="S245" s="209" t="n"/>
      <c r="T245" s="209" t="n"/>
      <c r="U245" s="209" t="n"/>
      <c r="V245" s="209" t="n"/>
      <c r="W245" s="209" t="n"/>
      <c r="X245" s="209" t="n"/>
      <c r="Y245" s="209" t="n"/>
      <c r="Z245" s="209" t="n"/>
      <c r="AA245" s="209" t="n"/>
    </row>
    <row r="246" ht="15.75" customHeight="1" s="230">
      <c r="A246" s="211" t="n"/>
      <c r="B246" s="211" t="n"/>
      <c r="C246" s="211" t="n"/>
      <c r="D246" s="211" t="n"/>
      <c r="E246" s="211" t="n"/>
      <c r="F246" s="213" t="n"/>
      <c r="G246" s="211" t="n"/>
      <c r="H246" s="211" t="n"/>
      <c r="I246" s="211" t="n"/>
      <c r="J246" s="209" t="n"/>
      <c r="K246" s="209" t="n"/>
      <c r="L246" s="209" t="n"/>
      <c r="M246" s="209" t="n"/>
      <c r="N246" s="209" t="n"/>
      <c r="O246" s="209" t="n"/>
      <c r="P246" s="209" t="n"/>
      <c r="Q246" s="209" t="n"/>
      <c r="R246" s="209" t="n"/>
      <c r="S246" s="209" t="n"/>
      <c r="T246" s="209" t="n"/>
      <c r="U246" s="209" t="n"/>
      <c r="V246" s="209" t="n"/>
      <c r="W246" s="209" t="n"/>
      <c r="X246" s="209" t="n"/>
      <c r="Y246" s="209" t="n"/>
      <c r="Z246" s="209" t="n"/>
      <c r="AA246" s="209" t="n"/>
    </row>
    <row r="247" ht="15.75" customHeight="1" s="230">
      <c r="A247" s="211" t="n"/>
      <c r="B247" s="211" t="n"/>
      <c r="C247" s="211" t="n"/>
      <c r="D247" s="211" t="n"/>
      <c r="E247" s="211" t="n"/>
      <c r="F247" s="213" t="n"/>
      <c r="G247" s="211" t="n"/>
      <c r="H247" s="211" t="n"/>
      <c r="I247" s="211" t="n"/>
      <c r="J247" s="209" t="n"/>
      <c r="K247" s="209" t="n"/>
      <c r="L247" s="209" t="n"/>
      <c r="M247" s="209" t="n"/>
      <c r="N247" s="209" t="n"/>
      <c r="O247" s="209" t="n"/>
      <c r="P247" s="209" t="n"/>
      <c r="Q247" s="209" t="n"/>
      <c r="R247" s="209" t="n"/>
      <c r="S247" s="209" t="n"/>
      <c r="T247" s="209" t="n"/>
      <c r="U247" s="209" t="n"/>
      <c r="V247" s="209" t="n"/>
      <c r="W247" s="209" t="n"/>
      <c r="X247" s="209" t="n"/>
      <c r="Y247" s="209" t="n"/>
      <c r="Z247" s="209" t="n"/>
      <c r="AA247" s="209" t="n"/>
    </row>
    <row r="248" ht="15.75" customHeight="1" s="230">
      <c r="A248" s="211" t="n"/>
      <c r="B248" s="211" t="n"/>
      <c r="C248" s="211" t="n"/>
      <c r="D248" s="211" t="n"/>
      <c r="E248" s="211" t="n"/>
      <c r="F248" s="213" t="n"/>
      <c r="G248" s="211" t="n"/>
      <c r="H248" s="211" t="n"/>
      <c r="I248" s="211" t="n"/>
      <c r="J248" s="209" t="n"/>
      <c r="K248" s="209" t="n"/>
      <c r="L248" s="209" t="n"/>
      <c r="M248" s="209" t="n"/>
      <c r="N248" s="209" t="n"/>
      <c r="O248" s="209" t="n"/>
      <c r="P248" s="209" t="n"/>
      <c r="Q248" s="209" t="n"/>
      <c r="R248" s="209" t="n"/>
      <c r="S248" s="209" t="n"/>
      <c r="T248" s="209" t="n"/>
      <c r="U248" s="209" t="n"/>
      <c r="V248" s="209" t="n"/>
      <c r="W248" s="209" t="n"/>
      <c r="X248" s="209" t="n"/>
      <c r="Y248" s="209" t="n"/>
      <c r="Z248" s="209" t="n"/>
      <c r="AA248" s="209" t="n"/>
    </row>
    <row r="249" ht="15.75" customHeight="1" s="230">
      <c r="A249" s="211" t="n"/>
      <c r="B249" s="211" t="n"/>
      <c r="C249" s="211" t="n"/>
      <c r="D249" s="211" t="n"/>
      <c r="E249" s="211" t="n"/>
      <c r="F249" s="213" t="n"/>
      <c r="G249" s="211" t="n"/>
      <c r="H249" s="211" t="n"/>
      <c r="I249" s="211" t="n"/>
      <c r="J249" s="209" t="n"/>
      <c r="K249" s="209" t="n"/>
      <c r="L249" s="209" t="n"/>
      <c r="M249" s="209" t="n"/>
      <c r="N249" s="209" t="n"/>
      <c r="O249" s="209" t="n"/>
      <c r="P249" s="209" t="n"/>
      <c r="Q249" s="209" t="n"/>
      <c r="R249" s="209" t="n"/>
      <c r="S249" s="209" t="n"/>
      <c r="T249" s="209" t="n"/>
      <c r="U249" s="209" t="n"/>
      <c r="V249" s="209" t="n"/>
      <c r="W249" s="209" t="n"/>
      <c r="X249" s="209" t="n"/>
      <c r="Y249" s="209" t="n"/>
      <c r="Z249" s="209" t="n"/>
      <c r="AA249" s="209" t="n"/>
    </row>
    <row r="250" ht="15.75" customHeight="1" s="230">
      <c r="A250" s="211" t="n"/>
      <c r="B250" s="211" t="n"/>
      <c r="C250" s="211" t="n"/>
      <c r="D250" s="211" t="n"/>
      <c r="E250" s="211" t="n"/>
      <c r="F250" s="213" t="n"/>
      <c r="G250" s="211" t="n"/>
      <c r="H250" s="211" t="n"/>
      <c r="I250" s="211" t="n"/>
      <c r="J250" s="209" t="n"/>
      <c r="K250" s="209" t="n"/>
      <c r="L250" s="209" t="n"/>
      <c r="M250" s="209" t="n"/>
      <c r="N250" s="209" t="n"/>
      <c r="O250" s="209" t="n"/>
      <c r="P250" s="209" t="n"/>
      <c r="Q250" s="209" t="n"/>
      <c r="R250" s="209" t="n"/>
      <c r="S250" s="209" t="n"/>
      <c r="T250" s="209" t="n"/>
      <c r="U250" s="209" t="n"/>
      <c r="V250" s="209" t="n"/>
      <c r="W250" s="209" t="n"/>
      <c r="X250" s="209" t="n"/>
      <c r="Y250" s="209" t="n"/>
      <c r="Z250" s="209" t="n"/>
      <c r="AA250" s="209" t="n"/>
    </row>
    <row r="251" ht="15.75" customHeight="1" s="230">
      <c r="A251" s="211" t="n"/>
      <c r="B251" s="211" t="n"/>
      <c r="C251" s="211" t="n"/>
      <c r="D251" s="211" t="n"/>
      <c r="E251" s="211" t="n"/>
      <c r="F251" s="213" t="n"/>
      <c r="G251" s="211" t="n"/>
      <c r="H251" s="211" t="n"/>
      <c r="I251" s="211" t="n"/>
      <c r="J251" s="209" t="n"/>
      <c r="K251" s="209" t="n"/>
      <c r="L251" s="209" t="n"/>
      <c r="M251" s="209" t="n"/>
      <c r="N251" s="209" t="n"/>
      <c r="O251" s="209" t="n"/>
      <c r="P251" s="209" t="n"/>
      <c r="Q251" s="209" t="n"/>
      <c r="R251" s="209" t="n"/>
      <c r="S251" s="209" t="n"/>
      <c r="T251" s="209" t="n"/>
      <c r="U251" s="209" t="n"/>
      <c r="V251" s="209" t="n"/>
      <c r="W251" s="209" t="n"/>
      <c r="X251" s="209" t="n"/>
      <c r="Y251" s="209" t="n"/>
      <c r="Z251" s="209" t="n"/>
      <c r="AA251" s="209" t="n"/>
    </row>
    <row r="252" ht="15.75" customHeight="1" s="230">
      <c r="A252" s="211" t="n"/>
      <c r="B252" s="211" t="n"/>
      <c r="C252" s="211" t="n"/>
      <c r="D252" s="211" t="n"/>
      <c r="E252" s="211" t="n"/>
      <c r="F252" s="213" t="n"/>
      <c r="G252" s="211" t="n"/>
      <c r="H252" s="211" t="n"/>
      <c r="I252" s="211" t="n"/>
      <c r="J252" s="209" t="n"/>
      <c r="K252" s="209" t="n"/>
      <c r="L252" s="209" t="n"/>
      <c r="M252" s="209" t="n"/>
      <c r="N252" s="209" t="n"/>
      <c r="O252" s="209" t="n"/>
      <c r="P252" s="209" t="n"/>
      <c r="Q252" s="209" t="n"/>
      <c r="R252" s="209" t="n"/>
      <c r="S252" s="209" t="n"/>
      <c r="T252" s="209" t="n"/>
      <c r="U252" s="209" t="n"/>
      <c r="V252" s="209" t="n"/>
      <c r="W252" s="209" t="n"/>
      <c r="X252" s="209" t="n"/>
      <c r="Y252" s="209" t="n"/>
      <c r="Z252" s="209" t="n"/>
      <c r="AA252" s="209" t="n"/>
    </row>
    <row r="253" ht="15.75" customHeight="1" s="230">
      <c r="A253" s="211" t="n"/>
      <c r="B253" s="211" t="n"/>
      <c r="C253" s="211" t="n"/>
      <c r="D253" s="211" t="n"/>
      <c r="E253" s="211" t="n"/>
      <c r="F253" s="213" t="n"/>
      <c r="G253" s="211" t="n"/>
      <c r="H253" s="211" t="n"/>
      <c r="I253" s="211" t="n"/>
      <c r="J253" s="209" t="n"/>
      <c r="K253" s="209" t="n"/>
      <c r="L253" s="209" t="n"/>
      <c r="M253" s="209" t="n"/>
      <c r="N253" s="209" t="n"/>
      <c r="O253" s="209" t="n"/>
      <c r="P253" s="209" t="n"/>
      <c r="Q253" s="209" t="n"/>
      <c r="R253" s="209" t="n"/>
      <c r="S253" s="209" t="n"/>
      <c r="T253" s="209" t="n"/>
      <c r="U253" s="209" t="n"/>
      <c r="V253" s="209" t="n"/>
      <c r="W253" s="209" t="n"/>
      <c r="X253" s="209" t="n"/>
      <c r="Y253" s="209" t="n"/>
      <c r="Z253" s="209" t="n"/>
      <c r="AA253" s="209" t="n"/>
    </row>
    <row r="254" ht="15.75" customHeight="1" s="230">
      <c r="A254" s="211" t="n"/>
      <c r="B254" s="211" t="n"/>
      <c r="C254" s="211" t="n"/>
      <c r="D254" s="211" t="n"/>
      <c r="E254" s="211" t="n"/>
      <c r="F254" s="213" t="n"/>
      <c r="G254" s="211" t="n"/>
      <c r="H254" s="211" t="n"/>
      <c r="I254" s="211" t="n"/>
      <c r="J254" s="209" t="n"/>
      <c r="K254" s="209" t="n"/>
      <c r="L254" s="209" t="n"/>
      <c r="M254" s="209" t="n"/>
      <c r="N254" s="209" t="n"/>
      <c r="O254" s="209" t="n"/>
      <c r="P254" s="209" t="n"/>
      <c r="Q254" s="209" t="n"/>
      <c r="R254" s="209" t="n"/>
      <c r="S254" s="209" t="n"/>
      <c r="T254" s="209" t="n"/>
      <c r="U254" s="209" t="n"/>
      <c r="V254" s="209" t="n"/>
      <c r="W254" s="209" t="n"/>
      <c r="X254" s="209" t="n"/>
      <c r="Y254" s="209" t="n"/>
      <c r="Z254" s="209" t="n"/>
      <c r="AA254" s="209" t="n"/>
    </row>
    <row r="255" ht="15.75" customHeight="1" s="230">
      <c r="A255" s="211" t="n"/>
      <c r="B255" s="211" t="n"/>
      <c r="C255" s="211" t="n"/>
      <c r="D255" s="211" t="n"/>
      <c r="E255" s="211" t="n"/>
      <c r="F255" s="213" t="n"/>
      <c r="G255" s="211" t="n"/>
      <c r="H255" s="211" t="n"/>
      <c r="I255" s="211" t="n"/>
      <c r="J255" s="209" t="n"/>
      <c r="K255" s="209" t="n"/>
      <c r="L255" s="209" t="n"/>
      <c r="M255" s="209" t="n"/>
      <c r="N255" s="209" t="n"/>
      <c r="O255" s="209" t="n"/>
      <c r="P255" s="209" t="n"/>
      <c r="Q255" s="209" t="n"/>
      <c r="R255" s="209" t="n"/>
      <c r="S255" s="209" t="n"/>
      <c r="T255" s="209" t="n"/>
      <c r="U255" s="209" t="n"/>
      <c r="V255" s="209" t="n"/>
      <c r="W255" s="209" t="n"/>
      <c r="X255" s="209" t="n"/>
      <c r="Y255" s="209" t="n"/>
      <c r="Z255" s="209" t="n"/>
      <c r="AA255" s="209" t="n"/>
    </row>
    <row r="256" ht="15.75" customHeight="1" s="230">
      <c r="A256" s="211" t="n"/>
      <c r="B256" s="211" t="n"/>
      <c r="C256" s="211" t="n"/>
      <c r="D256" s="211" t="n"/>
      <c r="E256" s="211" t="n"/>
      <c r="F256" s="213" t="n"/>
      <c r="G256" s="211" t="n"/>
      <c r="H256" s="211" t="n"/>
      <c r="I256" s="211" t="n"/>
      <c r="J256" s="209" t="n"/>
      <c r="K256" s="209" t="n"/>
      <c r="L256" s="209" t="n"/>
      <c r="M256" s="209" t="n"/>
      <c r="N256" s="209" t="n"/>
      <c r="O256" s="209" t="n"/>
      <c r="P256" s="209" t="n"/>
      <c r="Q256" s="209" t="n"/>
      <c r="R256" s="209" t="n"/>
      <c r="S256" s="209" t="n"/>
      <c r="T256" s="209" t="n"/>
      <c r="U256" s="209" t="n"/>
      <c r="V256" s="209" t="n"/>
      <c r="W256" s="209" t="n"/>
      <c r="X256" s="209" t="n"/>
      <c r="Y256" s="209" t="n"/>
      <c r="Z256" s="209" t="n"/>
      <c r="AA256" s="209" t="n"/>
    </row>
    <row r="257" ht="15.75" customHeight="1" s="230">
      <c r="A257" s="211" t="n"/>
      <c r="B257" s="211" t="n"/>
      <c r="C257" s="211" t="n"/>
      <c r="D257" s="211" t="n"/>
      <c r="E257" s="211" t="n"/>
      <c r="F257" s="213" t="n"/>
      <c r="G257" s="211" t="n"/>
      <c r="H257" s="211" t="n"/>
      <c r="I257" s="211" t="n"/>
      <c r="J257" s="209" t="n"/>
      <c r="K257" s="209" t="n"/>
      <c r="L257" s="209" t="n"/>
      <c r="M257" s="209" t="n"/>
      <c r="N257" s="209" t="n"/>
      <c r="O257" s="209" t="n"/>
      <c r="P257" s="209" t="n"/>
      <c r="Q257" s="209" t="n"/>
      <c r="R257" s="209" t="n"/>
      <c r="S257" s="209" t="n"/>
      <c r="T257" s="209" t="n"/>
      <c r="U257" s="209" t="n"/>
      <c r="V257" s="209" t="n"/>
      <c r="W257" s="209" t="n"/>
      <c r="X257" s="209" t="n"/>
      <c r="Y257" s="209" t="n"/>
      <c r="Z257" s="209" t="n"/>
      <c r="AA257" s="209" t="n"/>
    </row>
    <row r="258" ht="15.75" customHeight="1" s="230">
      <c r="A258" s="211" t="n"/>
      <c r="B258" s="211" t="n"/>
      <c r="C258" s="211" t="n"/>
      <c r="D258" s="211" t="n"/>
      <c r="E258" s="211" t="n"/>
      <c r="F258" s="213" t="n"/>
      <c r="G258" s="211" t="n"/>
      <c r="H258" s="211" t="n"/>
      <c r="I258" s="211" t="n"/>
      <c r="J258" s="209" t="n"/>
      <c r="K258" s="209" t="n"/>
      <c r="L258" s="209" t="n"/>
      <c r="M258" s="209" t="n"/>
      <c r="N258" s="209" t="n"/>
      <c r="O258" s="209" t="n"/>
      <c r="P258" s="209" t="n"/>
      <c r="Q258" s="209" t="n"/>
      <c r="R258" s="209" t="n"/>
      <c r="S258" s="209" t="n"/>
      <c r="T258" s="209" t="n"/>
      <c r="U258" s="209" t="n"/>
      <c r="V258" s="209" t="n"/>
      <c r="W258" s="209" t="n"/>
      <c r="X258" s="209" t="n"/>
      <c r="Y258" s="209" t="n"/>
      <c r="Z258" s="209" t="n"/>
      <c r="AA258" s="209" t="n"/>
    </row>
    <row r="259" ht="15.75" customHeight="1" s="230">
      <c r="A259" s="211" t="n"/>
      <c r="B259" s="211" t="n"/>
      <c r="C259" s="211" t="n"/>
      <c r="D259" s="211" t="n"/>
      <c r="E259" s="211" t="n"/>
      <c r="F259" s="213" t="n"/>
      <c r="G259" s="211" t="n"/>
      <c r="H259" s="211" t="n"/>
      <c r="I259" s="211" t="n"/>
      <c r="J259" s="209" t="n"/>
      <c r="K259" s="209" t="n"/>
      <c r="L259" s="209" t="n"/>
      <c r="M259" s="209" t="n"/>
      <c r="N259" s="209" t="n"/>
      <c r="O259" s="209" t="n"/>
      <c r="P259" s="209" t="n"/>
      <c r="Q259" s="209" t="n"/>
      <c r="R259" s="209" t="n"/>
      <c r="S259" s="209" t="n"/>
      <c r="T259" s="209" t="n"/>
      <c r="U259" s="209" t="n"/>
      <c r="V259" s="209" t="n"/>
      <c r="W259" s="209" t="n"/>
      <c r="X259" s="209" t="n"/>
      <c r="Y259" s="209" t="n"/>
      <c r="Z259" s="209" t="n"/>
      <c r="AA259" s="209" t="n"/>
    </row>
    <row r="260" ht="15.75" customHeight="1" s="230">
      <c r="A260" s="211" t="n"/>
      <c r="B260" s="211" t="n"/>
      <c r="C260" s="211" t="n"/>
      <c r="D260" s="211" t="n"/>
      <c r="E260" s="211" t="n"/>
      <c r="F260" s="213" t="n"/>
      <c r="G260" s="211" t="n"/>
      <c r="H260" s="211" t="n"/>
      <c r="I260" s="211" t="n"/>
      <c r="J260" s="209" t="n"/>
      <c r="K260" s="209" t="n"/>
      <c r="L260" s="209" t="n"/>
      <c r="M260" s="209" t="n"/>
      <c r="N260" s="209" t="n"/>
      <c r="O260" s="209" t="n"/>
      <c r="P260" s="209" t="n"/>
      <c r="Q260" s="209" t="n"/>
      <c r="R260" s="209" t="n"/>
      <c r="S260" s="209" t="n"/>
      <c r="T260" s="209" t="n"/>
      <c r="U260" s="209" t="n"/>
      <c r="V260" s="209" t="n"/>
      <c r="W260" s="209" t="n"/>
      <c r="X260" s="209" t="n"/>
      <c r="Y260" s="209" t="n"/>
      <c r="Z260" s="209" t="n"/>
      <c r="AA260" s="209" t="n"/>
    </row>
    <row r="261" ht="15.75" customHeight="1" s="230">
      <c r="A261" s="211" t="n"/>
      <c r="B261" s="211" t="n"/>
      <c r="C261" s="211" t="n"/>
      <c r="D261" s="211" t="n"/>
      <c r="E261" s="211" t="n"/>
      <c r="F261" s="213" t="n"/>
      <c r="G261" s="211" t="n"/>
      <c r="H261" s="211" t="n"/>
      <c r="I261" s="211" t="n"/>
      <c r="J261" s="209" t="n"/>
      <c r="K261" s="209" t="n"/>
      <c r="L261" s="209" t="n"/>
      <c r="M261" s="209" t="n"/>
      <c r="N261" s="209" t="n"/>
      <c r="O261" s="209" t="n"/>
      <c r="P261" s="209" t="n"/>
      <c r="Q261" s="209" t="n"/>
      <c r="R261" s="209" t="n"/>
      <c r="S261" s="209" t="n"/>
      <c r="T261" s="209" t="n"/>
      <c r="U261" s="209" t="n"/>
      <c r="V261" s="209" t="n"/>
      <c r="W261" s="209" t="n"/>
      <c r="X261" s="209" t="n"/>
      <c r="Y261" s="209" t="n"/>
      <c r="Z261" s="209" t="n"/>
      <c r="AA261" s="209" t="n"/>
    </row>
    <row r="262" ht="15.75" customHeight="1" s="230">
      <c r="A262" s="211" t="n"/>
      <c r="B262" s="211" t="n"/>
      <c r="C262" s="211" t="n"/>
      <c r="D262" s="211" t="n"/>
      <c r="E262" s="211" t="n"/>
      <c r="F262" s="213" t="n"/>
      <c r="G262" s="211" t="n"/>
      <c r="H262" s="211" t="n"/>
      <c r="I262" s="211" t="n"/>
      <c r="J262" s="209" t="n"/>
      <c r="K262" s="209" t="n"/>
      <c r="L262" s="209" t="n"/>
      <c r="M262" s="209" t="n"/>
      <c r="N262" s="209" t="n"/>
      <c r="O262" s="209" t="n"/>
      <c r="P262" s="209" t="n"/>
      <c r="Q262" s="209" t="n"/>
      <c r="R262" s="209" t="n"/>
      <c r="S262" s="209" t="n"/>
      <c r="T262" s="209" t="n"/>
      <c r="U262" s="209" t="n"/>
      <c r="V262" s="209" t="n"/>
      <c r="W262" s="209" t="n"/>
      <c r="X262" s="209" t="n"/>
      <c r="Y262" s="209" t="n"/>
      <c r="Z262" s="209" t="n"/>
      <c r="AA262" s="209" t="n"/>
    </row>
    <row r="263" ht="15.75" customHeight="1" s="230">
      <c r="A263" s="211" t="n"/>
      <c r="B263" s="211" t="n"/>
      <c r="C263" s="211" t="n"/>
      <c r="D263" s="211" t="n"/>
      <c r="E263" s="211" t="n"/>
      <c r="F263" s="213" t="n"/>
      <c r="G263" s="211" t="n"/>
      <c r="H263" s="211" t="n"/>
      <c r="I263" s="211" t="n"/>
      <c r="J263" s="209" t="n"/>
      <c r="K263" s="209" t="n"/>
      <c r="L263" s="209" t="n"/>
      <c r="M263" s="209" t="n"/>
      <c r="N263" s="209" t="n"/>
      <c r="O263" s="209" t="n"/>
      <c r="P263" s="209" t="n"/>
      <c r="Q263" s="209" t="n"/>
      <c r="R263" s="209" t="n"/>
      <c r="S263" s="209" t="n"/>
      <c r="T263" s="209" t="n"/>
      <c r="U263" s="209" t="n"/>
      <c r="V263" s="209" t="n"/>
      <c r="W263" s="209" t="n"/>
      <c r="X263" s="209" t="n"/>
      <c r="Y263" s="209" t="n"/>
      <c r="Z263" s="209" t="n"/>
      <c r="AA263" s="209" t="n"/>
    </row>
    <row r="264" ht="15.75" customHeight="1" s="230">
      <c r="A264" s="211" t="n"/>
      <c r="B264" s="211" t="n"/>
      <c r="C264" s="211" t="n"/>
      <c r="D264" s="211" t="n"/>
      <c r="E264" s="211" t="n"/>
      <c r="F264" s="213" t="n"/>
      <c r="G264" s="211" t="n"/>
      <c r="H264" s="211" t="n"/>
      <c r="I264" s="211" t="n"/>
      <c r="J264" s="209" t="n"/>
      <c r="K264" s="209" t="n"/>
      <c r="L264" s="209" t="n"/>
      <c r="M264" s="209" t="n"/>
      <c r="N264" s="209" t="n"/>
      <c r="O264" s="209" t="n"/>
      <c r="P264" s="209" t="n"/>
      <c r="Q264" s="209" t="n"/>
      <c r="R264" s="209" t="n"/>
      <c r="S264" s="209" t="n"/>
      <c r="T264" s="209" t="n"/>
      <c r="U264" s="209" t="n"/>
      <c r="V264" s="209" t="n"/>
      <c r="W264" s="209" t="n"/>
      <c r="X264" s="209" t="n"/>
      <c r="Y264" s="209" t="n"/>
      <c r="Z264" s="209" t="n"/>
      <c r="AA264" s="209" t="n"/>
    </row>
    <row r="265" ht="15.75" customHeight="1" s="230">
      <c r="A265" s="211" t="n"/>
      <c r="B265" s="211" t="n"/>
      <c r="C265" s="211" t="n"/>
      <c r="D265" s="211" t="n"/>
      <c r="E265" s="211" t="n"/>
      <c r="F265" s="213" t="n"/>
      <c r="G265" s="211" t="n"/>
      <c r="H265" s="211" t="n"/>
      <c r="I265" s="211" t="n"/>
      <c r="J265" s="209" t="n"/>
      <c r="K265" s="209" t="n"/>
      <c r="L265" s="209" t="n"/>
      <c r="M265" s="209" t="n"/>
      <c r="N265" s="209" t="n"/>
      <c r="O265" s="209" t="n"/>
      <c r="P265" s="209" t="n"/>
      <c r="Q265" s="209" t="n"/>
      <c r="R265" s="209" t="n"/>
      <c r="S265" s="209" t="n"/>
      <c r="T265" s="209" t="n"/>
      <c r="U265" s="209" t="n"/>
      <c r="V265" s="209" t="n"/>
      <c r="W265" s="209" t="n"/>
      <c r="X265" s="209" t="n"/>
      <c r="Y265" s="209" t="n"/>
      <c r="Z265" s="209" t="n"/>
      <c r="AA265" s="209" t="n"/>
    </row>
    <row r="266" ht="15.75" customHeight="1" s="230">
      <c r="A266" s="211" t="n"/>
      <c r="B266" s="211" t="n"/>
      <c r="C266" s="211" t="n"/>
      <c r="D266" s="211" t="n"/>
      <c r="E266" s="211" t="n"/>
      <c r="F266" s="213" t="n"/>
      <c r="G266" s="211" t="n"/>
      <c r="H266" s="211" t="n"/>
      <c r="I266" s="211" t="n"/>
      <c r="J266" s="209" t="n"/>
      <c r="K266" s="209" t="n"/>
      <c r="L266" s="209" t="n"/>
      <c r="M266" s="209" t="n"/>
      <c r="N266" s="209" t="n"/>
      <c r="O266" s="209" t="n"/>
      <c r="P266" s="209" t="n"/>
      <c r="Q266" s="209" t="n"/>
      <c r="R266" s="209" t="n"/>
      <c r="S266" s="209" t="n"/>
      <c r="T266" s="209" t="n"/>
      <c r="U266" s="209" t="n"/>
      <c r="V266" s="209" t="n"/>
      <c r="W266" s="209" t="n"/>
      <c r="X266" s="209" t="n"/>
      <c r="Y266" s="209" t="n"/>
      <c r="Z266" s="209" t="n"/>
      <c r="AA266" s="209" t="n"/>
    </row>
    <row r="267" ht="15.75" customHeight="1" s="230">
      <c r="A267" s="211" t="n"/>
      <c r="B267" s="211" t="n"/>
      <c r="C267" s="211" t="n"/>
      <c r="D267" s="211" t="n"/>
      <c r="E267" s="211" t="n"/>
      <c r="F267" s="213" t="n"/>
      <c r="G267" s="211" t="n"/>
      <c r="H267" s="211" t="n"/>
      <c r="I267" s="211" t="n"/>
      <c r="J267" s="209" t="n"/>
      <c r="K267" s="209" t="n"/>
      <c r="L267" s="209" t="n"/>
      <c r="M267" s="209" t="n"/>
      <c r="N267" s="209" t="n"/>
      <c r="O267" s="209" t="n"/>
      <c r="P267" s="209" t="n"/>
      <c r="Q267" s="209" t="n"/>
      <c r="R267" s="209" t="n"/>
      <c r="S267" s="209" t="n"/>
      <c r="T267" s="209" t="n"/>
      <c r="U267" s="209" t="n"/>
      <c r="V267" s="209" t="n"/>
      <c r="W267" s="209" t="n"/>
      <c r="X267" s="209" t="n"/>
      <c r="Y267" s="209" t="n"/>
      <c r="Z267" s="209" t="n"/>
      <c r="AA267" s="209" t="n"/>
    </row>
    <row r="268" ht="15.75" customHeight="1" s="230">
      <c r="A268" s="211" t="n"/>
      <c r="B268" s="211" t="n"/>
      <c r="C268" s="211" t="n"/>
      <c r="D268" s="211" t="n"/>
      <c r="E268" s="211" t="n"/>
      <c r="F268" s="213" t="n"/>
      <c r="G268" s="211" t="n"/>
      <c r="H268" s="211" t="n"/>
      <c r="I268" s="211" t="n"/>
      <c r="J268" s="209" t="n"/>
      <c r="K268" s="209" t="n"/>
      <c r="L268" s="209" t="n"/>
      <c r="M268" s="209" t="n"/>
      <c r="N268" s="209" t="n"/>
      <c r="O268" s="209" t="n"/>
      <c r="P268" s="209" t="n"/>
      <c r="Q268" s="209" t="n"/>
      <c r="R268" s="209" t="n"/>
      <c r="S268" s="209" t="n"/>
      <c r="T268" s="209" t="n"/>
      <c r="U268" s="209" t="n"/>
      <c r="V268" s="209" t="n"/>
      <c r="W268" s="209" t="n"/>
      <c r="X268" s="209" t="n"/>
      <c r="Y268" s="209" t="n"/>
      <c r="Z268" s="209" t="n"/>
      <c r="AA268" s="209" t="n"/>
    </row>
    <row r="269" ht="15.75" customHeight="1" s="230">
      <c r="A269" s="211" t="n"/>
      <c r="B269" s="211" t="n"/>
      <c r="C269" s="211" t="n"/>
      <c r="D269" s="211" t="n"/>
      <c r="E269" s="211" t="n"/>
      <c r="F269" s="213" t="n"/>
      <c r="G269" s="211" t="n"/>
      <c r="H269" s="211" t="n"/>
      <c r="I269" s="211" t="n"/>
      <c r="J269" s="209" t="n"/>
      <c r="K269" s="209" t="n"/>
      <c r="L269" s="209" t="n"/>
      <c r="M269" s="209" t="n"/>
      <c r="N269" s="209" t="n"/>
      <c r="O269" s="209" t="n"/>
      <c r="P269" s="209" t="n"/>
      <c r="Q269" s="209" t="n"/>
      <c r="R269" s="209" t="n"/>
      <c r="S269" s="209" t="n"/>
      <c r="T269" s="209" t="n"/>
      <c r="U269" s="209" t="n"/>
      <c r="V269" s="209" t="n"/>
      <c r="W269" s="209" t="n"/>
      <c r="X269" s="209" t="n"/>
      <c r="Y269" s="209" t="n"/>
      <c r="Z269" s="209" t="n"/>
      <c r="AA269" s="209" t="n"/>
    </row>
    <row r="270" ht="15.75" customHeight="1" s="230">
      <c r="A270" s="211" t="n"/>
      <c r="B270" s="211" t="n"/>
      <c r="C270" s="211" t="n"/>
      <c r="D270" s="211" t="n"/>
      <c r="E270" s="211" t="n"/>
      <c r="F270" s="213" t="n"/>
      <c r="G270" s="211" t="n"/>
      <c r="H270" s="211" t="n"/>
      <c r="I270" s="211" t="n"/>
      <c r="J270" s="209" t="n"/>
      <c r="K270" s="209" t="n"/>
      <c r="L270" s="209" t="n"/>
      <c r="M270" s="209" t="n"/>
      <c r="N270" s="209" t="n"/>
      <c r="O270" s="209" t="n"/>
      <c r="P270" s="209" t="n"/>
      <c r="Q270" s="209" t="n"/>
      <c r="R270" s="209" t="n"/>
      <c r="S270" s="209" t="n"/>
      <c r="T270" s="209" t="n"/>
      <c r="U270" s="209" t="n"/>
      <c r="V270" s="209" t="n"/>
      <c r="W270" s="209" t="n"/>
      <c r="X270" s="209" t="n"/>
      <c r="Y270" s="209" t="n"/>
      <c r="Z270" s="209" t="n"/>
      <c r="AA270" s="209" t="n"/>
    </row>
    <row r="271" ht="15.75" customHeight="1" s="230">
      <c r="A271" s="211" t="n"/>
      <c r="B271" s="211" t="n"/>
      <c r="C271" s="211" t="n"/>
      <c r="D271" s="211" t="n"/>
      <c r="E271" s="211" t="n"/>
      <c r="F271" s="213" t="n"/>
      <c r="G271" s="211" t="n"/>
      <c r="H271" s="211" t="n"/>
      <c r="I271" s="211" t="n"/>
      <c r="J271" s="209" t="n"/>
      <c r="K271" s="209" t="n"/>
      <c r="L271" s="209" t="n"/>
      <c r="M271" s="209" t="n"/>
      <c r="N271" s="209" t="n"/>
      <c r="O271" s="209" t="n"/>
      <c r="P271" s="209" t="n"/>
      <c r="Q271" s="209" t="n"/>
      <c r="R271" s="209" t="n"/>
      <c r="S271" s="209" t="n"/>
      <c r="T271" s="209" t="n"/>
      <c r="U271" s="209" t="n"/>
      <c r="V271" s="209" t="n"/>
      <c r="W271" s="209" t="n"/>
      <c r="X271" s="209" t="n"/>
      <c r="Y271" s="209" t="n"/>
      <c r="Z271" s="209" t="n"/>
      <c r="AA271" s="209" t="n"/>
    </row>
    <row r="272" ht="15.75" customHeight="1" s="230">
      <c r="A272" s="211" t="n"/>
      <c r="B272" s="211" t="n"/>
      <c r="C272" s="211" t="n"/>
      <c r="D272" s="211" t="n"/>
      <c r="E272" s="211" t="n"/>
      <c r="F272" s="213" t="n"/>
      <c r="G272" s="211" t="n"/>
      <c r="H272" s="211" t="n"/>
      <c r="I272" s="211" t="n"/>
      <c r="J272" s="209" t="n"/>
      <c r="K272" s="209" t="n"/>
      <c r="L272" s="209" t="n"/>
      <c r="M272" s="209" t="n"/>
      <c r="N272" s="209" t="n"/>
      <c r="O272" s="209" t="n"/>
      <c r="P272" s="209" t="n"/>
      <c r="Q272" s="209" t="n"/>
      <c r="R272" s="209" t="n"/>
      <c r="S272" s="209" t="n"/>
      <c r="T272" s="209" t="n"/>
      <c r="U272" s="209" t="n"/>
      <c r="V272" s="209" t="n"/>
      <c r="W272" s="209" t="n"/>
      <c r="X272" s="209" t="n"/>
      <c r="Y272" s="209" t="n"/>
      <c r="Z272" s="209" t="n"/>
      <c r="AA272" s="209" t="n"/>
    </row>
    <row r="273" ht="15.75" customHeight="1" s="230">
      <c r="A273" s="211" t="n"/>
      <c r="B273" s="211" t="n"/>
      <c r="C273" s="211" t="n"/>
      <c r="D273" s="211" t="n"/>
      <c r="E273" s="211" t="n"/>
      <c r="F273" s="213" t="n"/>
      <c r="G273" s="211" t="n"/>
      <c r="H273" s="211" t="n"/>
      <c r="I273" s="211" t="n"/>
      <c r="J273" s="209" t="n"/>
      <c r="K273" s="209" t="n"/>
      <c r="L273" s="209" t="n"/>
      <c r="M273" s="209" t="n"/>
      <c r="N273" s="209" t="n"/>
      <c r="O273" s="209" t="n"/>
      <c r="P273" s="209" t="n"/>
      <c r="Q273" s="209" t="n"/>
      <c r="R273" s="209" t="n"/>
      <c r="S273" s="209" t="n"/>
      <c r="T273" s="209" t="n"/>
      <c r="U273" s="209" t="n"/>
      <c r="V273" s="209" t="n"/>
      <c r="W273" s="209" t="n"/>
      <c r="X273" s="209" t="n"/>
      <c r="Y273" s="209" t="n"/>
      <c r="Z273" s="209" t="n"/>
      <c r="AA273" s="209" t="n"/>
    </row>
    <row r="274" ht="15.75" customHeight="1" s="230">
      <c r="A274" s="211" t="n"/>
      <c r="B274" s="211" t="n"/>
      <c r="C274" s="211" t="n"/>
      <c r="D274" s="211" t="n"/>
      <c r="E274" s="211" t="n"/>
      <c r="F274" s="213" t="n"/>
      <c r="G274" s="211" t="n"/>
      <c r="H274" s="211" t="n"/>
      <c r="I274" s="211" t="n"/>
      <c r="J274" s="209" t="n"/>
      <c r="K274" s="209" t="n"/>
      <c r="L274" s="209" t="n"/>
      <c r="M274" s="209" t="n"/>
      <c r="N274" s="209" t="n"/>
      <c r="O274" s="209" t="n"/>
      <c r="P274" s="209" t="n"/>
      <c r="Q274" s="209" t="n"/>
      <c r="R274" s="209" t="n"/>
      <c r="S274" s="209" t="n"/>
      <c r="T274" s="209" t="n"/>
      <c r="U274" s="209" t="n"/>
      <c r="V274" s="209" t="n"/>
      <c r="W274" s="209" t="n"/>
      <c r="X274" s="209" t="n"/>
      <c r="Y274" s="209" t="n"/>
      <c r="Z274" s="209" t="n"/>
      <c r="AA274" s="209" t="n"/>
    </row>
    <row r="275" ht="15.75" customHeight="1" s="230">
      <c r="A275" s="211" t="n"/>
      <c r="B275" s="211" t="n"/>
      <c r="C275" s="211" t="n"/>
      <c r="D275" s="211" t="n"/>
      <c r="E275" s="211" t="n"/>
      <c r="F275" s="213" t="n"/>
      <c r="G275" s="211" t="n"/>
      <c r="H275" s="211" t="n"/>
      <c r="I275" s="211" t="n"/>
      <c r="J275" s="209" t="n"/>
      <c r="K275" s="209" t="n"/>
      <c r="L275" s="209" t="n"/>
      <c r="M275" s="209" t="n"/>
      <c r="N275" s="209" t="n"/>
      <c r="O275" s="209" t="n"/>
      <c r="P275" s="209" t="n"/>
      <c r="Q275" s="209" t="n"/>
      <c r="R275" s="209" t="n"/>
      <c r="S275" s="209" t="n"/>
      <c r="T275" s="209" t="n"/>
      <c r="U275" s="209" t="n"/>
      <c r="V275" s="209" t="n"/>
      <c r="W275" s="209" t="n"/>
      <c r="X275" s="209" t="n"/>
      <c r="Y275" s="209" t="n"/>
      <c r="Z275" s="209" t="n"/>
      <c r="AA275" s="209" t="n"/>
    </row>
    <row r="276" ht="15.75" customHeight="1" s="230">
      <c r="A276" s="211" t="n"/>
      <c r="B276" s="211" t="n"/>
      <c r="C276" s="211" t="n"/>
      <c r="D276" s="211" t="n"/>
      <c r="E276" s="211" t="n"/>
      <c r="F276" s="213" t="n"/>
      <c r="G276" s="211" t="n"/>
      <c r="H276" s="211" t="n"/>
      <c r="I276" s="211" t="n"/>
      <c r="J276" s="209" t="n"/>
      <c r="K276" s="209" t="n"/>
      <c r="L276" s="209" t="n"/>
      <c r="M276" s="209" t="n"/>
      <c r="N276" s="209" t="n"/>
      <c r="O276" s="209" t="n"/>
      <c r="P276" s="209" t="n"/>
      <c r="Q276" s="209" t="n"/>
      <c r="R276" s="209" t="n"/>
      <c r="S276" s="209" t="n"/>
      <c r="T276" s="209" t="n"/>
      <c r="U276" s="209" t="n"/>
      <c r="V276" s="209" t="n"/>
      <c r="W276" s="209" t="n"/>
      <c r="X276" s="209" t="n"/>
      <c r="Y276" s="209" t="n"/>
      <c r="Z276" s="209" t="n"/>
      <c r="AA276" s="209" t="n"/>
    </row>
    <row r="277" ht="15.75" customHeight="1" s="230">
      <c r="A277" s="211" t="n"/>
      <c r="B277" s="211" t="n"/>
      <c r="C277" s="211" t="n"/>
      <c r="D277" s="211" t="n"/>
      <c r="E277" s="211" t="n"/>
      <c r="F277" s="213" t="n"/>
      <c r="G277" s="211" t="n"/>
      <c r="H277" s="211" t="n"/>
      <c r="I277" s="211" t="n"/>
      <c r="J277" s="209" t="n"/>
      <c r="K277" s="209" t="n"/>
      <c r="L277" s="209" t="n"/>
      <c r="M277" s="209" t="n"/>
      <c r="N277" s="209" t="n"/>
      <c r="O277" s="209" t="n"/>
      <c r="P277" s="209" t="n"/>
      <c r="Q277" s="209" t="n"/>
      <c r="R277" s="209" t="n"/>
      <c r="S277" s="209" t="n"/>
      <c r="T277" s="209" t="n"/>
      <c r="U277" s="209" t="n"/>
      <c r="V277" s="209" t="n"/>
      <c r="W277" s="209" t="n"/>
      <c r="X277" s="209" t="n"/>
      <c r="Y277" s="209" t="n"/>
      <c r="Z277" s="209" t="n"/>
      <c r="AA277" s="209" t="n"/>
    </row>
    <row r="278" ht="15.75" customHeight="1" s="230">
      <c r="A278" s="211" t="n"/>
      <c r="B278" s="211" t="n"/>
      <c r="C278" s="211" t="n"/>
      <c r="D278" s="211" t="n"/>
      <c r="E278" s="211" t="n"/>
      <c r="F278" s="213" t="n"/>
      <c r="G278" s="211" t="n"/>
      <c r="H278" s="211" t="n"/>
      <c r="I278" s="211" t="n"/>
      <c r="J278" s="209" t="n"/>
      <c r="K278" s="209" t="n"/>
      <c r="L278" s="209" t="n"/>
      <c r="M278" s="209" t="n"/>
      <c r="N278" s="209" t="n"/>
      <c r="O278" s="209" t="n"/>
      <c r="P278" s="209" t="n"/>
      <c r="Q278" s="209" t="n"/>
      <c r="R278" s="209" t="n"/>
      <c r="S278" s="209" t="n"/>
      <c r="T278" s="209" t="n"/>
      <c r="U278" s="209" t="n"/>
      <c r="V278" s="209" t="n"/>
      <c r="W278" s="209" t="n"/>
      <c r="X278" s="209" t="n"/>
      <c r="Y278" s="209" t="n"/>
      <c r="Z278" s="209" t="n"/>
      <c r="AA278" s="209" t="n"/>
    </row>
    <row r="279" ht="15.75" customHeight="1" s="230">
      <c r="A279" s="211" t="n"/>
      <c r="B279" s="211" t="n"/>
      <c r="C279" s="211" t="n"/>
      <c r="D279" s="211" t="n"/>
      <c r="E279" s="211" t="n"/>
      <c r="F279" s="213" t="n"/>
      <c r="G279" s="211" t="n"/>
      <c r="H279" s="211" t="n"/>
      <c r="I279" s="211" t="n"/>
      <c r="J279" s="209" t="n"/>
      <c r="K279" s="209" t="n"/>
      <c r="L279" s="209" t="n"/>
      <c r="M279" s="209" t="n"/>
      <c r="N279" s="209" t="n"/>
      <c r="O279" s="209" t="n"/>
      <c r="P279" s="209" t="n"/>
      <c r="Q279" s="209" t="n"/>
      <c r="R279" s="209" t="n"/>
      <c r="S279" s="209" t="n"/>
      <c r="T279" s="209" t="n"/>
      <c r="U279" s="209" t="n"/>
      <c r="V279" s="209" t="n"/>
      <c r="W279" s="209" t="n"/>
      <c r="X279" s="209" t="n"/>
      <c r="Y279" s="209" t="n"/>
      <c r="Z279" s="209" t="n"/>
      <c r="AA279" s="209" t="n"/>
    </row>
    <row r="280" ht="15.75" customHeight="1" s="230">
      <c r="A280" s="211" t="n"/>
      <c r="B280" s="211" t="n"/>
      <c r="C280" s="211" t="n"/>
      <c r="D280" s="211" t="n"/>
      <c r="E280" s="211" t="n"/>
      <c r="F280" s="213" t="n"/>
      <c r="G280" s="211" t="n"/>
      <c r="H280" s="211" t="n"/>
      <c r="I280" s="211" t="n"/>
      <c r="J280" s="209" t="n"/>
      <c r="K280" s="209" t="n"/>
      <c r="L280" s="209" t="n"/>
      <c r="M280" s="209" t="n"/>
      <c r="N280" s="209" t="n"/>
      <c r="O280" s="209" t="n"/>
      <c r="P280" s="209" t="n"/>
      <c r="Q280" s="209" t="n"/>
      <c r="R280" s="209" t="n"/>
      <c r="S280" s="209" t="n"/>
      <c r="T280" s="209" t="n"/>
      <c r="U280" s="209" t="n"/>
      <c r="V280" s="209" t="n"/>
      <c r="W280" s="209" t="n"/>
      <c r="X280" s="209" t="n"/>
      <c r="Y280" s="209" t="n"/>
      <c r="Z280" s="209" t="n"/>
      <c r="AA280" s="209" t="n"/>
    </row>
    <row r="281" ht="15.75" customHeight="1" s="230">
      <c r="A281" s="211" t="n"/>
      <c r="B281" s="211" t="n"/>
      <c r="C281" s="211" t="n"/>
      <c r="D281" s="211" t="n"/>
      <c r="E281" s="211" t="n"/>
      <c r="F281" s="213" t="n"/>
      <c r="G281" s="211" t="n"/>
      <c r="H281" s="211" t="n"/>
      <c r="I281" s="211" t="n"/>
      <c r="J281" s="209" t="n"/>
      <c r="K281" s="209" t="n"/>
      <c r="L281" s="209" t="n"/>
      <c r="M281" s="209" t="n"/>
      <c r="N281" s="209" t="n"/>
      <c r="O281" s="209" t="n"/>
      <c r="P281" s="209" t="n"/>
      <c r="Q281" s="209" t="n"/>
      <c r="R281" s="209" t="n"/>
      <c r="S281" s="209" t="n"/>
      <c r="T281" s="209" t="n"/>
      <c r="U281" s="209" t="n"/>
      <c r="V281" s="209" t="n"/>
      <c r="W281" s="209" t="n"/>
      <c r="X281" s="209" t="n"/>
      <c r="Y281" s="209" t="n"/>
      <c r="Z281" s="209" t="n"/>
      <c r="AA281" s="209" t="n"/>
    </row>
    <row r="282" ht="15.75" customHeight="1" s="230">
      <c r="A282" s="211" t="n"/>
      <c r="B282" s="211" t="n"/>
      <c r="C282" s="211" t="n"/>
      <c r="D282" s="211" t="n"/>
      <c r="E282" s="211" t="n"/>
      <c r="F282" s="213" t="n"/>
      <c r="G282" s="211" t="n"/>
      <c r="H282" s="211" t="n"/>
      <c r="I282" s="211" t="n"/>
      <c r="J282" s="209" t="n"/>
      <c r="K282" s="209" t="n"/>
      <c r="L282" s="209" t="n"/>
      <c r="M282" s="209" t="n"/>
      <c r="N282" s="209" t="n"/>
      <c r="O282" s="209" t="n"/>
      <c r="P282" s="209" t="n"/>
      <c r="Q282" s="209" t="n"/>
      <c r="R282" s="209" t="n"/>
      <c r="S282" s="209" t="n"/>
      <c r="T282" s="209" t="n"/>
      <c r="U282" s="209" t="n"/>
      <c r="V282" s="209" t="n"/>
      <c r="W282" s="209" t="n"/>
      <c r="X282" s="209" t="n"/>
      <c r="Y282" s="209" t="n"/>
      <c r="Z282" s="209" t="n"/>
      <c r="AA282" s="209" t="n"/>
    </row>
    <row r="283" ht="15.75" customHeight="1" s="230">
      <c r="A283" s="211" t="n"/>
      <c r="B283" s="211" t="n"/>
      <c r="C283" s="211" t="n"/>
      <c r="D283" s="211" t="n"/>
      <c r="E283" s="211" t="n"/>
      <c r="F283" s="213" t="n"/>
      <c r="G283" s="211" t="n"/>
      <c r="H283" s="211" t="n"/>
      <c r="I283" s="211" t="n"/>
      <c r="J283" s="209" t="n"/>
      <c r="K283" s="209" t="n"/>
      <c r="L283" s="209" t="n"/>
      <c r="M283" s="209" t="n"/>
      <c r="N283" s="209" t="n"/>
      <c r="O283" s="209" t="n"/>
      <c r="P283" s="209" t="n"/>
      <c r="Q283" s="209" t="n"/>
      <c r="R283" s="209" t="n"/>
      <c r="S283" s="209" t="n"/>
      <c r="T283" s="209" t="n"/>
      <c r="U283" s="209" t="n"/>
      <c r="V283" s="209" t="n"/>
      <c r="W283" s="209" t="n"/>
      <c r="X283" s="209" t="n"/>
      <c r="Y283" s="209" t="n"/>
      <c r="Z283" s="209" t="n"/>
      <c r="AA283" s="209" t="n"/>
    </row>
    <row r="284" ht="15.75" customHeight="1" s="230">
      <c r="A284" s="211" t="n"/>
      <c r="B284" s="211" t="n"/>
      <c r="C284" s="211" t="n"/>
      <c r="D284" s="211" t="n"/>
      <c r="E284" s="211" t="n"/>
      <c r="F284" s="213" t="n"/>
      <c r="G284" s="211" t="n"/>
      <c r="H284" s="211" t="n"/>
      <c r="I284" s="211" t="n"/>
      <c r="J284" s="209" t="n"/>
      <c r="K284" s="209" t="n"/>
      <c r="L284" s="209" t="n"/>
      <c r="M284" s="209" t="n"/>
      <c r="N284" s="209" t="n"/>
      <c r="O284" s="209" t="n"/>
      <c r="P284" s="209" t="n"/>
      <c r="Q284" s="209" t="n"/>
      <c r="R284" s="209" t="n"/>
      <c r="S284" s="209" t="n"/>
      <c r="T284" s="209" t="n"/>
      <c r="U284" s="209" t="n"/>
      <c r="V284" s="209" t="n"/>
      <c r="W284" s="209" t="n"/>
      <c r="X284" s="209" t="n"/>
      <c r="Y284" s="209" t="n"/>
      <c r="Z284" s="209" t="n"/>
      <c r="AA284" s="209" t="n"/>
    </row>
    <row r="285" ht="15.75" customHeight="1" s="230">
      <c r="A285" s="211" t="n"/>
      <c r="B285" s="211" t="n"/>
      <c r="C285" s="211" t="n"/>
      <c r="D285" s="211" t="n"/>
      <c r="E285" s="211" t="n"/>
      <c r="F285" s="213" t="n"/>
      <c r="G285" s="211" t="n"/>
      <c r="H285" s="211" t="n"/>
      <c r="I285" s="211" t="n"/>
      <c r="J285" s="209" t="n"/>
      <c r="K285" s="209" t="n"/>
      <c r="L285" s="209" t="n"/>
      <c r="M285" s="209" t="n"/>
      <c r="N285" s="209" t="n"/>
      <c r="O285" s="209" t="n"/>
      <c r="P285" s="209" t="n"/>
      <c r="Q285" s="209" t="n"/>
      <c r="R285" s="209" t="n"/>
      <c r="S285" s="209" t="n"/>
      <c r="T285" s="209" t="n"/>
      <c r="U285" s="209" t="n"/>
      <c r="V285" s="209" t="n"/>
      <c r="W285" s="209" t="n"/>
      <c r="X285" s="209" t="n"/>
      <c r="Y285" s="209" t="n"/>
      <c r="Z285" s="209" t="n"/>
      <c r="AA285" s="209" t="n"/>
    </row>
    <row r="286" ht="15.75" customHeight="1" s="230">
      <c r="A286" s="211" t="n"/>
      <c r="B286" s="211" t="n"/>
      <c r="C286" s="211" t="n"/>
      <c r="D286" s="211" t="n"/>
      <c r="E286" s="211" t="n"/>
      <c r="F286" s="213" t="n"/>
      <c r="G286" s="211" t="n"/>
      <c r="H286" s="211" t="n"/>
      <c r="I286" s="211" t="n"/>
      <c r="J286" s="209" t="n"/>
      <c r="K286" s="209" t="n"/>
      <c r="L286" s="209" t="n"/>
      <c r="M286" s="209" t="n"/>
      <c r="N286" s="209" t="n"/>
      <c r="O286" s="209" t="n"/>
      <c r="P286" s="209" t="n"/>
      <c r="Q286" s="209" t="n"/>
      <c r="R286" s="209" t="n"/>
      <c r="S286" s="209" t="n"/>
      <c r="T286" s="209" t="n"/>
      <c r="U286" s="209" t="n"/>
      <c r="V286" s="209" t="n"/>
      <c r="W286" s="209" t="n"/>
      <c r="X286" s="209" t="n"/>
      <c r="Y286" s="209" t="n"/>
      <c r="Z286" s="209" t="n"/>
      <c r="AA286" s="209" t="n"/>
    </row>
    <row r="287" ht="15.75" customHeight="1" s="230">
      <c r="A287" s="211" t="n"/>
      <c r="B287" s="211" t="n"/>
      <c r="C287" s="211" t="n"/>
      <c r="D287" s="211" t="n"/>
      <c r="E287" s="211" t="n"/>
      <c r="F287" s="213" t="n"/>
      <c r="G287" s="211" t="n"/>
      <c r="H287" s="211" t="n"/>
      <c r="I287" s="211" t="n"/>
      <c r="J287" s="209" t="n"/>
      <c r="K287" s="209" t="n"/>
      <c r="L287" s="209" t="n"/>
      <c r="M287" s="209" t="n"/>
      <c r="N287" s="209" t="n"/>
      <c r="O287" s="209" t="n"/>
      <c r="P287" s="209" t="n"/>
      <c r="Q287" s="209" t="n"/>
      <c r="R287" s="209" t="n"/>
      <c r="S287" s="209" t="n"/>
      <c r="T287" s="209" t="n"/>
      <c r="U287" s="209" t="n"/>
      <c r="V287" s="209" t="n"/>
      <c r="W287" s="209" t="n"/>
      <c r="X287" s="209" t="n"/>
      <c r="Y287" s="209" t="n"/>
      <c r="Z287" s="209" t="n"/>
      <c r="AA287" s="209" t="n"/>
    </row>
    <row r="288" ht="15.75" customHeight="1" s="230">
      <c r="A288" s="211" t="n"/>
      <c r="B288" s="211" t="n"/>
      <c r="C288" s="211" t="n"/>
      <c r="D288" s="211" t="n"/>
      <c r="E288" s="211" t="n"/>
      <c r="F288" s="213" t="n"/>
      <c r="G288" s="211" t="n"/>
      <c r="H288" s="211" t="n"/>
      <c r="I288" s="211" t="n"/>
      <c r="J288" s="209" t="n"/>
      <c r="K288" s="209" t="n"/>
      <c r="L288" s="209" t="n"/>
      <c r="M288" s="209" t="n"/>
      <c r="N288" s="209" t="n"/>
      <c r="O288" s="209" t="n"/>
      <c r="P288" s="209" t="n"/>
      <c r="Q288" s="209" t="n"/>
      <c r="R288" s="209" t="n"/>
      <c r="S288" s="209" t="n"/>
      <c r="T288" s="209" t="n"/>
      <c r="U288" s="209" t="n"/>
      <c r="V288" s="209" t="n"/>
      <c r="W288" s="209" t="n"/>
      <c r="X288" s="209" t="n"/>
      <c r="Y288" s="209" t="n"/>
      <c r="Z288" s="209" t="n"/>
      <c r="AA288" s="209" t="n"/>
    </row>
    <row r="289" ht="15.75" customHeight="1" s="230">
      <c r="A289" s="211" t="n"/>
      <c r="B289" s="211" t="n"/>
      <c r="C289" s="211" t="n"/>
      <c r="D289" s="211" t="n"/>
      <c r="E289" s="211" t="n"/>
      <c r="F289" s="213" t="n"/>
      <c r="G289" s="211" t="n"/>
      <c r="H289" s="211" t="n"/>
      <c r="I289" s="211" t="n"/>
      <c r="J289" s="209" t="n"/>
      <c r="K289" s="209" t="n"/>
      <c r="L289" s="209" t="n"/>
      <c r="M289" s="209" t="n"/>
      <c r="N289" s="209" t="n"/>
      <c r="O289" s="209" t="n"/>
      <c r="P289" s="209" t="n"/>
      <c r="Q289" s="209" t="n"/>
      <c r="R289" s="209" t="n"/>
      <c r="S289" s="209" t="n"/>
      <c r="T289" s="209" t="n"/>
      <c r="U289" s="209" t="n"/>
      <c r="V289" s="209" t="n"/>
      <c r="W289" s="209" t="n"/>
      <c r="X289" s="209" t="n"/>
      <c r="Y289" s="209" t="n"/>
      <c r="Z289" s="209" t="n"/>
      <c r="AA289" s="209" t="n"/>
    </row>
    <row r="290" ht="15.75" customHeight="1" s="230">
      <c r="A290" s="211" t="n"/>
      <c r="B290" s="211" t="n"/>
      <c r="C290" s="211" t="n"/>
      <c r="D290" s="211" t="n"/>
      <c r="E290" s="211" t="n"/>
      <c r="F290" s="213" t="n"/>
      <c r="G290" s="211" t="n"/>
      <c r="H290" s="211" t="n"/>
      <c r="I290" s="211" t="n"/>
      <c r="J290" s="209" t="n"/>
      <c r="K290" s="209" t="n"/>
      <c r="L290" s="209" t="n"/>
      <c r="M290" s="209" t="n"/>
      <c r="N290" s="209" t="n"/>
      <c r="O290" s="209" t="n"/>
      <c r="P290" s="209" t="n"/>
      <c r="Q290" s="209" t="n"/>
      <c r="R290" s="209" t="n"/>
      <c r="S290" s="209" t="n"/>
      <c r="T290" s="209" t="n"/>
      <c r="U290" s="209" t="n"/>
      <c r="V290" s="209" t="n"/>
      <c r="W290" s="209" t="n"/>
      <c r="X290" s="209" t="n"/>
      <c r="Y290" s="209" t="n"/>
      <c r="Z290" s="209" t="n"/>
      <c r="AA290" s="209" t="n"/>
    </row>
    <row r="291" ht="15.75" customHeight="1" s="230">
      <c r="A291" s="211" t="n"/>
      <c r="B291" s="211" t="n"/>
      <c r="C291" s="211" t="n"/>
      <c r="D291" s="211" t="n"/>
      <c r="E291" s="211" t="n"/>
      <c r="F291" s="213" t="n"/>
      <c r="G291" s="211" t="n"/>
      <c r="H291" s="211" t="n"/>
      <c r="I291" s="211" t="n"/>
      <c r="J291" s="209" t="n"/>
      <c r="K291" s="209" t="n"/>
      <c r="L291" s="209" t="n"/>
      <c r="M291" s="209" t="n"/>
      <c r="N291" s="209" t="n"/>
      <c r="O291" s="209" t="n"/>
      <c r="P291" s="209" t="n"/>
      <c r="Q291" s="209" t="n"/>
      <c r="R291" s="209" t="n"/>
      <c r="S291" s="209" t="n"/>
      <c r="T291" s="209" t="n"/>
      <c r="U291" s="209" t="n"/>
      <c r="V291" s="209" t="n"/>
      <c r="W291" s="209" t="n"/>
      <c r="X291" s="209" t="n"/>
      <c r="Y291" s="209" t="n"/>
      <c r="Z291" s="209" t="n"/>
      <c r="AA291" s="209" t="n"/>
    </row>
    <row r="292" ht="15.75" customHeight="1" s="230">
      <c r="A292" s="211" t="n"/>
      <c r="B292" s="211" t="n"/>
      <c r="C292" s="211" t="n"/>
      <c r="D292" s="211" t="n"/>
      <c r="E292" s="211" t="n"/>
      <c r="F292" s="213" t="n"/>
      <c r="G292" s="211" t="n"/>
      <c r="H292" s="211" t="n"/>
      <c r="I292" s="211" t="n"/>
      <c r="J292" s="209" t="n"/>
      <c r="K292" s="209" t="n"/>
      <c r="L292" s="209" t="n"/>
      <c r="M292" s="209" t="n"/>
      <c r="N292" s="209" t="n"/>
      <c r="O292" s="209" t="n"/>
      <c r="P292" s="209" t="n"/>
      <c r="Q292" s="209" t="n"/>
      <c r="R292" s="209" t="n"/>
      <c r="S292" s="209" t="n"/>
      <c r="T292" s="209" t="n"/>
      <c r="U292" s="209" t="n"/>
      <c r="V292" s="209" t="n"/>
      <c r="W292" s="209" t="n"/>
      <c r="X292" s="209" t="n"/>
      <c r="Y292" s="209" t="n"/>
      <c r="Z292" s="209" t="n"/>
      <c r="AA292" s="209" t="n"/>
    </row>
    <row r="293" ht="15.75" customHeight="1" s="230">
      <c r="A293" s="211" t="n"/>
      <c r="B293" s="211" t="n"/>
      <c r="C293" s="211" t="n"/>
      <c r="D293" s="211" t="n"/>
      <c r="E293" s="211" t="n"/>
      <c r="F293" s="213" t="n"/>
      <c r="G293" s="211" t="n"/>
      <c r="H293" s="211" t="n"/>
      <c r="I293" s="211" t="n"/>
      <c r="J293" s="209" t="n"/>
      <c r="K293" s="209" t="n"/>
      <c r="L293" s="209" t="n"/>
      <c r="M293" s="209" t="n"/>
      <c r="N293" s="209" t="n"/>
      <c r="O293" s="209" t="n"/>
      <c r="P293" s="209" t="n"/>
      <c r="Q293" s="209" t="n"/>
      <c r="R293" s="209" t="n"/>
      <c r="S293" s="209" t="n"/>
      <c r="T293" s="209" t="n"/>
      <c r="U293" s="209" t="n"/>
      <c r="V293" s="209" t="n"/>
      <c r="W293" s="209" t="n"/>
      <c r="X293" s="209" t="n"/>
      <c r="Y293" s="209" t="n"/>
      <c r="Z293" s="209" t="n"/>
      <c r="AA293" s="209" t="n"/>
    </row>
    <row r="294" ht="15.75" customHeight="1" s="230">
      <c r="A294" s="211" t="n"/>
      <c r="B294" s="211" t="n"/>
      <c r="C294" s="211" t="n"/>
      <c r="D294" s="211" t="n"/>
      <c r="E294" s="211" t="n"/>
      <c r="F294" s="213" t="n"/>
      <c r="G294" s="211" t="n"/>
      <c r="H294" s="211" t="n"/>
      <c r="I294" s="211" t="n"/>
      <c r="J294" s="209" t="n"/>
      <c r="K294" s="209" t="n"/>
      <c r="L294" s="209" t="n"/>
      <c r="M294" s="209" t="n"/>
      <c r="N294" s="209" t="n"/>
      <c r="O294" s="209" t="n"/>
      <c r="P294" s="209" t="n"/>
      <c r="Q294" s="209" t="n"/>
      <c r="R294" s="209" t="n"/>
      <c r="S294" s="209" t="n"/>
      <c r="T294" s="209" t="n"/>
      <c r="U294" s="209" t="n"/>
      <c r="V294" s="209" t="n"/>
      <c r="W294" s="209" t="n"/>
      <c r="X294" s="209" t="n"/>
      <c r="Y294" s="209" t="n"/>
      <c r="Z294" s="209" t="n"/>
      <c r="AA294" s="209" t="n"/>
    </row>
    <row r="295" ht="15.75" customHeight="1" s="230">
      <c r="A295" s="211" t="n"/>
      <c r="B295" s="211" t="n"/>
      <c r="C295" s="211" t="n"/>
      <c r="D295" s="211" t="n"/>
      <c r="E295" s="211" t="n"/>
      <c r="F295" s="213" t="n"/>
      <c r="G295" s="211" t="n"/>
      <c r="H295" s="211" t="n"/>
      <c r="I295" s="211" t="n"/>
      <c r="J295" s="209" t="n"/>
      <c r="K295" s="209" t="n"/>
      <c r="L295" s="209" t="n"/>
      <c r="M295" s="209" t="n"/>
      <c r="N295" s="209" t="n"/>
      <c r="O295" s="209" t="n"/>
      <c r="P295" s="209" t="n"/>
      <c r="Q295" s="209" t="n"/>
      <c r="R295" s="209" t="n"/>
      <c r="S295" s="209" t="n"/>
      <c r="T295" s="209" t="n"/>
      <c r="U295" s="209" t="n"/>
      <c r="V295" s="209" t="n"/>
      <c r="W295" s="209" t="n"/>
      <c r="X295" s="209" t="n"/>
      <c r="Y295" s="209" t="n"/>
      <c r="Z295" s="209" t="n"/>
      <c r="AA295" s="209" t="n"/>
    </row>
    <row r="296" ht="15.75" customHeight="1" s="230">
      <c r="A296" s="211" t="n"/>
      <c r="B296" s="211" t="n"/>
      <c r="C296" s="211" t="n"/>
      <c r="D296" s="211" t="n"/>
      <c r="E296" s="211" t="n"/>
      <c r="F296" s="213" t="n"/>
      <c r="G296" s="211" t="n"/>
      <c r="H296" s="211" t="n"/>
      <c r="I296" s="211" t="n"/>
      <c r="J296" s="209" t="n"/>
      <c r="K296" s="209" t="n"/>
      <c r="L296" s="209" t="n"/>
      <c r="M296" s="209" t="n"/>
      <c r="N296" s="209" t="n"/>
      <c r="O296" s="209" t="n"/>
      <c r="P296" s="209" t="n"/>
      <c r="Q296" s="209" t="n"/>
      <c r="R296" s="209" t="n"/>
      <c r="S296" s="209" t="n"/>
      <c r="T296" s="209" t="n"/>
      <c r="U296" s="209" t="n"/>
      <c r="V296" s="209" t="n"/>
      <c r="W296" s="209" t="n"/>
      <c r="X296" s="209" t="n"/>
      <c r="Y296" s="209" t="n"/>
      <c r="Z296" s="209" t="n"/>
      <c r="AA296" s="209" t="n"/>
    </row>
    <row r="297" ht="15.75" customHeight="1" s="230">
      <c r="A297" s="211" t="n"/>
      <c r="B297" s="211" t="n"/>
      <c r="C297" s="211" t="n"/>
      <c r="D297" s="211" t="n"/>
      <c r="E297" s="211" t="n"/>
      <c r="F297" s="213" t="n"/>
      <c r="G297" s="211" t="n"/>
      <c r="H297" s="211" t="n"/>
      <c r="I297" s="211" t="n"/>
      <c r="J297" s="209" t="n"/>
      <c r="K297" s="209" t="n"/>
      <c r="L297" s="209" t="n"/>
      <c r="M297" s="209" t="n"/>
      <c r="N297" s="209" t="n"/>
      <c r="O297" s="209" t="n"/>
      <c r="P297" s="209" t="n"/>
      <c r="Q297" s="209" t="n"/>
      <c r="R297" s="209" t="n"/>
      <c r="S297" s="209" t="n"/>
      <c r="T297" s="209" t="n"/>
      <c r="U297" s="209" t="n"/>
      <c r="V297" s="209" t="n"/>
      <c r="W297" s="209" t="n"/>
      <c r="X297" s="209" t="n"/>
      <c r="Y297" s="209" t="n"/>
      <c r="Z297" s="209" t="n"/>
      <c r="AA297" s="209" t="n"/>
    </row>
    <row r="298" ht="15.75" customHeight="1" s="230">
      <c r="A298" s="211" t="n"/>
      <c r="B298" s="211" t="n"/>
      <c r="C298" s="211" t="n"/>
      <c r="D298" s="211" t="n"/>
      <c r="E298" s="211" t="n"/>
      <c r="F298" s="213" t="n"/>
      <c r="G298" s="211" t="n"/>
      <c r="H298" s="211" t="n"/>
      <c r="I298" s="211" t="n"/>
      <c r="J298" s="209" t="n"/>
      <c r="K298" s="209" t="n"/>
      <c r="L298" s="209" t="n"/>
      <c r="M298" s="209" t="n"/>
      <c r="N298" s="209" t="n"/>
      <c r="O298" s="209" t="n"/>
      <c r="P298" s="209" t="n"/>
      <c r="Q298" s="209" t="n"/>
      <c r="R298" s="209" t="n"/>
      <c r="S298" s="209" t="n"/>
      <c r="T298" s="209" t="n"/>
      <c r="U298" s="209" t="n"/>
      <c r="V298" s="209" t="n"/>
      <c r="W298" s="209" t="n"/>
      <c r="X298" s="209" t="n"/>
      <c r="Y298" s="209" t="n"/>
      <c r="Z298" s="209" t="n"/>
      <c r="AA298" s="209" t="n"/>
    </row>
    <row r="299" ht="15.75" customHeight="1" s="230">
      <c r="A299" s="211" t="n"/>
      <c r="B299" s="211" t="n"/>
      <c r="C299" s="211" t="n"/>
      <c r="D299" s="211" t="n"/>
      <c r="E299" s="211" t="n"/>
      <c r="F299" s="213" t="n"/>
      <c r="G299" s="211" t="n"/>
      <c r="H299" s="211" t="n"/>
      <c r="I299" s="211" t="n"/>
      <c r="J299" s="209" t="n"/>
      <c r="K299" s="209" t="n"/>
      <c r="L299" s="209" t="n"/>
      <c r="M299" s="209" t="n"/>
      <c r="N299" s="209" t="n"/>
      <c r="O299" s="209" t="n"/>
      <c r="P299" s="209" t="n"/>
      <c r="Q299" s="209" t="n"/>
      <c r="R299" s="209" t="n"/>
      <c r="S299" s="209" t="n"/>
      <c r="T299" s="209" t="n"/>
      <c r="U299" s="209" t="n"/>
      <c r="V299" s="209" t="n"/>
      <c r="W299" s="209" t="n"/>
      <c r="X299" s="209" t="n"/>
      <c r="Y299" s="209" t="n"/>
      <c r="Z299" s="209" t="n"/>
      <c r="AA299" s="209" t="n"/>
    </row>
    <row r="300" ht="15.75" customHeight="1" s="230">
      <c r="A300" s="211" t="n"/>
      <c r="B300" s="211" t="n"/>
      <c r="C300" s="211" t="n"/>
      <c r="D300" s="211" t="n"/>
      <c r="E300" s="211" t="n"/>
      <c r="F300" s="213" t="n"/>
      <c r="G300" s="211" t="n"/>
      <c r="H300" s="211" t="n"/>
      <c r="I300" s="211" t="n"/>
      <c r="J300" s="209" t="n"/>
      <c r="K300" s="209" t="n"/>
      <c r="L300" s="209" t="n"/>
      <c r="M300" s="209" t="n"/>
      <c r="N300" s="209" t="n"/>
      <c r="O300" s="209" t="n"/>
      <c r="P300" s="209" t="n"/>
      <c r="Q300" s="209" t="n"/>
      <c r="R300" s="209" t="n"/>
      <c r="S300" s="209" t="n"/>
      <c r="T300" s="209" t="n"/>
      <c r="U300" s="209" t="n"/>
      <c r="V300" s="209" t="n"/>
      <c r="W300" s="209" t="n"/>
      <c r="X300" s="209" t="n"/>
      <c r="Y300" s="209" t="n"/>
      <c r="Z300" s="209" t="n"/>
      <c r="AA300" s="209" t="n"/>
    </row>
    <row r="301" ht="15.75" customHeight="1" s="230">
      <c r="A301" s="211" t="n"/>
      <c r="B301" s="211" t="n"/>
      <c r="C301" s="211" t="n"/>
      <c r="D301" s="211" t="n"/>
      <c r="E301" s="211" t="n"/>
      <c r="F301" s="213" t="n"/>
      <c r="G301" s="211" t="n"/>
      <c r="H301" s="211" t="n"/>
      <c r="I301" s="211" t="n"/>
      <c r="J301" s="209" t="n"/>
      <c r="K301" s="209" t="n"/>
      <c r="L301" s="209" t="n"/>
      <c r="M301" s="209" t="n"/>
      <c r="N301" s="209" t="n"/>
      <c r="O301" s="209" t="n"/>
      <c r="P301" s="209" t="n"/>
      <c r="Q301" s="209" t="n"/>
      <c r="R301" s="209" t="n"/>
      <c r="S301" s="209" t="n"/>
      <c r="T301" s="209" t="n"/>
      <c r="U301" s="209" t="n"/>
      <c r="V301" s="209" t="n"/>
      <c r="W301" s="209" t="n"/>
      <c r="X301" s="209" t="n"/>
      <c r="Y301" s="209" t="n"/>
      <c r="Z301" s="209" t="n"/>
      <c r="AA301" s="209" t="n"/>
    </row>
    <row r="302" ht="15.75" customHeight="1" s="230">
      <c r="A302" s="211" t="n"/>
      <c r="B302" s="211" t="n"/>
      <c r="C302" s="211" t="n"/>
      <c r="D302" s="211" t="n"/>
      <c r="E302" s="211" t="n"/>
      <c r="F302" s="213" t="n"/>
      <c r="G302" s="211" t="n"/>
      <c r="H302" s="211" t="n"/>
      <c r="I302" s="211" t="n"/>
      <c r="J302" s="209" t="n"/>
      <c r="K302" s="209" t="n"/>
      <c r="L302" s="209" t="n"/>
      <c r="M302" s="209" t="n"/>
      <c r="N302" s="209" t="n"/>
      <c r="O302" s="209" t="n"/>
      <c r="P302" s="209" t="n"/>
      <c r="Q302" s="209" t="n"/>
      <c r="R302" s="209" t="n"/>
      <c r="S302" s="209" t="n"/>
      <c r="T302" s="209" t="n"/>
      <c r="U302" s="209" t="n"/>
      <c r="V302" s="209" t="n"/>
      <c r="W302" s="209" t="n"/>
      <c r="X302" s="209" t="n"/>
      <c r="Y302" s="209" t="n"/>
      <c r="Z302" s="209" t="n"/>
      <c r="AA302" s="209" t="n"/>
    </row>
    <row r="303" ht="15.75" customHeight="1" s="230">
      <c r="A303" s="211" t="n"/>
      <c r="B303" s="211" t="n"/>
      <c r="C303" s="211" t="n"/>
      <c r="D303" s="211" t="n"/>
      <c r="E303" s="211" t="n"/>
      <c r="F303" s="213" t="n"/>
      <c r="G303" s="211" t="n"/>
      <c r="H303" s="211" t="n"/>
      <c r="I303" s="211" t="n"/>
      <c r="J303" s="209" t="n"/>
      <c r="K303" s="209" t="n"/>
      <c r="L303" s="209" t="n"/>
      <c r="M303" s="209" t="n"/>
      <c r="N303" s="209" t="n"/>
      <c r="O303" s="209" t="n"/>
      <c r="P303" s="209" t="n"/>
      <c r="Q303" s="209" t="n"/>
      <c r="R303" s="209" t="n"/>
      <c r="S303" s="209" t="n"/>
      <c r="T303" s="209" t="n"/>
      <c r="U303" s="209" t="n"/>
      <c r="V303" s="209" t="n"/>
      <c r="W303" s="209" t="n"/>
      <c r="X303" s="209" t="n"/>
      <c r="Y303" s="209" t="n"/>
      <c r="Z303" s="209" t="n"/>
      <c r="AA303" s="209" t="n"/>
    </row>
    <row r="304" ht="15.75" customHeight="1" s="230">
      <c r="A304" s="211" t="n"/>
      <c r="B304" s="211" t="n"/>
      <c r="C304" s="211" t="n"/>
      <c r="D304" s="211" t="n"/>
      <c r="E304" s="211" t="n"/>
      <c r="F304" s="213" t="n"/>
      <c r="G304" s="211" t="n"/>
      <c r="H304" s="211" t="n"/>
      <c r="I304" s="211" t="n"/>
      <c r="J304" s="209" t="n"/>
      <c r="K304" s="209" t="n"/>
      <c r="L304" s="209" t="n"/>
      <c r="M304" s="209" t="n"/>
      <c r="N304" s="209" t="n"/>
      <c r="O304" s="209" t="n"/>
      <c r="P304" s="209" t="n"/>
      <c r="Q304" s="209" t="n"/>
      <c r="R304" s="209" t="n"/>
      <c r="S304" s="209" t="n"/>
      <c r="T304" s="209" t="n"/>
      <c r="U304" s="209" t="n"/>
      <c r="V304" s="209" t="n"/>
      <c r="W304" s="209" t="n"/>
      <c r="X304" s="209" t="n"/>
      <c r="Y304" s="209" t="n"/>
      <c r="Z304" s="209" t="n"/>
      <c r="AA304" s="209" t="n"/>
    </row>
    <row r="305" ht="15.75" customHeight="1" s="230">
      <c r="A305" s="211" t="n"/>
      <c r="B305" s="211" t="n"/>
      <c r="C305" s="211" t="n"/>
      <c r="D305" s="211" t="n"/>
      <c r="E305" s="211" t="n"/>
      <c r="F305" s="213" t="n"/>
      <c r="G305" s="211" t="n"/>
      <c r="H305" s="211" t="n"/>
      <c r="I305" s="211" t="n"/>
      <c r="J305" s="209" t="n"/>
      <c r="K305" s="209" t="n"/>
      <c r="L305" s="209" t="n"/>
      <c r="M305" s="209" t="n"/>
      <c r="N305" s="209" t="n"/>
      <c r="O305" s="209" t="n"/>
      <c r="P305" s="209" t="n"/>
      <c r="Q305" s="209" t="n"/>
      <c r="R305" s="209" t="n"/>
      <c r="S305" s="209" t="n"/>
      <c r="T305" s="209" t="n"/>
      <c r="U305" s="209" t="n"/>
      <c r="V305" s="209" t="n"/>
      <c r="W305" s="209" t="n"/>
      <c r="X305" s="209" t="n"/>
      <c r="Y305" s="209" t="n"/>
      <c r="Z305" s="209" t="n"/>
      <c r="AA305" s="209" t="n"/>
    </row>
    <row r="306" ht="15.75" customHeight="1" s="230">
      <c r="A306" s="211" t="n"/>
      <c r="B306" s="211" t="n"/>
      <c r="C306" s="211" t="n"/>
      <c r="D306" s="211" t="n"/>
      <c r="E306" s="211" t="n"/>
      <c r="F306" s="213" t="n"/>
      <c r="G306" s="211" t="n"/>
      <c r="H306" s="211" t="n"/>
      <c r="I306" s="211" t="n"/>
      <c r="J306" s="209" t="n"/>
      <c r="K306" s="209" t="n"/>
      <c r="L306" s="209" t="n"/>
      <c r="M306" s="209" t="n"/>
      <c r="N306" s="209" t="n"/>
      <c r="O306" s="209" t="n"/>
      <c r="P306" s="209" t="n"/>
      <c r="Q306" s="209" t="n"/>
      <c r="R306" s="209" t="n"/>
      <c r="S306" s="209" t="n"/>
      <c r="T306" s="209" t="n"/>
      <c r="U306" s="209" t="n"/>
      <c r="V306" s="209" t="n"/>
      <c r="W306" s="209" t="n"/>
      <c r="X306" s="209" t="n"/>
      <c r="Y306" s="209" t="n"/>
      <c r="Z306" s="209" t="n"/>
      <c r="AA306" s="209" t="n"/>
    </row>
  </sheetData>
  <autoFilter ref="$A$2:$I$103"/>
  <mergeCells count="1">
    <mergeCell ref="A1:I1"/>
  </mergeCells>
  <dataValidations count="1">
    <dataValidation sqref="A2 D2" showDropDown="0" showInputMessage="1" showErrorMessage="1" allowBlank="1" prompt="Date Entry - Select a date from the calendar." type="date">
      <formula1>DATE(2000,1,1)</formula1>
      <formula2>DATE(2100,12,31)</formula2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06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9" customWidth="1" style="230" min="1" max="1"/>
    <col width="10" customWidth="1" style="230" min="2" max="2"/>
    <col width="12" customWidth="1" style="230" min="3" max="3"/>
    <col width="17.75" customWidth="1" style="230" min="4" max="4"/>
    <col width="23" customWidth="1" style="230" min="5" max="5"/>
    <col width="12.88" customWidth="1" style="230" min="6" max="6"/>
    <col width="6.25" customWidth="1" style="230" min="7" max="7"/>
    <col width="11.25" customWidth="1" style="230" min="8" max="8"/>
    <col hidden="1" width="28" customWidth="1" style="230" min="9" max="9"/>
    <col width="8.630000000000001" customWidth="1" style="230" min="10" max="27"/>
  </cols>
  <sheetData>
    <row r="1" ht="45.75" customHeight="1" s="230">
      <c r="A1" s="208" t="inlineStr">
        <is>
          <t>THE STATEMENT SHOWING THE PRIORITY LIST OF RICE FRK 2024-25 FOR THE MONTH OF AUGUST-26 – SHED NO 9, 14, 18 AND 20 DATE:- 01.08.26</t>
        </is>
      </c>
      <c r="J1" s="209" t="n"/>
      <c r="K1" s="209" t="n"/>
      <c r="L1" s="209" t="n"/>
      <c r="M1" s="209" t="n"/>
      <c r="N1" s="209" t="n"/>
      <c r="O1" s="209" t="n"/>
      <c r="P1" s="209" t="n"/>
      <c r="Q1" s="209" t="n"/>
      <c r="R1" s="209" t="n"/>
      <c r="S1" s="209" t="n"/>
      <c r="T1" s="209" t="n"/>
      <c r="U1" s="209" t="n"/>
      <c r="V1" s="209" t="n"/>
      <c r="W1" s="209" t="n"/>
      <c r="X1" s="209" t="n"/>
      <c r="Y1" s="209" t="n"/>
      <c r="Z1" s="209" t="n"/>
      <c r="AA1" s="209" t="n"/>
    </row>
    <row r="2" ht="15" customHeight="1" s="230">
      <c r="A2" s="221" t="inlineStr">
        <is>
          <t>Sr No.</t>
        </is>
      </c>
      <c r="B2" s="222" t="inlineStr">
        <is>
          <t>Shed No.</t>
        </is>
      </c>
      <c r="C2" s="222" t="inlineStr">
        <is>
          <t>Stack No.</t>
        </is>
      </c>
      <c r="D2" s="223" t="inlineStr">
        <is>
          <t>RDate of Receipt</t>
        </is>
      </c>
      <c r="E2" s="222" t="inlineStr">
        <is>
          <t>Commodity/Crop Year</t>
        </is>
      </c>
      <c r="F2" s="224" t="inlineStr">
        <is>
          <t>Qty(in MT)</t>
        </is>
      </c>
      <c r="G2" s="222" t="inlineStr">
        <is>
          <t>Cat</t>
        </is>
      </c>
      <c r="H2" s="225" t="inlineStr">
        <is>
          <t>Remarks</t>
        </is>
      </c>
      <c r="I2" s="225" t="inlineStr">
        <is>
          <t>Remarks</t>
        </is>
      </c>
      <c r="J2" s="209" t="n"/>
      <c r="K2" s="209" t="n"/>
      <c r="L2" s="209" t="n"/>
      <c r="M2" s="209" t="n"/>
      <c r="N2" s="209" t="n"/>
      <c r="O2" s="209" t="n"/>
      <c r="P2" s="209" t="n"/>
      <c r="Q2" s="209" t="n"/>
      <c r="R2" s="209" t="n"/>
      <c r="S2" s="209" t="n"/>
      <c r="T2" s="209" t="n"/>
      <c r="U2" s="209" t="n"/>
      <c r="V2" s="209" t="n"/>
      <c r="W2" s="209" t="n"/>
      <c r="X2" s="209" t="n"/>
      <c r="Y2" s="209" t="n"/>
      <c r="Z2" s="209" t="n"/>
      <c r="AA2" s="209" t="n"/>
    </row>
    <row r="3" ht="15" customHeight="1" s="230">
      <c r="A3" s="215">
        <f>IFERROR(SMALL('Master Stock'!$R$2:$R$99,ROWS($A$3:A3)),"")</f>
        <v/>
      </c>
      <c r="B3" s="216">
        <f t="array" ref="B3">IF($A3="","",INDEX('Master Stock'!$C$2:$C$99,MATCH($A3,'Master Stock'!$R$2:$R$99,0)))</f>
        <v/>
      </c>
      <c r="C3" s="216">
        <f t="array" ref="C3">IF($A3="","",INDEX('Master Stock'!$D$2:$D$99,MATCH($A3,'Master Stock'!$R$2:$R$99,0)))</f>
        <v/>
      </c>
      <c r="D3" s="217">
        <f t="array" ref="D3">IF($A3="","",INDEX('Master Stock'!$B$2:$B$99,MATCH($A3,'Master Stock'!$R$2:$R$99,0)))</f>
        <v/>
      </c>
      <c r="E3" s="216">
        <f t="array" ref="E3">IF($A3="","",INDEX('Master Stock'!$G$2:$G$99,MATCH($A3,'Master Stock'!$R$2:$R$99,0)))</f>
        <v/>
      </c>
      <c r="F3" s="218">
        <f t="array" ref="F3">IF($A3="","",INDEX('Master Stock'!$F$2:$F$99,MATCH($A3,'Master Stock'!$R$2:$R$99,0)))</f>
        <v/>
      </c>
      <c r="G3" s="216" t="inlineStr">
        <is>
          <t>A</t>
        </is>
      </c>
      <c r="H3" s="217" t="n"/>
      <c r="I3" s="217">
        <f>IF($A3="","","FIFO - Oldest Receipt First")</f>
        <v/>
      </c>
      <c r="J3" s="209" t="n"/>
      <c r="K3" s="209" t="n"/>
      <c r="L3" s="209" t="n"/>
      <c r="M3" s="209" t="n"/>
      <c r="N3" s="209" t="n"/>
      <c r="O3" s="209" t="n"/>
      <c r="P3" s="209" t="n"/>
      <c r="Q3" s="209" t="n"/>
      <c r="R3" s="209" t="n"/>
      <c r="S3" s="209" t="n"/>
      <c r="T3" s="209" t="n"/>
      <c r="U3" s="209" t="n"/>
      <c r="V3" s="209" t="n"/>
      <c r="W3" s="209" t="n"/>
      <c r="X3" s="209" t="n"/>
      <c r="Y3" s="209" t="n"/>
      <c r="Z3" s="209" t="n"/>
      <c r="AA3" s="209" t="n"/>
    </row>
    <row r="4" ht="15" customHeight="1" s="230">
      <c r="A4" s="215">
        <f>IFERROR(SMALL('Master Stock'!$R$2:$R$99,ROWS($A$3:A4)),"")</f>
        <v/>
      </c>
      <c r="B4" s="216">
        <f t="array" ref="B4">IF($A4="","",INDEX('Master Stock'!$C$2:$C$99,MATCH($A4,'Master Stock'!$R$2:$R$99,0)))</f>
        <v/>
      </c>
      <c r="C4" s="216">
        <f t="array" ref="C4">IF($A4="","",INDEX('Master Stock'!$D$2:$D$99,MATCH($A4,'Master Stock'!$R$2:$R$99,0)))</f>
        <v/>
      </c>
      <c r="D4" s="217">
        <f t="array" ref="D4">IF($A4="","",INDEX('Master Stock'!$B$2:$B$99,MATCH($A4,'Master Stock'!$R$2:$R$99,0)))</f>
        <v/>
      </c>
      <c r="E4" s="216">
        <f t="array" ref="E4">IF($A4="","",INDEX('Master Stock'!$G$2:$G$99,MATCH($A4,'Master Stock'!$R$2:$R$99,0)))</f>
        <v/>
      </c>
      <c r="F4" s="218">
        <f t="array" ref="F4">IF($A4="","",INDEX('Master Stock'!$F$2:$F$99,MATCH($A4,'Master Stock'!$R$2:$R$99,0)))</f>
        <v/>
      </c>
      <c r="G4" s="216" t="inlineStr">
        <is>
          <t>A</t>
        </is>
      </c>
      <c r="H4" s="217" t="n"/>
      <c r="I4" s="217">
        <f>IF($A4="","","FIFO - Oldest Receipt First")</f>
        <v/>
      </c>
      <c r="J4" s="209" t="n"/>
      <c r="K4" s="209" t="n"/>
      <c r="L4" s="209" t="n"/>
      <c r="M4" s="209" t="n"/>
      <c r="N4" s="209" t="n"/>
      <c r="O4" s="209" t="n"/>
      <c r="P4" s="209" t="n"/>
      <c r="Q4" s="209" t="n"/>
      <c r="R4" s="209" t="n"/>
      <c r="S4" s="209" t="n"/>
      <c r="T4" s="209" t="n"/>
      <c r="U4" s="209" t="n"/>
      <c r="V4" s="209" t="n"/>
      <c r="W4" s="209" t="n"/>
      <c r="X4" s="209" t="n"/>
      <c r="Y4" s="209" t="n"/>
      <c r="Z4" s="209" t="n"/>
      <c r="AA4" s="209" t="n"/>
    </row>
    <row r="5" ht="15" customHeight="1" s="230">
      <c r="A5" s="215">
        <f>IFERROR(SMALL('Master Stock'!$R$2:$R$99,ROWS($A$3:A5)),"")</f>
        <v/>
      </c>
      <c r="B5" s="216">
        <f t="array" ref="B5">IF($A5="","",INDEX('Master Stock'!$C$2:$C$99,MATCH($A5,'Master Stock'!$R$2:$R$99,0)))</f>
        <v/>
      </c>
      <c r="C5" s="216">
        <f t="array" ref="C5">IF($A5="","",INDEX('Master Stock'!$D$2:$D$99,MATCH($A5,'Master Stock'!$R$2:$R$99,0)))</f>
        <v/>
      </c>
      <c r="D5" s="217">
        <f t="array" ref="D5">IF($A5="","",INDEX('Master Stock'!$B$2:$B$99,MATCH($A5,'Master Stock'!$R$2:$R$99,0)))</f>
        <v/>
      </c>
      <c r="E5" s="216">
        <f t="array" ref="E5">IF($A5="","",INDEX('Master Stock'!$G$2:$G$99,MATCH($A5,'Master Stock'!$R$2:$R$99,0)))</f>
        <v/>
      </c>
      <c r="F5" s="218">
        <f t="array" ref="F5">IF($A5="","",INDEX('Master Stock'!$F$2:$F$99,MATCH($A5,'Master Stock'!$R$2:$R$99,0)))</f>
        <v/>
      </c>
      <c r="G5" s="216" t="inlineStr">
        <is>
          <t>A</t>
        </is>
      </c>
      <c r="H5" s="217" t="n"/>
      <c r="I5" s="217">
        <f>IF($A5="","","FIFO - Oldest Receipt First")</f>
        <v/>
      </c>
      <c r="J5" s="209" t="n"/>
      <c r="K5" s="209" t="n"/>
      <c r="L5" s="209" t="n"/>
      <c r="M5" s="209" t="n"/>
      <c r="N5" s="209" t="n"/>
      <c r="O5" s="209" t="n"/>
      <c r="P5" s="209" t="n"/>
      <c r="Q5" s="209" t="n"/>
      <c r="R5" s="209" t="n"/>
      <c r="S5" s="209" t="n"/>
      <c r="T5" s="209" t="n"/>
      <c r="U5" s="209" t="n"/>
      <c r="V5" s="209" t="n"/>
      <c r="W5" s="209" t="n"/>
      <c r="X5" s="209" t="n"/>
      <c r="Y5" s="209" t="n"/>
      <c r="Z5" s="209" t="n"/>
      <c r="AA5" s="209" t="n"/>
    </row>
    <row r="6" ht="15" customHeight="1" s="230">
      <c r="A6" s="215">
        <f>IFERROR(SMALL('Master Stock'!$R$2:$R$99,ROWS($A$3:A6)),"")</f>
        <v/>
      </c>
      <c r="B6" s="216">
        <f t="array" ref="B6">IF($A6="","",INDEX('Master Stock'!$C$2:$C$99,MATCH($A6,'Master Stock'!$R$2:$R$99,0)))</f>
        <v/>
      </c>
      <c r="C6" s="216">
        <f t="array" ref="C6">IF($A6="","",INDEX('Master Stock'!$D$2:$D$99,MATCH($A6,'Master Stock'!$R$2:$R$99,0)))</f>
        <v/>
      </c>
      <c r="D6" s="217">
        <f t="array" ref="D6">IF($A6="","",INDEX('Master Stock'!$B$2:$B$99,MATCH($A6,'Master Stock'!$R$2:$R$99,0)))</f>
        <v/>
      </c>
      <c r="E6" s="216">
        <f t="array" ref="E6">IF($A6="","",INDEX('Master Stock'!$G$2:$G$99,MATCH($A6,'Master Stock'!$R$2:$R$99,0)))</f>
        <v/>
      </c>
      <c r="F6" s="218">
        <f t="array" ref="F6">IF($A6="","",INDEX('Master Stock'!$F$2:$F$99,MATCH($A6,'Master Stock'!$R$2:$R$99,0)))</f>
        <v/>
      </c>
      <c r="G6" s="216" t="inlineStr">
        <is>
          <t>A</t>
        </is>
      </c>
      <c r="H6" s="217" t="n"/>
      <c r="I6" s="217">
        <f>IF($A6="","","FIFO - Oldest Receipt First")</f>
        <v/>
      </c>
      <c r="J6" s="209" t="n"/>
      <c r="K6" s="209" t="n"/>
      <c r="L6" s="209" t="n"/>
      <c r="M6" s="209" t="n"/>
      <c r="N6" s="209" t="n"/>
      <c r="O6" s="209" t="n"/>
      <c r="P6" s="209" t="n"/>
      <c r="Q6" s="209" t="n"/>
      <c r="R6" s="209" t="n"/>
      <c r="S6" s="209" t="n"/>
      <c r="T6" s="209" t="n"/>
      <c r="U6" s="209" t="n"/>
      <c r="V6" s="209" t="n"/>
      <c r="W6" s="209" t="n"/>
      <c r="X6" s="209" t="n"/>
      <c r="Y6" s="209" t="n"/>
      <c r="Z6" s="209" t="n"/>
      <c r="AA6" s="209" t="n"/>
    </row>
    <row r="7" ht="15" customHeight="1" s="230">
      <c r="A7" s="215">
        <f>IFERROR(SMALL('Master Stock'!$R$2:$R$99,ROWS($A$3:A7)),"")</f>
        <v/>
      </c>
      <c r="B7" s="216">
        <f t="array" ref="B7">IF($A7="","",INDEX('Master Stock'!$C$2:$C$99,MATCH($A7,'Master Stock'!$R$2:$R$99,0)))</f>
        <v/>
      </c>
      <c r="C7" s="216">
        <f t="array" ref="C7">IF($A7="","",INDEX('Master Stock'!$D$2:$D$99,MATCH($A7,'Master Stock'!$R$2:$R$99,0)))</f>
        <v/>
      </c>
      <c r="D7" s="217">
        <f t="array" ref="D7">IF($A7="","",INDEX('Master Stock'!$B$2:$B$99,MATCH($A7,'Master Stock'!$R$2:$R$99,0)))</f>
        <v/>
      </c>
      <c r="E7" s="216">
        <f t="array" ref="E7">IF($A7="","",INDEX('Master Stock'!$G$2:$G$99,MATCH($A7,'Master Stock'!$R$2:$R$99,0)))</f>
        <v/>
      </c>
      <c r="F7" s="218">
        <f t="array" ref="F7">IF($A7="","",INDEX('Master Stock'!$F$2:$F$99,MATCH($A7,'Master Stock'!$R$2:$R$99,0)))</f>
        <v/>
      </c>
      <c r="G7" s="216" t="inlineStr">
        <is>
          <t>A</t>
        </is>
      </c>
      <c r="H7" s="217" t="n"/>
      <c r="I7" s="217">
        <f>IF($A7="","","FIFO - Oldest Receipt First")</f>
        <v/>
      </c>
      <c r="J7" s="209" t="n"/>
      <c r="K7" s="209" t="n"/>
      <c r="L7" s="209" t="n"/>
      <c r="M7" s="209" t="n"/>
      <c r="N7" s="209" t="n"/>
      <c r="O7" s="209" t="n"/>
      <c r="P7" s="209" t="n"/>
      <c r="Q7" s="209" t="n"/>
      <c r="R7" s="209" t="n"/>
      <c r="S7" s="209" t="n"/>
      <c r="T7" s="209" t="n"/>
      <c r="U7" s="209" t="n"/>
      <c r="V7" s="209" t="n"/>
      <c r="W7" s="209" t="n"/>
      <c r="X7" s="209" t="n"/>
      <c r="Y7" s="209" t="n"/>
      <c r="Z7" s="209" t="n"/>
      <c r="AA7" s="209" t="n"/>
    </row>
    <row r="8" ht="15" customHeight="1" s="230">
      <c r="A8" s="215">
        <f>IFERROR(SMALL('Master Stock'!$R$2:$R$99,ROWS($A$3:A8)),"")</f>
        <v/>
      </c>
      <c r="B8" s="216">
        <f t="array" ref="B8">IF($A8="","",INDEX('Master Stock'!$C$2:$C$99,MATCH($A8,'Master Stock'!$R$2:$R$99,0)))</f>
        <v/>
      </c>
      <c r="C8" s="216">
        <f t="array" ref="C8">IF($A8="","",INDEX('Master Stock'!$D$2:$D$99,MATCH($A8,'Master Stock'!$R$2:$R$99,0)))</f>
        <v/>
      </c>
      <c r="D8" s="217">
        <f t="array" ref="D8">IF($A8="","",INDEX('Master Stock'!$B$2:$B$99,MATCH($A8,'Master Stock'!$R$2:$R$99,0)))</f>
        <v/>
      </c>
      <c r="E8" s="216">
        <f t="array" ref="E8">IF($A8="","",INDEX('Master Stock'!$G$2:$G$99,MATCH($A8,'Master Stock'!$R$2:$R$99,0)))</f>
        <v/>
      </c>
      <c r="F8" s="218">
        <f t="array" ref="F8">IF($A8="","",INDEX('Master Stock'!$F$2:$F$99,MATCH($A8,'Master Stock'!$R$2:$R$99,0)))</f>
        <v/>
      </c>
      <c r="G8" s="216" t="inlineStr">
        <is>
          <t>A</t>
        </is>
      </c>
      <c r="H8" s="217" t="n"/>
      <c r="I8" s="217">
        <f>IF($A8="","","FIFO - Oldest Receipt First")</f>
        <v/>
      </c>
      <c r="J8" s="209" t="n"/>
      <c r="K8" s="209" t="n"/>
      <c r="L8" s="209" t="n"/>
      <c r="M8" s="209" t="n"/>
      <c r="N8" s="209" t="n"/>
      <c r="O8" s="209" t="n"/>
      <c r="P8" s="209" t="n"/>
      <c r="Q8" s="209" t="n"/>
      <c r="R8" s="209" t="n"/>
      <c r="S8" s="209" t="n"/>
      <c r="T8" s="209" t="n"/>
      <c r="U8" s="209" t="n"/>
      <c r="V8" s="209" t="n"/>
      <c r="W8" s="209" t="n"/>
      <c r="X8" s="209" t="n"/>
      <c r="Y8" s="209" t="n"/>
      <c r="Z8" s="209" t="n"/>
      <c r="AA8" s="209" t="n"/>
    </row>
    <row r="9" ht="15" customHeight="1" s="230">
      <c r="A9" s="215">
        <f>IFERROR(SMALL('Master Stock'!$R$2:$R$99,ROWS($A$3:A9)),"")</f>
        <v/>
      </c>
      <c r="B9" s="216">
        <f t="array" ref="B9">IF($A9="","",INDEX('Master Stock'!$C$2:$C$99,MATCH($A9,'Master Stock'!$R$2:$R$99,0)))</f>
        <v/>
      </c>
      <c r="C9" s="216">
        <f t="array" ref="C9">IF($A9="","",INDEX('Master Stock'!$D$2:$D$99,MATCH($A9,'Master Stock'!$R$2:$R$99,0)))</f>
        <v/>
      </c>
      <c r="D9" s="217">
        <f t="array" ref="D9">IF($A9="","",INDEX('Master Stock'!$B$2:$B$99,MATCH($A9,'Master Stock'!$R$2:$R$99,0)))</f>
        <v/>
      </c>
      <c r="E9" s="216">
        <f t="array" ref="E9">IF($A9="","",INDEX('Master Stock'!$G$2:$G$99,MATCH($A9,'Master Stock'!$R$2:$R$99,0)))</f>
        <v/>
      </c>
      <c r="F9" s="218">
        <f t="array" ref="F9">IF($A9="","",INDEX('Master Stock'!$F$2:$F$99,MATCH($A9,'Master Stock'!$R$2:$R$99,0)))</f>
        <v/>
      </c>
      <c r="G9" s="216" t="inlineStr">
        <is>
          <t>A</t>
        </is>
      </c>
      <c r="H9" s="217" t="n"/>
      <c r="I9" s="217">
        <f>IF($A9="","","FIFO - Oldest Receipt First")</f>
        <v/>
      </c>
      <c r="J9" s="209" t="n"/>
      <c r="K9" s="209" t="n"/>
      <c r="L9" s="209" t="n"/>
      <c r="M9" s="209" t="n"/>
      <c r="N9" s="209" t="n"/>
      <c r="O9" s="209" t="n"/>
      <c r="P9" s="209" t="n"/>
      <c r="Q9" s="209" t="n"/>
      <c r="R9" s="209" t="n"/>
      <c r="S9" s="209" t="n"/>
      <c r="T9" s="209" t="n"/>
      <c r="U9" s="209" t="n"/>
      <c r="V9" s="209" t="n"/>
      <c r="W9" s="209" t="n"/>
      <c r="X9" s="209" t="n"/>
      <c r="Y9" s="209" t="n"/>
      <c r="Z9" s="209" t="n"/>
      <c r="AA9" s="209" t="n"/>
    </row>
    <row r="10" ht="15" customHeight="1" s="230">
      <c r="A10" s="215">
        <f>IFERROR(SMALL('Master Stock'!$R$2:$R$99,ROWS($A$3:A10)),"")</f>
        <v/>
      </c>
      <c r="B10" s="216">
        <f t="array" ref="B10">IF($A10="","",INDEX('Master Stock'!$C$2:$C$99,MATCH($A10,'Master Stock'!$R$2:$R$99,0)))</f>
        <v/>
      </c>
      <c r="C10" s="216">
        <f t="array" ref="C10">IF($A10="","",INDEX('Master Stock'!$D$2:$D$99,MATCH($A10,'Master Stock'!$R$2:$R$99,0)))</f>
        <v/>
      </c>
      <c r="D10" s="217">
        <f t="array" ref="D10">IF($A10="","",INDEX('Master Stock'!$B$2:$B$99,MATCH($A10,'Master Stock'!$R$2:$R$99,0)))</f>
        <v/>
      </c>
      <c r="E10" s="216">
        <f t="array" ref="E10">IF($A10="","",INDEX('Master Stock'!$G$2:$G$99,MATCH($A10,'Master Stock'!$R$2:$R$99,0)))</f>
        <v/>
      </c>
      <c r="F10" s="218">
        <f t="array" ref="F10">IF($A10="","",INDEX('Master Stock'!$F$2:$F$99,MATCH($A10,'Master Stock'!$R$2:$R$99,0)))</f>
        <v/>
      </c>
      <c r="G10" s="216" t="inlineStr">
        <is>
          <t>A</t>
        </is>
      </c>
      <c r="H10" s="217" t="n"/>
      <c r="I10" s="217">
        <f>IF($A10="","","FIFO - Oldest Receipt First")</f>
        <v/>
      </c>
      <c r="J10" s="209" t="n"/>
      <c r="K10" s="209" t="n"/>
      <c r="L10" s="209" t="n"/>
      <c r="M10" s="209" t="n"/>
      <c r="N10" s="209" t="n"/>
      <c r="O10" s="209" t="n"/>
      <c r="P10" s="209" t="n"/>
      <c r="Q10" s="209" t="n"/>
      <c r="R10" s="209" t="n"/>
      <c r="S10" s="209" t="n"/>
      <c r="T10" s="209" t="n"/>
      <c r="U10" s="209" t="n"/>
      <c r="V10" s="209" t="n"/>
      <c r="W10" s="209" t="n"/>
      <c r="X10" s="209" t="n"/>
      <c r="Y10" s="209" t="n"/>
      <c r="Z10" s="209" t="n"/>
      <c r="AA10" s="209" t="n"/>
    </row>
    <row r="11" ht="15" customHeight="1" s="230">
      <c r="A11" s="215">
        <f>IFERROR(SMALL('Master Stock'!$R$2:$R$99,ROWS($A$3:A11)),"")</f>
        <v/>
      </c>
      <c r="B11" s="216">
        <f t="array" ref="B11">IF($A11="","",INDEX('Master Stock'!$C$2:$C$99,MATCH($A11,'Master Stock'!$R$2:$R$99,0)))</f>
        <v/>
      </c>
      <c r="C11" s="216">
        <f t="array" ref="C11">IF($A11="","",INDEX('Master Stock'!$D$2:$D$99,MATCH($A11,'Master Stock'!$R$2:$R$99,0)))</f>
        <v/>
      </c>
      <c r="D11" s="217">
        <f t="array" ref="D11">IF($A11="","",INDEX('Master Stock'!$B$2:$B$99,MATCH($A11,'Master Stock'!$R$2:$R$99,0)))</f>
        <v/>
      </c>
      <c r="E11" s="216">
        <f t="array" ref="E11">IF($A11="","",INDEX('Master Stock'!$G$2:$G$99,MATCH($A11,'Master Stock'!$R$2:$R$99,0)))</f>
        <v/>
      </c>
      <c r="F11" s="218">
        <f t="array" ref="F11">IF($A11="","",INDEX('Master Stock'!$F$2:$F$99,MATCH($A11,'Master Stock'!$R$2:$R$99,0)))</f>
        <v/>
      </c>
      <c r="G11" s="216" t="inlineStr">
        <is>
          <t>A</t>
        </is>
      </c>
      <c r="H11" s="217" t="n"/>
      <c r="I11" s="217">
        <f>IF($A11="","","FIFO - Oldest Receipt First")</f>
        <v/>
      </c>
      <c r="J11" s="209" t="n"/>
      <c r="K11" s="209" t="n"/>
      <c r="L11" s="209" t="n"/>
      <c r="M11" s="209" t="n"/>
      <c r="N11" s="209" t="n"/>
      <c r="O11" s="209" t="n"/>
      <c r="P11" s="209" t="n"/>
      <c r="Q11" s="209" t="n"/>
      <c r="R11" s="209" t="n"/>
      <c r="S11" s="209" t="n"/>
      <c r="T11" s="209" t="n"/>
      <c r="U11" s="209" t="n"/>
      <c r="V11" s="209" t="n"/>
      <c r="W11" s="209" t="n"/>
      <c r="X11" s="209" t="n"/>
      <c r="Y11" s="209" t="n"/>
      <c r="Z11" s="209" t="n"/>
      <c r="AA11" s="209" t="n"/>
    </row>
    <row r="12" ht="15" customHeight="1" s="230">
      <c r="A12" s="215">
        <f>IFERROR(SMALL('Master Stock'!$R$2:$R$99,ROWS($A$3:A12)),"")</f>
        <v/>
      </c>
      <c r="B12" s="216">
        <f t="array" ref="B12">IF($A12="","",INDEX('Master Stock'!$C$2:$C$99,MATCH($A12,'Master Stock'!$R$2:$R$99,0)))</f>
        <v/>
      </c>
      <c r="C12" s="216">
        <f t="array" ref="C12">IF($A12="","",INDEX('Master Stock'!$D$2:$D$99,MATCH($A12,'Master Stock'!$R$2:$R$99,0)))</f>
        <v/>
      </c>
      <c r="D12" s="217">
        <f t="array" ref="D12">IF($A12="","",INDEX('Master Stock'!$B$2:$B$99,MATCH($A12,'Master Stock'!$R$2:$R$99,0)))</f>
        <v/>
      </c>
      <c r="E12" s="216">
        <f t="array" ref="E12">IF($A12="","",INDEX('Master Stock'!$G$2:$G$99,MATCH($A12,'Master Stock'!$R$2:$R$99,0)))</f>
        <v/>
      </c>
      <c r="F12" s="218">
        <f t="array" ref="F12">IF($A12="","",INDEX('Master Stock'!$F$2:$F$99,MATCH($A12,'Master Stock'!$R$2:$R$99,0)))</f>
        <v/>
      </c>
      <c r="G12" s="216" t="inlineStr">
        <is>
          <t>A</t>
        </is>
      </c>
      <c r="H12" s="217" t="n"/>
      <c r="I12" s="217">
        <f>IF($A12="","","FIFO - Oldest Receipt First")</f>
        <v/>
      </c>
      <c r="J12" s="209" t="n"/>
      <c r="K12" s="209" t="n"/>
      <c r="L12" s="209" t="n"/>
      <c r="M12" s="209" t="n"/>
      <c r="N12" s="209" t="n"/>
      <c r="O12" s="209" t="n"/>
      <c r="P12" s="209" t="n"/>
      <c r="Q12" s="209" t="n"/>
      <c r="R12" s="209" t="n"/>
      <c r="S12" s="209" t="n"/>
      <c r="T12" s="209" t="n"/>
      <c r="U12" s="209" t="n"/>
      <c r="V12" s="209" t="n"/>
      <c r="W12" s="209" t="n"/>
      <c r="X12" s="209" t="n"/>
      <c r="Y12" s="209" t="n"/>
      <c r="Z12" s="209" t="n"/>
      <c r="AA12" s="209" t="n"/>
    </row>
    <row r="13" ht="15" customHeight="1" s="230">
      <c r="A13" s="215">
        <f>IFERROR(SMALL('Master Stock'!$R$2:$R$99,ROWS($A$3:A13)),"")</f>
        <v/>
      </c>
      <c r="B13" s="216">
        <f t="array" ref="B13">IF($A13="","",INDEX('Master Stock'!$C$2:$C$99,MATCH($A13,'Master Stock'!$R$2:$R$99,0)))</f>
        <v/>
      </c>
      <c r="C13" s="216">
        <f t="array" ref="C13">IF($A13="","",INDEX('Master Stock'!$D$2:$D$99,MATCH($A13,'Master Stock'!$R$2:$R$99,0)))</f>
        <v/>
      </c>
      <c r="D13" s="217">
        <f t="array" ref="D13">IF($A13="","",INDEX('Master Stock'!$B$2:$B$99,MATCH($A13,'Master Stock'!$R$2:$R$99,0)))</f>
        <v/>
      </c>
      <c r="E13" s="216">
        <f t="array" ref="E13">IF($A13="","",INDEX('Master Stock'!$G$2:$G$99,MATCH($A13,'Master Stock'!$R$2:$R$99,0)))</f>
        <v/>
      </c>
      <c r="F13" s="218">
        <f t="array" ref="F13">IF($A13="","",INDEX('Master Stock'!$F$2:$F$99,MATCH($A13,'Master Stock'!$R$2:$R$99,0)))</f>
        <v/>
      </c>
      <c r="G13" s="216" t="inlineStr">
        <is>
          <t>A</t>
        </is>
      </c>
      <c r="H13" s="217" t="n"/>
      <c r="I13" s="217">
        <f>IF($A13="","","FIFO - Oldest Receipt First")</f>
        <v/>
      </c>
      <c r="J13" s="209" t="n"/>
      <c r="K13" s="209" t="n"/>
      <c r="L13" s="209" t="n"/>
      <c r="M13" s="209" t="n"/>
      <c r="N13" s="209" t="n"/>
      <c r="O13" s="209" t="n"/>
      <c r="P13" s="209" t="n"/>
      <c r="Q13" s="209" t="n"/>
      <c r="R13" s="209" t="n"/>
      <c r="S13" s="209" t="n"/>
      <c r="T13" s="209" t="n"/>
      <c r="U13" s="209" t="n"/>
      <c r="V13" s="209" t="n"/>
      <c r="W13" s="209" t="n"/>
      <c r="X13" s="209" t="n"/>
      <c r="Y13" s="209" t="n"/>
      <c r="Z13" s="209" t="n"/>
      <c r="AA13" s="209" t="n"/>
    </row>
    <row r="14" ht="15" customHeight="1" s="230">
      <c r="A14" s="215">
        <f>IFERROR(SMALL('Master Stock'!$R$2:$R$99,ROWS($A$3:A14)),"")</f>
        <v/>
      </c>
      <c r="B14" s="216">
        <f t="array" ref="B14">IF($A14="","",INDEX('Master Stock'!$C$2:$C$99,MATCH($A14,'Master Stock'!$R$2:$R$99,0)))</f>
        <v/>
      </c>
      <c r="C14" s="216">
        <f t="array" ref="C14">IF($A14="","",INDEX('Master Stock'!$D$2:$D$99,MATCH($A14,'Master Stock'!$R$2:$R$99,0)))</f>
        <v/>
      </c>
      <c r="D14" s="217">
        <f t="array" ref="D14">IF($A14="","",INDEX('Master Stock'!$B$2:$B$99,MATCH($A14,'Master Stock'!$R$2:$R$99,0)))</f>
        <v/>
      </c>
      <c r="E14" s="216">
        <f t="array" ref="E14">IF($A14="","",INDEX('Master Stock'!$G$2:$G$99,MATCH($A14,'Master Stock'!$R$2:$R$99,0)))</f>
        <v/>
      </c>
      <c r="F14" s="218">
        <f t="array" ref="F14">IF($A14="","",INDEX('Master Stock'!$F$2:$F$99,MATCH($A14,'Master Stock'!$R$2:$R$99,0)))</f>
        <v/>
      </c>
      <c r="G14" s="216" t="inlineStr">
        <is>
          <t>A</t>
        </is>
      </c>
      <c r="H14" s="217" t="n"/>
      <c r="I14" s="217">
        <f>IF($A14="","","FIFO - Oldest Receipt First")</f>
        <v/>
      </c>
      <c r="J14" s="209" t="n"/>
      <c r="K14" s="209" t="n"/>
      <c r="L14" s="209" t="n"/>
      <c r="M14" s="209" t="n"/>
      <c r="N14" s="209" t="n"/>
      <c r="O14" s="209" t="n"/>
      <c r="P14" s="209" t="n"/>
      <c r="Q14" s="209" t="n"/>
      <c r="R14" s="209" t="n"/>
      <c r="S14" s="209" t="n"/>
      <c r="T14" s="209" t="n"/>
      <c r="U14" s="209" t="n"/>
      <c r="V14" s="209" t="n"/>
      <c r="W14" s="209" t="n"/>
      <c r="X14" s="209" t="n"/>
      <c r="Y14" s="209" t="n"/>
      <c r="Z14" s="209" t="n"/>
      <c r="AA14" s="209" t="n"/>
    </row>
    <row r="15" ht="15" customHeight="1" s="230">
      <c r="A15" s="215">
        <f>IFERROR(SMALL('Master Stock'!$R$2:$R$99,ROWS($A$3:A15)),"")</f>
        <v/>
      </c>
      <c r="B15" s="216">
        <f t="array" ref="B15">IF($A15="","",INDEX('Master Stock'!$C$2:$C$99,MATCH($A15,'Master Stock'!$R$2:$R$99,0)))</f>
        <v/>
      </c>
      <c r="C15" s="216">
        <f t="array" ref="C15">IF($A15="","",INDEX('Master Stock'!$D$2:$D$99,MATCH($A15,'Master Stock'!$R$2:$R$99,0)))</f>
        <v/>
      </c>
      <c r="D15" s="217">
        <f t="array" ref="D15">IF($A15="","",INDEX('Master Stock'!$B$2:$B$99,MATCH($A15,'Master Stock'!$R$2:$R$99,0)))</f>
        <v/>
      </c>
      <c r="E15" s="216">
        <f t="array" ref="E15">IF($A15="","",INDEX('Master Stock'!$G$2:$G$99,MATCH($A15,'Master Stock'!$R$2:$R$99,0)))</f>
        <v/>
      </c>
      <c r="F15" s="218">
        <f t="array" ref="F15">IF($A15="","",INDEX('Master Stock'!$F$2:$F$99,MATCH($A15,'Master Stock'!$R$2:$R$99,0)))</f>
        <v/>
      </c>
      <c r="G15" s="216" t="inlineStr">
        <is>
          <t>A</t>
        </is>
      </c>
      <c r="H15" s="217" t="n"/>
      <c r="I15" s="217">
        <f>IF($A15="","","FIFO - Oldest Receipt First")</f>
        <v/>
      </c>
      <c r="J15" s="209" t="n"/>
      <c r="K15" s="209" t="n"/>
      <c r="L15" s="209" t="n"/>
      <c r="M15" s="209" t="n"/>
      <c r="N15" s="209" t="n"/>
      <c r="O15" s="209" t="n"/>
      <c r="P15" s="209" t="n"/>
      <c r="Q15" s="209" t="n"/>
      <c r="R15" s="209" t="n"/>
      <c r="S15" s="209" t="n"/>
      <c r="T15" s="209" t="n"/>
      <c r="U15" s="209" t="n"/>
      <c r="V15" s="209" t="n"/>
      <c r="W15" s="209" t="n"/>
      <c r="X15" s="209" t="n"/>
      <c r="Y15" s="209" t="n"/>
      <c r="Z15" s="209" t="n"/>
      <c r="AA15" s="209" t="n"/>
    </row>
    <row r="16" ht="15" customHeight="1" s="230">
      <c r="A16" s="215">
        <f>IFERROR(SMALL('Master Stock'!$R$2:$R$99,ROWS($A$3:A16)),"")</f>
        <v/>
      </c>
      <c r="B16" s="216">
        <f t="array" ref="B16">IF($A16="","",INDEX('Master Stock'!$C$2:$C$99,MATCH($A16,'Master Stock'!$R$2:$R$99,0)))</f>
        <v/>
      </c>
      <c r="C16" s="216">
        <f t="array" ref="C16">IF($A16="","",INDEX('Master Stock'!$D$2:$D$99,MATCH($A16,'Master Stock'!$R$2:$R$99,0)))</f>
        <v/>
      </c>
      <c r="D16" s="217">
        <f t="array" ref="D16">IF($A16="","",INDEX('Master Stock'!$B$2:$B$99,MATCH($A16,'Master Stock'!$R$2:$R$99,0)))</f>
        <v/>
      </c>
      <c r="E16" s="216">
        <f t="array" ref="E16">IF($A16="","",INDEX('Master Stock'!$G$2:$G$99,MATCH($A16,'Master Stock'!$R$2:$R$99,0)))</f>
        <v/>
      </c>
      <c r="F16" s="218">
        <f t="array" ref="F16">IF($A16="","",INDEX('Master Stock'!$F$2:$F$99,MATCH($A16,'Master Stock'!$R$2:$R$99,0)))</f>
        <v/>
      </c>
      <c r="G16" s="216" t="inlineStr">
        <is>
          <t>A</t>
        </is>
      </c>
      <c r="H16" s="217" t="n"/>
      <c r="I16" s="217">
        <f>IF($A16="","","FIFO - Oldest Receipt First")</f>
        <v/>
      </c>
      <c r="J16" s="209" t="n"/>
      <c r="K16" s="209" t="n"/>
      <c r="L16" s="209" t="n"/>
      <c r="M16" s="209" t="n"/>
      <c r="N16" s="209" t="n"/>
      <c r="O16" s="209" t="n"/>
      <c r="P16" s="209" t="n"/>
      <c r="Q16" s="209" t="n"/>
      <c r="R16" s="209" t="n"/>
      <c r="S16" s="209" t="n"/>
      <c r="T16" s="209" t="n"/>
      <c r="U16" s="209" t="n"/>
      <c r="V16" s="209" t="n"/>
      <c r="W16" s="209" t="n"/>
      <c r="X16" s="209" t="n"/>
      <c r="Y16" s="209" t="n"/>
      <c r="Z16" s="209" t="n"/>
      <c r="AA16" s="209" t="n"/>
    </row>
    <row r="17" ht="15" customHeight="1" s="230">
      <c r="A17" s="215">
        <f>IFERROR(SMALL('Master Stock'!$R$2:$R$99,ROWS($A$3:A17)),"")</f>
        <v/>
      </c>
      <c r="B17" s="216">
        <f t="array" ref="B17">IF($A17="","",INDEX('Master Stock'!$C$2:$C$99,MATCH($A17,'Master Stock'!$R$2:$R$99,0)))</f>
        <v/>
      </c>
      <c r="C17" s="216">
        <f t="array" ref="C17">IF($A17="","",INDEX('Master Stock'!$D$2:$D$99,MATCH($A17,'Master Stock'!$R$2:$R$99,0)))</f>
        <v/>
      </c>
      <c r="D17" s="217">
        <f t="array" ref="D17">IF($A17="","",INDEX('Master Stock'!$B$2:$B$99,MATCH($A17,'Master Stock'!$R$2:$R$99,0)))</f>
        <v/>
      </c>
      <c r="E17" s="216">
        <f t="array" ref="E17">IF($A17="","",INDEX('Master Stock'!$G$2:$G$99,MATCH($A17,'Master Stock'!$R$2:$R$99,0)))</f>
        <v/>
      </c>
      <c r="F17" s="218">
        <f t="array" ref="F17">IF($A17="","",INDEX('Master Stock'!$F$2:$F$99,MATCH($A17,'Master Stock'!$R$2:$R$99,0)))</f>
        <v/>
      </c>
      <c r="G17" s="216" t="inlineStr">
        <is>
          <t>A</t>
        </is>
      </c>
      <c r="H17" s="217" t="n"/>
      <c r="I17" s="217">
        <f>IF($A17="","","FIFO - Oldest Receipt First")</f>
        <v/>
      </c>
      <c r="J17" s="209" t="n"/>
      <c r="K17" s="209" t="n"/>
      <c r="L17" s="209" t="n"/>
      <c r="M17" s="209" t="n"/>
      <c r="N17" s="209" t="n"/>
      <c r="O17" s="209" t="n"/>
      <c r="P17" s="209" t="n"/>
      <c r="Q17" s="209" t="n"/>
      <c r="R17" s="209" t="n"/>
      <c r="S17" s="209" t="n"/>
      <c r="T17" s="209" t="n"/>
      <c r="U17" s="209" t="n"/>
      <c r="V17" s="209" t="n"/>
      <c r="W17" s="209" t="n"/>
      <c r="X17" s="209" t="n"/>
      <c r="Y17" s="209" t="n"/>
      <c r="Z17" s="209" t="n"/>
      <c r="AA17" s="209" t="n"/>
    </row>
    <row r="18" ht="15" customHeight="1" s="230">
      <c r="A18" s="215">
        <f>IFERROR(SMALL('Master Stock'!$R$2:$R$99,ROWS($A$3:A18)),"")</f>
        <v/>
      </c>
      <c r="B18" s="216">
        <f t="array" ref="B18">IF($A18="","",INDEX('Master Stock'!$C$2:$C$99,MATCH($A18,'Master Stock'!$R$2:$R$99,0)))</f>
        <v/>
      </c>
      <c r="C18" s="216">
        <f t="array" ref="C18">IF($A18="","",INDEX('Master Stock'!$D$2:$D$99,MATCH($A18,'Master Stock'!$R$2:$R$99,0)))</f>
        <v/>
      </c>
      <c r="D18" s="217">
        <f t="array" ref="D18">IF($A18="","",INDEX('Master Stock'!$B$2:$B$99,MATCH($A18,'Master Stock'!$R$2:$R$99,0)))</f>
        <v/>
      </c>
      <c r="E18" s="216">
        <f t="array" ref="E18">IF($A18="","",INDEX('Master Stock'!$G$2:$G$99,MATCH($A18,'Master Stock'!$R$2:$R$99,0)))</f>
        <v/>
      </c>
      <c r="F18" s="218">
        <f t="array" ref="F18">IF($A18="","",INDEX('Master Stock'!$F$2:$F$99,MATCH($A18,'Master Stock'!$R$2:$R$99,0)))</f>
        <v/>
      </c>
      <c r="G18" s="216" t="inlineStr">
        <is>
          <t>A</t>
        </is>
      </c>
      <c r="H18" s="217" t="n"/>
      <c r="I18" s="217">
        <f>IF($A18="","","FIFO - Oldest Receipt First")</f>
        <v/>
      </c>
      <c r="J18" s="209" t="n"/>
      <c r="K18" s="209" t="n"/>
      <c r="L18" s="209" t="n"/>
      <c r="M18" s="209" t="n"/>
      <c r="N18" s="209" t="n"/>
      <c r="O18" s="209" t="n"/>
      <c r="P18" s="209" t="n"/>
      <c r="Q18" s="209" t="n"/>
      <c r="R18" s="209" t="n"/>
      <c r="S18" s="209" t="n"/>
      <c r="T18" s="209" t="n"/>
      <c r="U18" s="209" t="n"/>
      <c r="V18" s="209" t="n"/>
      <c r="W18" s="209" t="n"/>
      <c r="X18" s="209" t="n"/>
      <c r="Y18" s="209" t="n"/>
      <c r="Z18" s="209" t="n"/>
      <c r="AA18" s="209" t="n"/>
    </row>
    <row r="19" ht="15" customHeight="1" s="230">
      <c r="A19" s="215">
        <f>IFERROR(SMALL('Master Stock'!$R$2:$R$99,ROWS($A$3:A19)),"")</f>
        <v/>
      </c>
      <c r="B19" s="216">
        <f t="array" ref="B19">IF($A19="","",INDEX('Master Stock'!$C$2:$C$99,MATCH($A19,'Master Stock'!$R$2:$R$99,0)))</f>
        <v/>
      </c>
      <c r="C19" s="216">
        <f t="array" ref="C19">IF($A19="","",INDEX('Master Stock'!$D$2:$D$99,MATCH($A19,'Master Stock'!$R$2:$R$99,0)))</f>
        <v/>
      </c>
      <c r="D19" s="217">
        <f t="array" ref="D19">IF($A19="","",INDEX('Master Stock'!$B$2:$B$99,MATCH($A19,'Master Stock'!$R$2:$R$99,0)))</f>
        <v/>
      </c>
      <c r="E19" s="216">
        <f t="array" ref="E19">IF($A19="","",INDEX('Master Stock'!$G$2:$G$99,MATCH($A19,'Master Stock'!$R$2:$R$99,0)))</f>
        <v/>
      </c>
      <c r="F19" s="218">
        <f t="array" ref="F19">IF($A19="","",INDEX('Master Stock'!$F$2:$F$99,MATCH($A19,'Master Stock'!$R$2:$R$99,0)))</f>
        <v/>
      </c>
      <c r="G19" s="216" t="inlineStr">
        <is>
          <t>A</t>
        </is>
      </c>
      <c r="H19" s="217" t="n"/>
      <c r="I19" s="217">
        <f>IF($A19="","","FIFO - Oldest Receipt First")</f>
        <v/>
      </c>
      <c r="J19" s="209" t="n"/>
      <c r="K19" s="209" t="n"/>
      <c r="L19" s="209" t="n"/>
      <c r="M19" s="209" t="n"/>
      <c r="N19" s="209" t="n"/>
      <c r="O19" s="209" t="n"/>
      <c r="P19" s="209" t="n"/>
      <c r="Q19" s="209" t="n"/>
      <c r="R19" s="209" t="n"/>
      <c r="S19" s="209" t="n"/>
      <c r="T19" s="209" t="n"/>
      <c r="U19" s="209" t="n"/>
      <c r="V19" s="209" t="n"/>
      <c r="W19" s="209" t="n"/>
      <c r="X19" s="209" t="n"/>
      <c r="Y19" s="209" t="n"/>
      <c r="Z19" s="209" t="n"/>
      <c r="AA19" s="209" t="n"/>
    </row>
    <row r="20" ht="15" customHeight="1" s="230">
      <c r="A20" s="215">
        <f>IFERROR(SMALL('Master Stock'!$R$2:$R$99,ROWS($A$3:A20)),"")</f>
        <v/>
      </c>
      <c r="B20" s="216">
        <f t="array" ref="B20">IF($A20="","",INDEX('Master Stock'!$C$2:$C$99,MATCH($A20,'Master Stock'!$R$2:$R$99,0)))</f>
        <v/>
      </c>
      <c r="C20" s="216">
        <f t="array" ref="C20">IF($A20="","",INDEX('Master Stock'!$D$2:$D$99,MATCH($A20,'Master Stock'!$R$2:$R$99,0)))</f>
        <v/>
      </c>
      <c r="D20" s="217">
        <f t="array" ref="D20">IF($A20="","",INDEX('Master Stock'!$B$2:$B$99,MATCH($A20,'Master Stock'!$R$2:$R$99,0)))</f>
        <v/>
      </c>
      <c r="E20" s="216">
        <f t="array" ref="E20">IF($A20="","",INDEX('Master Stock'!$G$2:$G$99,MATCH($A20,'Master Stock'!$R$2:$R$99,0)))</f>
        <v/>
      </c>
      <c r="F20" s="218">
        <f t="array" ref="F20">IF($A20="","",INDEX('Master Stock'!$F$2:$F$99,MATCH($A20,'Master Stock'!$R$2:$R$99,0)))</f>
        <v/>
      </c>
      <c r="G20" s="216" t="inlineStr">
        <is>
          <t>A</t>
        </is>
      </c>
      <c r="H20" s="217" t="n"/>
      <c r="I20" s="217">
        <f>IF($A20="","","FIFO - Oldest Receipt First")</f>
        <v/>
      </c>
      <c r="J20" s="209" t="n"/>
      <c r="K20" s="209" t="n"/>
      <c r="L20" s="209" t="n"/>
      <c r="M20" s="209" t="n"/>
      <c r="N20" s="209" t="n"/>
      <c r="O20" s="209" t="n"/>
      <c r="P20" s="209" t="n"/>
      <c r="Q20" s="209" t="n"/>
      <c r="R20" s="209" t="n"/>
      <c r="S20" s="209" t="n"/>
      <c r="T20" s="209" t="n"/>
      <c r="U20" s="209" t="n"/>
      <c r="V20" s="209" t="n"/>
      <c r="W20" s="209" t="n"/>
      <c r="X20" s="209" t="n"/>
      <c r="Y20" s="209" t="n"/>
      <c r="Z20" s="209" t="n"/>
      <c r="AA20" s="209" t="n"/>
    </row>
    <row r="21" ht="15" customHeight="1" s="230">
      <c r="A21" s="215">
        <f>IFERROR(SMALL('Master Stock'!$R$2:$R$99,ROWS($A$3:A21)),"")</f>
        <v/>
      </c>
      <c r="B21" s="216">
        <f t="array" ref="B21">IF($A21="","",INDEX('Master Stock'!$C$2:$C$99,MATCH($A21,'Master Stock'!$R$2:$R$99,0)))</f>
        <v/>
      </c>
      <c r="C21" s="216">
        <f t="array" ref="C21">IF($A21="","",INDEX('Master Stock'!$D$2:$D$99,MATCH($A21,'Master Stock'!$R$2:$R$99,0)))</f>
        <v/>
      </c>
      <c r="D21" s="217">
        <f t="array" ref="D21">IF($A21="","",INDEX('Master Stock'!$B$2:$B$99,MATCH($A21,'Master Stock'!$R$2:$R$99,0)))</f>
        <v/>
      </c>
      <c r="E21" s="216">
        <f t="array" ref="E21">IF($A21="","",INDEX('Master Stock'!$G$2:$G$99,MATCH($A21,'Master Stock'!$R$2:$R$99,0)))</f>
        <v/>
      </c>
      <c r="F21" s="218">
        <f t="array" ref="F21">IF($A21="","",INDEX('Master Stock'!$F$2:$F$99,MATCH($A21,'Master Stock'!$R$2:$R$99,0)))</f>
        <v/>
      </c>
      <c r="G21" s="216" t="inlineStr">
        <is>
          <t>A</t>
        </is>
      </c>
      <c r="H21" s="217" t="n"/>
      <c r="I21" s="217">
        <f>IF($A21="","","FIFO - Oldest Receipt First")</f>
        <v/>
      </c>
      <c r="J21" s="209" t="n"/>
      <c r="K21" s="209" t="n"/>
      <c r="L21" s="209" t="n"/>
      <c r="M21" s="209" t="n"/>
      <c r="N21" s="209" t="n"/>
      <c r="O21" s="209" t="n"/>
      <c r="P21" s="209" t="n"/>
      <c r="Q21" s="209" t="n"/>
      <c r="R21" s="209" t="n"/>
      <c r="S21" s="209" t="n"/>
      <c r="T21" s="209" t="n"/>
      <c r="U21" s="209" t="n"/>
      <c r="V21" s="209" t="n"/>
      <c r="W21" s="209" t="n"/>
      <c r="X21" s="209" t="n"/>
      <c r="Y21" s="209" t="n"/>
      <c r="Z21" s="209" t="n"/>
      <c r="AA21" s="209" t="n"/>
    </row>
    <row r="22" ht="15" customHeight="1" s="230">
      <c r="A22" s="215">
        <f>IFERROR(SMALL('Master Stock'!$R$2:$R$99,ROWS($A$3:A22)),"")</f>
        <v/>
      </c>
      <c r="B22" s="216">
        <f t="array" ref="B22">IF($A22="","",INDEX('Master Stock'!$C$2:$C$99,MATCH($A22,'Master Stock'!$R$2:$R$99,0)))</f>
        <v/>
      </c>
      <c r="C22" s="216">
        <f t="array" ref="C22">IF($A22="","",INDEX('Master Stock'!$D$2:$D$99,MATCH($A22,'Master Stock'!$R$2:$R$99,0)))</f>
        <v/>
      </c>
      <c r="D22" s="217">
        <f t="array" ref="D22">IF($A22="","",INDEX('Master Stock'!$B$2:$B$99,MATCH($A22,'Master Stock'!$R$2:$R$99,0)))</f>
        <v/>
      </c>
      <c r="E22" s="216">
        <f t="array" ref="E22">IF($A22="","",INDEX('Master Stock'!$G$2:$G$99,MATCH($A22,'Master Stock'!$R$2:$R$99,0)))</f>
        <v/>
      </c>
      <c r="F22" s="218">
        <f t="array" ref="F22">IF($A22="","",INDEX('Master Stock'!$F$2:$F$99,MATCH($A22,'Master Stock'!$R$2:$R$99,0)))</f>
        <v/>
      </c>
      <c r="G22" s="216" t="inlineStr">
        <is>
          <t>A</t>
        </is>
      </c>
      <c r="H22" s="217" t="n"/>
      <c r="I22" s="217">
        <f>IF($A22="","","FIFO - Oldest Receipt First")</f>
        <v/>
      </c>
      <c r="J22" s="209" t="n"/>
      <c r="K22" s="209" t="n"/>
      <c r="L22" s="209" t="n"/>
      <c r="M22" s="209" t="n"/>
      <c r="N22" s="209" t="n"/>
      <c r="O22" s="209" t="n"/>
      <c r="P22" s="209" t="n"/>
      <c r="Q22" s="209" t="n"/>
      <c r="R22" s="209" t="n"/>
      <c r="S22" s="209" t="n"/>
      <c r="T22" s="209" t="n"/>
      <c r="U22" s="209" t="n"/>
      <c r="V22" s="209" t="n"/>
      <c r="W22" s="209" t="n"/>
      <c r="X22" s="209" t="n"/>
      <c r="Y22" s="209" t="n"/>
      <c r="Z22" s="209" t="n"/>
      <c r="AA22" s="209" t="n"/>
    </row>
    <row r="23" ht="15" customHeight="1" s="230">
      <c r="A23" s="215">
        <f>IFERROR(SMALL('Master Stock'!$R$2:$R$99,ROWS($A$3:A23)),"")</f>
        <v/>
      </c>
      <c r="B23" s="216">
        <f t="array" ref="B23">IF($A23="","",INDEX('Master Stock'!$C$2:$C$99,MATCH($A23,'Master Stock'!$R$2:$R$99,0)))</f>
        <v/>
      </c>
      <c r="C23" s="216">
        <f t="array" ref="C23">IF($A23="","",INDEX('Master Stock'!$D$2:$D$99,MATCH($A23,'Master Stock'!$R$2:$R$99,0)))</f>
        <v/>
      </c>
      <c r="D23" s="217">
        <f t="array" ref="D23">IF($A23="","",INDEX('Master Stock'!$B$2:$B$99,MATCH($A23,'Master Stock'!$R$2:$R$99,0)))</f>
        <v/>
      </c>
      <c r="E23" s="216">
        <f t="array" ref="E23">IF($A23="","",INDEX('Master Stock'!$G$2:$G$99,MATCH($A23,'Master Stock'!$R$2:$R$99,0)))</f>
        <v/>
      </c>
      <c r="F23" s="218">
        <f t="array" ref="F23">IF($A23="","",INDEX('Master Stock'!$F$2:$F$99,MATCH($A23,'Master Stock'!$R$2:$R$99,0)))</f>
        <v/>
      </c>
      <c r="G23" s="216" t="inlineStr">
        <is>
          <t>A</t>
        </is>
      </c>
      <c r="H23" s="217" t="n"/>
      <c r="I23" s="217">
        <f>IF($A23="","","FIFO - Oldest Receipt First")</f>
        <v/>
      </c>
      <c r="J23" s="209" t="n"/>
      <c r="K23" s="209" t="n"/>
      <c r="L23" s="209" t="n"/>
      <c r="M23" s="209" t="n"/>
      <c r="N23" s="209" t="n"/>
      <c r="O23" s="209" t="n"/>
      <c r="P23" s="209" t="n"/>
      <c r="Q23" s="209" t="n"/>
      <c r="R23" s="209" t="n"/>
      <c r="S23" s="209" t="n"/>
      <c r="T23" s="209" t="n"/>
      <c r="U23" s="209" t="n"/>
      <c r="V23" s="209" t="n"/>
      <c r="W23" s="209" t="n"/>
      <c r="X23" s="209" t="n"/>
      <c r="Y23" s="209" t="n"/>
      <c r="Z23" s="209" t="n"/>
      <c r="AA23" s="209" t="n"/>
    </row>
    <row r="24" ht="15" customHeight="1" s="230">
      <c r="A24" s="215">
        <f>IFERROR(SMALL('Master Stock'!$R$2:$R$99,ROWS($A$3:A24)),"")</f>
        <v/>
      </c>
      <c r="B24" s="216">
        <f t="array" ref="B24">IF($A24="","",INDEX('Master Stock'!$C$2:$C$99,MATCH($A24,'Master Stock'!$R$2:$R$99,0)))</f>
        <v/>
      </c>
      <c r="C24" s="216">
        <f t="array" ref="C24">IF($A24="","",INDEX('Master Stock'!$D$2:$D$99,MATCH($A24,'Master Stock'!$R$2:$R$99,0)))</f>
        <v/>
      </c>
      <c r="D24" s="217">
        <f t="array" ref="D24">IF($A24="","",INDEX('Master Stock'!$B$2:$B$99,MATCH($A24,'Master Stock'!$R$2:$R$99,0)))</f>
        <v/>
      </c>
      <c r="E24" s="216">
        <f t="array" ref="E24">IF($A24="","",INDEX('Master Stock'!$G$2:$G$99,MATCH($A24,'Master Stock'!$R$2:$R$99,0)))</f>
        <v/>
      </c>
      <c r="F24" s="218">
        <f t="array" ref="F24">IF($A24="","",INDEX('Master Stock'!$F$2:$F$99,MATCH($A24,'Master Stock'!$R$2:$R$99,0)))</f>
        <v/>
      </c>
      <c r="G24" s="216" t="inlineStr">
        <is>
          <t>A</t>
        </is>
      </c>
      <c r="H24" s="217" t="n"/>
      <c r="I24" s="217">
        <f>IF($A24="","","FIFO - Oldest Receipt First")</f>
        <v/>
      </c>
      <c r="J24" s="209" t="n"/>
      <c r="K24" s="209" t="n"/>
      <c r="L24" s="209" t="n"/>
      <c r="M24" s="209" t="n"/>
      <c r="N24" s="209" t="n"/>
      <c r="O24" s="209" t="n"/>
      <c r="P24" s="209" t="n"/>
      <c r="Q24" s="209" t="n"/>
      <c r="R24" s="209" t="n"/>
      <c r="S24" s="209" t="n"/>
      <c r="T24" s="209" t="n"/>
      <c r="U24" s="209" t="n"/>
      <c r="V24" s="209" t="n"/>
      <c r="W24" s="209" t="n"/>
      <c r="X24" s="209" t="n"/>
      <c r="Y24" s="209" t="n"/>
      <c r="Z24" s="209" t="n"/>
      <c r="AA24" s="209" t="n"/>
    </row>
    <row r="25" ht="15" customHeight="1" s="230">
      <c r="A25" s="215">
        <f>IFERROR(SMALL('Master Stock'!$R$2:$R$99,ROWS($A$3:A25)),"")</f>
        <v/>
      </c>
      <c r="B25" s="216">
        <f t="array" ref="B25">IF($A25="","",INDEX('Master Stock'!$C$2:$C$99,MATCH($A25,'Master Stock'!$R$2:$R$99,0)))</f>
        <v/>
      </c>
      <c r="C25" s="216">
        <f t="array" ref="C25">IF($A25="","",INDEX('Master Stock'!$D$2:$D$99,MATCH($A25,'Master Stock'!$R$2:$R$99,0)))</f>
        <v/>
      </c>
      <c r="D25" s="217">
        <f t="array" ref="D25">IF($A25="","",INDEX('Master Stock'!$B$2:$B$99,MATCH($A25,'Master Stock'!$R$2:$R$99,0)))</f>
        <v/>
      </c>
      <c r="E25" s="216">
        <f t="array" ref="E25">IF($A25="","",INDEX('Master Stock'!$G$2:$G$99,MATCH($A25,'Master Stock'!$R$2:$R$99,0)))</f>
        <v/>
      </c>
      <c r="F25" s="218">
        <f t="array" ref="F25">IF($A25="","",INDEX('Master Stock'!$F$2:$F$99,MATCH($A25,'Master Stock'!$R$2:$R$99,0)))</f>
        <v/>
      </c>
      <c r="G25" s="216" t="inlineStr">
        <is>
          <t>A</t>
        </is>
      </c>
      <c r="H25" s="217" t="n"/>
      <c r="I25" s="217">
        <f>IF($A25="","","FIFO - Oldest Receipt First")</f>
        <v/>
      </c>
      <c r="J25" s="209" t="n"/>
      <c r="K25" s="209" t="n"/>
      <c r="L25" s="209" t="n"/>
      <c r="M25" s="209" t="n"/>
      <c r="N25" s="209" t="n"/>
      <c r="O25" s="209" t="n"/>
      <c r="P25" s="209" t="n"/>
      <c r="Q25" s="209" t="n"/>
      <c r="R25" s="209" t="n"/>
      <c r="S25" s="209" t="n"/>
      <c r="T25" s="209" t="n"/>
      <c r="U25" s="209" t="n"/>
      <c r="V25" s="209" t="n"/>
      <c r="W25" s="209" t="n"/>
      <c r="X25" s="209" t="n"/>
      <c r="Y25" s="209" t="n"/>
      <c r="Z25" s="209" t="n"/>
      <c r="AA25" s="209" t="n"/>
    </row>
    <row r="26" ht="15" customHeight="1" s="230">
      <c r="A26" s="215">
        <f>IFERROR(SMALL('Master Stock'!$R$2:$R$99,ROWS($A$3:A26)),"")</f>
        <v/>
      </c>
      <c r="B26" s="216">
        <f t="array" ref="B26">IF($A26="","",INDEX('Master Stock'!$C$2:$C$99,MATCH($A26,'Master Stock'!$R$2:$R$99,0)))</f>
        <v/>
      </c>
      <c r="C26" s="216">
        <f t="array" ref="C26">IF($A26="","",INDEX('Master Stock'!$D$2:$D$99,MATCH($A26,'Master Stock'!$R$2:$R$99,0)))</f>
        <v/>
      </c>
      <c r="D26" s="217">
        <f t="array" ref="D26">IF($A26="","",INDEX('Master Stock'!$B$2:$B$99,MATCH($A26,'Master Stock'!$R$2:$R$99,0)))</f>
        <v/>
      </c>
      <c r="E26" s="216">
        <f t="array" ref="E26">IF($A26="","",INDEX('Master Stock'!$G$2:$G$99,MATCH($A26,'Master Stock'!$R$2:$R$99,0)))</f>
        <v/>
      </c>
      <c r="F26" s="218">
        <f t="array" ref="F26">IF($A26="","",INDEX('Master Stock'!$F$2:$F$99,MATCH($A26,'Master Stock'!$R$2:$R$99,0)))</f>
        <v/>
      </c>
      <c r="G26" s="216" t="inlineStr">
        <is>
          <t>A</t>
        </is>
      </c>
      <c r="H26" s="217" t="n"/>
      <c r="I26" s="217">
        <f>IF($A26="","","FIFO - Oldest Receipt First")</f>
        <v/>
      </c>
      <c r="J26" s="209" t="n"/>
      <c r="K26" s="209" t="n"/>
      <c r="L26" s="209" t="n"/>
      <c r="M26" s="209" t="n"/>
      <c r="N26" s="209" t="n"/>
      <c r="O26" s="209" t="n"/>
      <c r="P26" s="209" t="n"/>
      <c r="Q26" s="209" t="n"/>
      <c r="R26" s="209" t="n"/>
      <c r="S26" s="209" t="n"/>
      <c r="T26" s="209" t="n"/>
      <c r="U26" s="209" t="n"/>
      <c r="V26" s="209" t="n"/>
      <c r="W26" s="209" t="n"/>
      <c r="X26" s="209" t="n"/>
      <c r="Y26" s="209" t="n"/>
      <c r="Z26" s="209" t="n"/>
      <c r="AA26" s="209" t="n"/>
    </row>
    <row r="27" ht="15" customHeight="1" s="230">
      <c r="A27" s="215">
        <f>IFERROR(SMALL('Master Stock'!$R$2:$R$99,ROWS($A$3:A27)),"")</f>
        <v/>
      </c>
      <c r="B27" s="216">
        <f t="array" ref="B27">IF($A27="","",INDEX('Master Stock'!$C$2:$C$99,MATCH($A27,'Master Stock'!$R$2:$R$99,0)))</f>
        <v/>
      </c>
      <c r="C27" s="216">
        <f t="array" ref="C27">IF($A27="","",INDEX('Master Stock'!$D$2:$D$99,MATCH($A27,'Master Stock'!$R$2:$R$99,0)))</f>
        <v/>
      </c>
      <c r="D27" s="217">
        <f t="array" ref="D27">IF($A27="","",INDEX('Master Stock'!$B$2:$B$99,MATCH($A27,'Master Stock'!$R$2:$R$99,0)))</f>
        <v/>
      </c>
      <c r="E27" s="216">
        <f t="array" ref="E27">IF($A27="","",INDEX('Master Stock'!$G$2:$G$99,MATCH($A27,'Master Stock'!$R$2:$R$99,0)))</f>
        <v/>
      </c>
      <c r="F27" s="218">
        <f t="array" ref="F27">IF($A27="","",INDEX('Master Stock'!$F$2:$F$99,MATCH($A27,'Master Stock'!$R$2:$R$99,0)))</f>
        <v/>
      </c>
      <c r="G27" s="216" t="inlineStr">
        <is>
          <t>A</t>
        </is>
      </c>
      <c r="H27" s="217" t="n"/>
      <c r="I27" s="217">
        <f>IF($A27="","","FIFO - Oldest Receipt First")</f>
        <v/>
      </c>
      <c r="J27" s="209" t="n"/>
      <c r="K27" s="209" t="n"/>
      <c r="L27" s="209" t="n"/>
      <c r="M27" s="209" t="n"/>
      <c r="N27" s="209" t="n"/>
      <c r="O27" s="209" t="n"/>
      <c r="P27" s="209" t="n"/>
      <c r="Q27" s="209" t="n"/>
      <c r="R27" s="209" t="n"/>
      <c r="S27" s="209" t="n"/>
      <c r="T27" s="209" t="n"/>
      <c r="U27" s="209" t="n"/>
      <c r="V27" s="209" t="n"/>
      <c r="W27" s="209" t="n"/>
      <c r="X27" s="209" t="n"/>
      <c r="Y27" s="209" t="n"/>
      <c r="Z27" s="209" t="n"/>
      <c r="AA27" s="209" t="n"/>
    </row>
    <row r="28" ht="15" customHeight="1" s="230">
      <c r="A28" s="215">
        <f>IFERROR(SMALL('Master Stock'!$R$2:$R$99,ROWS($A$3:A28)),"")</f>
        <v/>
      </c>
      <c r="B28" s="216">
        <f t="array" ref="B28">IF($A28="","",INDEX('Master Stock'!$C$2:$C$99,MATCH($A28,'Master Stock'!$R$2:$R$99,0)))</f>
        <v/>
      </c>
      <c r="C28" s="216">
        <f t="array" ref="C28">IF($A28="","",INDEX('Master Stock'!$D$2:$D$99,MATCH($A28,'Master Stock'!$R$2:$R$99,0)))</f>
        <v/>
      </c>
      <c r="D28" s="217">
        <f t="array" ref="D28">IF($A28="","",INDEX('Master Stock'!$B$2:$B$99,MATCH($A28,'Master Stock'!$R$2:$R$99,0)))</f>
        <v/>
      </c>
      <c r="E28" s="216">
        <f t="array" ref="E28">IF($A28="","",INDEX('Master Stock'!$G$2:$G$99,MATCH($A28,'Master Stock'!$R$2:$R$99,0)))</f>
        <v/>
      </c>
      <c r="F28" s="218">
        <f t="array" ref="F28">IF($A28="","",INDEX('Master Stock'!$F$2:$F$99,MATCH($A28,'Master Stock'!$R$2:$R$99,0)))</f>
        <v/>
      </c>
      <c r="G28" s="216" t="n"/>
      <c r="H28" s="217" t="n"/>
      <c r="I28" s="217">
        <f>IF($A28="","","FIFO - Oldest Receipt First")</f>
        <v/>
      </c>
      <c r="J28" s="209" t="n"/>
      <c r="K28" s="209" t="n"/>
      <c r="L28" s="209" t="n"/>
      <c r="M28" s="209" t="n"/>
      <c r="N28" s="209" t="n"/>
      <c r="O28" s="209" t="n"/>
      <c r="P28" s="209" t="n"/>
      <c r="Q28" s="209" t="n"/>
      <c r="R28" s="209" t="n"/>
      <c r="S28" s="209" t="n"/>
      <c r="T28" s="209" t="n"/>
      <c r="U28" s="209" t="n"/>
      <c r="V28" s="209" t="n"/>
      <c r="W28" s="209" t="n"/>
      <c r="X28" s="209" t="n"/>
      <c r="Y28" s="209" t="n"/>
      <c r="Z28" s="209" t="n"/>
      <c r="AA28" s="209" t="n"/>
    </row>
    <row r="29" ht="15" customHeight="1" s="230">
      <c r="A29" s="215">
        <f>IFERROR(SMALL('Master Stock'!$R$2:$R$99,ROWS($A$3:A29)),"")</f>
        <v/>
      </c>
      <c r="B29" s="216">
        <f t="array" ref="B29">IF($A29="","",INDEX('Master Stock'!$C$2:$C$99,MATCH($A29,'Master Stock'!$R$2:$R$99,0)))</f>
        <v/>
      </c>
      <c r="C29" s="216">
        <f t="array" ref="C29">IF($A29="","",INDEX('Master Stock'!$D$2:$D$99,MATCH($A29,'Master Stock'!$R$2:$R$99,0)))</f>
        <v/>
      </c>
      <c r="D29" s="217">
        <f t="array" ref="D29">IF($A29="","",INDEX('Master Stock'!$B$2:$B$99,MATCH($A29,'Master Stock'!$R$2:$R$99,0)))</f>
        <v/>
      </c>
      <c r="E29" s="216">
        <f t="array" ref="E29">IF($A29="","",INDEX('Master Stock'!$G$2:$G$99,MATCH($A29,'Master Stock'!$R$2:$R$99,0)))</f>
        <v/>
      </c>
      <c r="F29" s="218">
        <f t="array" ref="F29">IF($A29="","",INDEX('Master Stock'!$F$2:$F$99,MATCH($A29,'Master Stock'!$R$2:$R$99,0)))</f>
        <v/>
      </c>
      <c r="G29" s="216" t="n"/>
      <c r="H29" s="217" t="n"/>
      <c r="I29" s="217">
        <f>IF($A29="","","FIFO - Oldest Receipt First")</f>
        <v/>
      </c>
      <c r="J29" s="209" t="n"/>
      <c r="K29" s="209" t="n"/>
      <c r="L29" s="209" t="n"/>
      <c r="M29" s="209" t="n"/>
      <c r="N29" s="209" t="n"/>
      <c r="O29" s="209" t="n"/>
      <c r="P29" s="209" t="n"/>
      <c r="Q29" s="209" t="n"/>
      <c r="R29" s="209" t="n"/>
      <c r="S29" s="209" t="n"/>
      <c r="T29" s="209" t="n"/>
      <c r="U29" s="209" t="n"/>
      <c r="V29" s="209" t="n"/>
      <c r="W29" s="209" t="n"/>
      <c r="X29" s="209" t="n"/>
      <c r="Y29" s="209" t="n"/>
      <c r="Z29" s="209" t="n"/>
      <c r="AA29" s="209" t="n"/>
    </row>
    <row r="30" ht="15" customHeight="1" s="230">
      <c r="A30" s="219">
        <f>IFERROR(SMALL('Master Stock'!$R$2:$R$99,ROWS($A$3:A30)),"")</f>
        <v/>
      </c>
      <c r="B30" s="211">
        <f t="array" ref="B30">IF($A30="","",INDEX('Master Stock'!$C$2:$C$99,MATCH($A30,'Master Stock'!$R$2:$R$99,0)))</f>
        <v/>
      </c>
      <c r="C30" s="211">
        <f t="array" ref="C30">IF($A30="","",INDEX('Master Stock'!$D$2:$D$99,MATCH($A30,'Master Stock'!$R$2:$R$99,0)))</f>
        <v/>
      </c>
      <c r="D30" s="214">
        <f t="array" ref="D30">IF($A30="","",INDEX('Master Stock'!$B$2:$B$99,MATCH($A30,'Master Stock'!$R$2:$R$99,0)))</f>
        <v/>
      </c>
      <c r="E30" s="211">
        <f t="array" ref="E30">IF($A30="","",INDEX('Master Stock'!$G$2:$G$99,MATCH($A30,'Master Stock'!$R$2:$R$99,0)))</f>
        <v/>
      </c>
      <c r="F30" s="213">
        <f t="array" ref="F30">IF($A30="","",INDEX('Master Stock'!$F$2:$F$99,MATCH($A30,'Master Stock'!$R$2:$R$99,0)))</f>
        <v/>
      </c>
      <c r="G30" s="211">
        <f>IF($A30="","","Rice / FRK RRA")</f>
        <v/>
      </c>
      <c r="H30" s="214" t="n"/>
      <c r="I30" s="214">
        <f>IF($A30="","","FIFO - Oldest Receipt First")</f>
        <v/>
      </c>
      <c r="J30" s="209" t="n"/>
      <c r="K30" s="209" t="n"/>
      <c r="L30" s="209" t="n"/>
      <c r="M30" s="209" t="n"/>
      <c r="N30" s="209" t="n"/>
      <c r="O30" s="209" t="n"/>
      <c r="P30" s="209" t="n"/>
      <c r="Q30" s="209" t="n"/>
      <c r="R30" s="209" t="n"/>
      <c r="S30" s="209" t="n"/>
      <c r="T30" s="209" t="n"/>
      <c r="U30" s="209" t="n"/>
      <c r="V30" s="209" t="n"/>
      <c r="W30" s="209" t="n"/>
      <c r="X30" s="209" t="n"/>
      <c r="Y30" s="209" t="n"/>
      <c r="Z30" s="209" t="n"/>
      <c r="AA30" s="209" t="n"/>
    </row>
    <row r="31" ht="15" customHeight="1" s="230">
      <c r="A31" s="219">
        <f>IFERROR(SMALL('Master Stock'!$R$2:$R$99,ROWS($A$3:A31)),"")</f>
        <v/>
      </c>
      <c r="B31" s="211">
        <f t="array" ref="B31">IF($A31="","",INDEX('Master Stock'!$C$2:$C$99,MATCH($A31,'Master Stock'!$R$2:$R$99,0)))</f>
        <v/>
      </c>
      <c r="C31" s="211">
        <f t="array" ref="C31">IF($A31="","",INDEX('Master Stock'!$D$2:$D$99,MATCH($A31,'Master Stock'!$R$2:$R$99,0)))</f>
        <v/>
      </c>
      <c r="D31" s="214">
        <f t="array" ref="D31">IF($A31="","",INDEX('Master Stock'!$B$2:$B$99,MATCH($A31,'Master Stock'!$R$2:$R$99,0)))</f>
        <v/>
      </c>
      <c r="E31" s="211">
        <f t="array" ref="E31">IF($A31="","",INDEX('Master Stock'!$G$2:$G$99,MATCH($A31,'Master Stock'!$R$2:$R$99,0)))</f>
        <v/>
      </c>
      <c r="F31" s="213">
        <f t="array" ref="F31">IF($A31="","",INDEX('Master Stock'!$F$2:$F$99,MATCH($A31,'Master Stock'!$R$2:$R$99,0)))</f>
        <v/>
      </c>
      <c r="G31" s="211">
        <f>IF($A31="","","Rice / FRK RRA")</f>
        <v/>
      </c>
      <c r="H31" s="214" t="n"/>
      <c r="I31" s="214">
        <f>IF($A31="","","FIFO - Oldest Receipt First")</f>
        <v/>
      </c>
      <c r="J31" s="209" t="n"/>
      <c r="K31" s="209" t="n"/>
      <c r="L31" s="209" t="n"/>
      <c r="M31" s="209" t="n"/>
      <c r="N31" s="209" t="n"/>
      <c r="O31" s="209" t="n"/>
      <c r="P31" s="209" t="n"/>
      <c r="Q31" s="209" t="n"/>
      <c r="R31" s="209" t="n"/>
      <c r="S31" s="209" t="n"/>
      <c r="T31" s="209" t="n"/>
      <c r="U31" s="209" t="n"/>
      <c r="V31" s="209" t="n"/>
      <c r="W31" s="209" t="n"/>
      <c r="X31" s="209" t="n"/>
      <c r="Y31" s="209" t="n"/>
      <c r="Z31" s="209" t="n"/>
      <c r="AA31" s="209" t="n"/>
    </row>
    <row r="32" ht="15" customHeight="1" s="230">
      <c r="A32" s="219">
        <f>IFERROR(SMALL('Master Stock'!$R$2:$R$99,ROWS($A$3:A32)),"")</f>
        <v/>
      </c>
      <c r="B32" s="211">
        <f t="array" ref="B32">IF($A32="","",INDEX('Master Stock'!$C$2:$C$99,MATCH($A32,'Master Stock'!$R$2:$R$99,0)))</f>
        <v/>
      </c>
      <c r="C32" s="211">
        <f t="array" ref="C32">IF($A32="","",INDEX('Master Stock'!$D$2:$D$99,MATCH($A32,'Master Stock'!$R$2:$R$99,0)))</f>
        <v/>
      </c>
      <c r="D32" s="214">
        <f t="array" ref="D32">IF($A32="","",INDEX('Master Stock'!$B$2:$B$99,MATCH($A32,'Master Stock'!$R$2:$R$99,0)))</f>
        <v/>
      </c>
      <c r="E32" s="211">
        <f t="array" ref="E32">IF($A32="","",INDEX('Master Stock'!$G$2:$G$99,MATCH($A32,'Master Stock'!$R$2:$R$99,0)))</f>
        <v/>
      </c>
      <c r="F32" s="213">
        <f t="array" ref="F32">IF($A32="","",INDEX('Master Stock'!$F$2:$F$99,MATCH($A32,'Master Stock'!$R$2:$R$99,0)))</f>
        <v/>
      </c>
      <c r="G32" s="211">
        <f>IF($A32="","","Rice / FRK RRA")</f>
        <v/>
      </c>
      <c r="H32" s="214" t="n"/>
      <c r="I32" s="214">
        <f>IF($A32="","","FIFO - Oldest Receipt First")</f>
        <v/>
      </c>
      <c r="J32" s="209" t="n"/>
      <c r="K32" s="209" t="n"/>
      <c r="L32" s="209" t="n"/>
      <c r="M32" s="209" t="n"/>
      <c r="N32" s="209" t="n"/>
      <c r="O32" s="209" t="n"/>
      <c r="P32" s="209" t="n"/>
      <c r="Q32" s="209" t="n"/>
      <c r="R32" s="209" t="n"/>
      <c r="S32" s="209" t="n"/>
      <c r="T32" s="209" t="n"/>
      <c r="U32" s="209" t="n"/>
      <c r="V32" s="209" t="n"/>
      <c r="W32" s="209" t="n"/>
      <c r="X32" s="209" t="n"/>
      <c r="Y32" s="209" t="n"/>
      <c r="Z32" s="209" t="n"/>
      <c r="AA32" s="209" t="n"/>
    </row>
    <row r="33" hidden="1" ht="15" customHeight="1" s="230">
      <c r="A33" s="219">
        <f>IFERROR(SMALL('Master Stock'!$R$2:$R$99,ROWS($A$3:A33)),"")</f>
        <v/>
      </c>
      <c r="B33" s="211">
        <f t="array" ref="B33">IF($A33="","",INDEX('Master Stock'!$C$2:$C$99,MATCH($A33,'Master Stock'!$R$2:$R$99,0)))</f>
        <v/>
      </c>
      <c r="C33" s="211">
        <f t="array" ref="C33">IF($A33="","",INDEX('Master Stock'!$D$2:$D$99,MATCH($A33,'Master Stock'!$R$2:$R$99,0)))</f>
        <v/>
      </c>
      <c r="D33" s="214">
        <f t="array" ref="D33">IF($A33="","",INDEX('Master Stock'!$B$2:$B$99,MATCH($A33,'Master Stock'!$R$2:$R$99,0)))</f>
        <v/>
      </c>
      <c r="E33" s="211">
        <f t="array" ref="E33">IF($A33="","",INDEX('Master Stock'!$G$2:$G$99,MATCH($A33,'Master Stock'!$R$2:$R$99,0)))</f>
        <v/>
      </c>
      <c r="F33" s="213">
        <f t="array" ref="F33">IF($A33="","",INDEX('Master Stock'!$F$2:$F$99,MATCH($A33,'Master Stock'!$R$2:$R$99,0)))</f>
        <v/>
      </c>
      <c r="G33" s="211">
        <f>IF($A33="","","Rice / FRK RRA")</f>
        <v/>
      </c>
      <c r="H33" s="214" t="n"/>
      <c r="I33" s="214">
        <f>IF($A33="","","FIFO - Oldest Receipt First")</f>
        <v/>
      </c>
      <c r="J33" s="209" t="n"/>
      <c r="K33" s="209" t="n"/>
      <c r="L33" s="209" t="n"/>
      <c r="M33" s="209" t="n"/>
      <c r="N33" s="209" t="n"/>
      <c r="O33" s="209" t="n"/>
      <c r="P33" s="209" t="n"/>
      <c r="Q33" s="209" t="n"/>
      <c r="R33" s="209" t="n"/>
      <c r="S33" s="209" t="n"/>
      <c r="T33" s="209" t="n"/>
      <c r="U33" s="209" t="n"/>
      <c r="V33" s="209" t="n"/>
      <c r="W33" s="209" t="n"/>
      <c r="X33" s="209" t="n"/>
      <c r="Y33" s="209" t="n"/>
      <c r="Z33" s="209" t="n"/>
      <c r="AA33" s="209" t="n"/>
    </row>
    <row r="34" hidden="1" ht="15" customHeight="1" s="230">
      <c r="A34" s="219">
        <f>IFERROR(SMALL('Master Stock'!$R$2:$R$99,ROWS($A$3:A34)),"")</f>
        <v/>
      </c>
      <c r="B34" s="211">
        <f t="array" ref="B34">IF($A34="","",INDEX('Master Stock'!$C$2:$C$99,MATCH($A34,'Master Stock'!$R$2:$R$99,0)))</f>
        <v/>
      </c>
      <c r="C34" s="211">
        <f t="array" ref="C34">IF($A34="","",INDEX('Master Stock'!$D$2:$D$99,MATCH($A34,'Master Stock'!$R$2:$R$99,0)))</f>
        <v/>
      </c>
      <c r="D34" s="214">
        <f t="array" ref="D34">IF($A34="","",INDEX('Master Stock'!$B$2:$B$99,MATCH($A34,'Master Stock'!$R$2:$R$99,0)))</f>
        <v/>
      </c>
      <c r="E34" s="211">
        <f t="array" ref="E34">IF($A34="","",INDEX('Master Stock'!$G$2:$G$99,MATCH($A34,'Master Stock'!$R$2:$R$99,0)))</f>
        <v/>
      </c>
      <c r="F34" s="213">
        <f t="array" ref="F34">IF($A34="","",INDEX('Master Stock'!$F$2:$F$99,MATCH($A34,'Master Stock'!$R$2:$R$99,0)))</f>
        <v/>
      </c>
      <c r="G34" s="211">
        <f>IF($A34="","","Rice / FRK RRA")</f>
        <v/>
      </c>
      <c r="H34" s="214" t="n"/>
      <c r="I34" s="214">
        <f>IF($A34="","","FIFO - Oldest Receipt First")</f>
        <v/>
      </c>
      <c r="J34" s="209" t="n"/>
      <c r="K34" s="209" t="n"/>
      <c r="L34" s="209" t="n"/>
      <c r="M34" s="209" t="n"/>
      <c r="N34" s="209" t="n"/>
      <c r="O34" s="209" t="n"/>
      <c r="P34" s="209" t="n"/>
      <c r="Q34" s="209" t="n"/>
      <c r="R34" s="209" t="n"/>
      <c r="S34" s="209" t="n"/>
      <c r="T34" s="209" t="n"/>
      <c r="U34" s="209" t="n"/>
      <c r="V34" s="209" t="n"/>
      <c r="W34" s="209" t="n"/>
      <c r="X34" s="209" t="n"/>
      <c r="Y34" s="209" t="n"/>
      <c r="Z34" s="209" t="n"/>
      <c r="AA34" s="209" t="n"/>
    </row>
    <row r="35" hidden="1" ht="15" customHeight="1" s="230">
      <c r="A35" s="219">
        <f>IFERROR(SMALL('Master Stock'!$R$2:$R$99,ROWS($A$3:A35)),"")</f>
        <v/>
      </c>
      <c r="B35" s="211">
        <f t="array" ref="B35">IF($A35="","",INDEX('Master Stock'!$C$2:$C$99,MATCH($A35,'Master Stock'!$R$2:$R$99,0)))</f>
        <v/>
      </c>
      <c r="C35" s="211">
        <f t="array" ref="C35">IF($A35="","",INDEX('Master Stock'!$D$2:$D$99,MATCH($A35,'Master Stock'!$R$2:$R$99,0)))</f>
        <v/>
      </c>
      <c r="D35" s="214">
        <f t="array" ref="D35">IF($A35="","",INDEX('Master Stock'!$B$2:$B$99,MATCH($A35,'Master Stock'!$R$2:$R$99,0)))</f>
        <v/>
      </c>
      <c r="E35" s="211">
        <f t="array" ref="E35">IF($A35="","",INDEX('Master Stock'!$G$2:$G$99,MATCH($A35,'Master Stock'!$R$2:$R$99,0)))</f>
        <v/>
      </c>
      <c r="F35" s="213">
        <f t="array" ref="F35">IF($A35="","",INDEX('Master Stock'!$F$2:$F$99,MATCH($A35,'Master Stock'!$R$2:$R$99,0)))</f>
        <v/>
      </c>
      <c r="G35" s="211">
        <f>IF($A35="","","Rice / FRK RRA")</f>
        <v/>
      </c>
      <c r="H35" s="214" t="n"/>
      <c r="I35" s="214">
        <f>IF($A35="","","FIFO - Oldest Receipt First")</f>
        <v/>
      </c>
      <c r="J35" s="209" t="n"/>
      <c r="K35" s="209" t="n"/>
      <c r="L35" s="209" t="n"/>
      <c r="M35" s="209" t="n"/>
      <c r="N35" s="209" t="n"/>
      <c r="O35" s="209" t="n"/>
      <c r="P35" s="209" t="n"/>
      <c r="Q35" s="209" t="n"/>
      <c r="R35" s="209" t="n"/>
      <c r="S35" s="209" t="n"/>
      <c r="T35" s="209" t="n"/>
      <c r="U35" s="209" t="n"/>
      <c r="V35" s="209" t="n"/>
      <c r="W35" s="209" t="n"/>
      <c r="X35" s="209" t="n"/>
      <c r="Y35" s="209" t="n"/>
      <c r="Z35" s="209" t="n"/>
      <c r="AA35" s="209" t="n"/>
    </row>
    <row r="36" hidden="1" ht="15" customHeight="1" s="230">
      <c r="A36" s="219">
        <f>IFERROR(SMALL('Master Stock'!$R$2:$R$99,ROWS($A$3:A36)),"")</f>
        <v/>
      </c>
      <c r="B36" s="211">
        <f t="array" ref="B36">IF($A36="","",INDEX('Master Stock'!$C$2:$C$99,MATCH($A36,'Master Stock'!$R$2:$R$99,0)))</f>
        <v/>
      </c>
      <c r="C36" s="211">
        <f t="array" ref="C36">IF($A36="","",INDEX('Master Stock'!$D$2:$D$99,MATCH($A36,'Master Stock'!$R$2:$R$99,0)))</f>
        <v/>
      </c>
      <c r="D36" s="214">
        <f t="array" ref="D36">IF($A36="","",INDEX('Master Stock'!$B$2:$B$99,MATCH($A36,'Master Stock'!$R$2:$R$99,0)))</f>
        <v/>
      </c>
      <c r="E36" s="211">
        <f t="array" ref="E36">IF($A36="","",INDEX('Master Stock'!$G$2:$G$99,MATCH($A36,'Master Stock'!$R$2:$R$99,0)))</f>
        <v/>
      </c>
      <c r="F36" s="213">
        <f t="array" ref="F36">IF($A36="","",INDEX('Master Stock'!$F$2:$F$99,MATCH($A36,'Master Stock'!$R$2:$R$99,0)))</f>
        <v/>
      </c>
      <c r="G36" s="211">
        <f>IF($A36="","","Rice / FRK RRA")</f>
        <v/>
      </c>
      <c r="H36" s="214" t="n"/>
      <c r="I36" s="214">
        <f>IF($A36="","","FIFO - Oldest Receipt First")</f>
        <v/>
      </c>
      <c r="J36" s="209" t="n"/>
      <c r="K36" s="209" t="n"/>
      <c r="L36" s="209" t="n"/>
      <c r="M36" s="209" t="n"/>
      <c r="N36" s="209" t="n"/>
      <c r="O36" s="209" t="n"/>
      <c r="P36" s="209" t="n"/>
      <c r="Q36" s="209" t="n"/>
      <c r="R36" s="209" t="n"/>
      <c r="S36" s="209" t="n"/>
      <c r="T36" s="209" t="n"/>
      <c r="U36" s="209" t="n"/>
      <c r="V36" s="209" t="n"/>
      <c r="W36" s="209" t="n"/>
      <c r="X36" s="209" t="n"/>
      <c r="Y36" s="209" t="n"/>
      <c r="Z36" s="209" t="n"/>
      <c r="AA36" s="209" t="n"/>
    </row>
    <row r="37" hidden="1" ht="15" customHeight="1" s="230">
      <c r="A37" s="219">
        <f>IFERROR(SMALL('Master Stock'!$R$2:$R$99,ROWS($A$3:A37)),"")</f>
        <v/>
      </c>
      <c r="B37" s="211">
        <f t="array" ref="B37">IF($A37="","",INDEX('Master Stock'!$C$2:$C$99,MATCH($A37,'Master Stock'!$R$2:$R$99,0)))</f>
        <v/>
      </c>
      <c r="C37" s="211">
        <f t="array" ref="C37">IF($A37="","",INDEX('Master Stock'!$D$2:$D$99,MATCH($A37,'Master Stock'!$R$2:$R$99,0)))</f>
        <v/>
      </c>
      <c r="D37" s="214">
        <f t="array" ref="D37">IF($A37="","",INDEX('Master Stock'!$B$2:$B$99,MATCH($A37,'Master Stock'!$R$2:$R$99,0)))</f>
        <v/>
      </c>
      <c r="E37" s="211">
        <f t="array" ref="E37">IF($A37="","",INDEX('Master Stock'!$G$2:$G$99,MATCH($A37,'Master Stock'!$R$2:$R$99,0)))</f>
        <v/>
      </c>
      <c r="F37" s="213">
        <f t="array" ref="F37">IF($A37="","",INDEX('Master Stock'!$F$2:$F$99,MATCH($A37,'Master Stock'!$R$2:$R$99,0)))</f>
        <v/>
      </c>
      <c r="G37" s="211">
        <f>IF($A37="","","Rice / FRK RRA")</f>
        <v/>
      </c>
      <c r="H37" s="214" t="n"/>
      <c r="I37" s="214">
        <f>IF($A37="","","FIFO - Oldest Receipt First")</f>
        <v/>
      </c>
      <c r="J37" s="209" t="n"/>
      <c r="K37" s="209" t="n"/>
      <c r="L37" s="209" t="n"/>
      <c r="M37" s="209" t="n"/>
      <c r="N37" s="209" t="n"/>
      <c r="O37" s="209" t="n"/>
      <c r="P37" s="209" t="n"/>
      <c r="Q37" s="209" t="n"/>
      <c r="R37" s="209" t="n"/>
      <c r="S37" s="209" t="n"/>
      <c r="T37" s="209" t="n"/>
      <c r="U37" s="209" t="n"/>
      <c r="V37" s="209" t="n"/>
      <c r="W37" s="209" t="n"/>
      <c r="X37" s="209" t="n"/>
      <c r="Y37" s="209" t="n"/>
      <c r="Z37" s="209" t="n"/>
      <c r="AA37" s="209" t="n"/>
    </row>
    <row r="38" hidden="1" ht="15" customHeight="1" s="230">
      <c r="A38" s="219">
        <f>IFERROR(SMALL('Master Stock'!$R$2:$R$99,ROWS($A$3:A38)),"")</f>
        <v/>
      </c>
      <c r="B38" s="211">
        <f t="array" ref="B38">IF($A38="","",INDEX('Master Stock'!$C$2:$C$99,MATCH($A38,'Master Stock'!$R$2:$R$99,0)))</f>
        <v/>
      </c>
      <c r="C38" s="211">
        <f t="array" ref="C38">IF($A38="","",INDEX('Master Stock'!$D$2:$D$99,MATCH($A38,'Master Stock'!$R$2:$R$99,0)))</f>
        <v/>
      </c>
      <c r="D38" s="214">
        <f t="array" ref="D38">IF($A38="","",INDEX('Master Stock'!$B$2:$B$99,MATCH($A38,'Master Stock'!$R$2:$R$99,0)))</f>
        <v/>
      </c>
      <c r="E38" s="211">
        <f t="array" ref="E38">IF($A38="","",INDEX('Master Stock'!$G$2:$G$99,MATCH($A38,'Master Stock'!$R$2:$R$99,0)))</f>
        <v/>
      </c>
      <c r="F38" s="213">
        <f t="array" ref="F38">IF($A38="","",INDEX('Master Stock'!$F$2:$F$99,MATCH($A38,'Master Stock'!$R$2:$R$99,0)))</f>
        <v/>
      </c>
      <c r="G38" s="211">
        <f>IF($A38="","","Rice / FRK RRA")</f>
        <v/>
      </c>
      <c r="H38" s="214" t="n"/>
      <c r="I38" s="214">
        <f>IF($A38="","","FIFO - Oldest Receipt First")</f>
        <v/>
      </c>
      <c r="J38" s="209" t="n"/>
      <c r="K38" s="209" t="n"/>
      <c r="L38" s="209" t="n"/>
      <c r="M38" s="209" t="n"/>
      <c r="N38" s="209" t="n"/>
      <c r="O38" s="209" t="n"/>
      <c r="P38" s="209" t="n"/>
      <c r="Q38" s="209" t="n"/>
      <c r="R38" s="209" t="n"/>
      <c r="S38" s="209" t="n"/>
      <c r="T38" s="209" t="n"/>
      <c r="U38" s="209" t="n"/>
      <c r="V38" s="209" t="n"/>
      <c r="W38" s="209" t="n"/>
      <c r="X38" s="209" t="n"/>
      <c r="Y38" s="209" t="n"/>
      <c r="Z38" s="209" t="n"/>
      <c r="AA38" s="209" t="n"/>
    </row>
    <row r="39" hidden="1" ht="15" customHeight="1" s="230">
      <c r="A39" s="219">
        <f>IFERROR(SMALL('Master Stock'!$R$2:$R$99,ROWS($A$3:A39)),"")</f>
        <v/>
      </c>
      <c r="B39" s="211">
        <f t="array" ref="B39">IF($A39="","",INDEX('Master Stock'!$C$2:$C$99,MATCH($A39,'Master Stock'!$R$2:$R$99,0)))</f>
        <v/>
      </c>
      <c r="C39" s="211">
        <f t="array" ref="C39">IF($A39="","",INDEX('Master Stock'!$D$2:$D$99,MATCH($A39,'Master Stock'!$R$2:$R$99,0)))</f>
        <v/>
      </c>
      <c r="D39" s="214">
        <f t="array" ref="D39">IF($A39="","",INDEX('Master Stock'!$B$2:$B$99,MATCH($A39,'Master Stock'!$R$2:$R$99,0)))</f>
        <v/>
      </c>
      <c r="E39" s="211">
        <f t="array" ref="E39">IF($A39="","",INDEX('Master Stock'!$G$2:$G$99,MATCH($A39,'Master Stock'!$R$2:$R$99,0)))</f>
        <v/>
      </c>
      <c r="F39" s="213">
        <f t="array" ref="F39">IF($A39="","",INDEX('Master Stock'!$F$2:$F$99,MATCH($A39,'Master Stock'!$R$2:$R$99,0)))</f>
        <v/>
      </c>
      <c r="G39" s="211">
        <f>IF($A39="","","Rice / FRK RRA")</f>
        <v/>
      </c>
      <c r="H39" s="214" t="n"/>
      <c r="I39" s="214">
        <f>IF($A39="","","FIFO - Oldest Receipt First")</f>
        <v/>
      </c>
      <c r="J39" s="209" t="n"/>
      <c r="K39" s="209" t="n"/>
      <c r="L39" s="209" t="n"/>
      <c r="M39" s="209" t="n"/>
      <c r="N39" s="209" t="n"/>
      <c r="O39" s="209" t="n"/>
      <c r="P39" s="209" t="n"/>
      <c r="Q39" s="209" t="n"/>
      <c r="R39" s="209" t="n"/>
      <c r="S39" s="209" t="n"/>
      <c r="T39" s="209" t="n"/>
      <c r="U39" s="209" t="n"/>
      <c r="V39" s="209" t="n"/>
      <c r="W39" s="209" t="n"/>
      <c r="X39" s="209" t="n"/>
      <c r="Y39" s="209" t="n"/>
      <c r="Z39" s="209" t="n"/>
      <c r="AA39" s="209" t="n"/>
    </row>
    <row r="40" hidden="1" ht="15" customHeight="1" s="230">
      <c r="A40" s="219">
        <f>IFERROR(SMALL('Master Stock'!$R$2:$R$99,ROWS($A$3:A40)),"")</f>
        <v/>
      </c>
      <c r="B40" s="211">
        <f t="array" ref="B40">IF($A40="","",INDEX('Master Stock'!$C$2:$C$99,MATCH($A40,'Master Stock'!$R$2:$R$99,0)))</f>
        <v/>
      </c>
      <c r="C40" s="211">
        <f t="array" ref="C40">IF($A40="","",INDEX('Master Stock'!$D$2:$D$99,MATCH($A40,'Master Stock'!$R$2:$R$99,0)))</f>
        <v/>
      </c>
      <c r="D40" s="214">
        <f t="array" ref="D40">IF($A40="","",INDEX('Master Stock'!$B$2:$B$99,MATCH($A40,'Master Stock'!$R$2:$R$99,0)))</f>
        <v/>
      </c>
      <c r="E40" s="211">
        <f t="array" ref="E40">IF($A40="","",INDEX('Master Stock'!$G$2:$G$99,MATCH($A40,'Master Stock'!$R$2:$R$99,0)))</f>
        <v/>
      </c>
      <c r="F40" s="213">
        <f t="array" ref="F40">IF($A40="","",INDEX('Master Stock'!$F$2:$F$99,MATCH($A40,'Master Stock'!$R$2:$R$99,0)))</f>
        <v/>
      </c>
      <c r="G40" s="211">
        <f>IF($A40="","","Rice / FRK RRA")</f>
        <v/>
      </c>
      <c r="H40" s="214" t="n"/>
      <c r="I40" s="214">
        <f>IF($A40="","","FIFO - Oldest Receipt First")</f>
        <v/>
      </c>
      <c r="J40" s="209" t="n"/>
      <c r="K40" s="209" t="n"/>
      <c r="L40" s="209" t="n"/>
      <c r="M40" s="209" t="n"/>
      <c r="N40" s="209" t="n"/>
      <c r="O40" s="209" t="n"/>
      <c r="P40" s="209" t="n"/>
      <c r="Q40" s="209" t="n"/>
      <c r="R40" s="209" t="n"/>
      <c r="S40" s="209" t="n"/>
      <c r="T40" s="209" t="n"/>
      <c r="U40" s="209" t="n"/>
      <c r="V40" s="209" t="n"/>
      <c r="W40" s="209" t="n"/>
      <c r="X40" s="209" t="n"/>
      <c r="Y40" s="209" t="n"/>
      <c r="Z40" s="209" t="n"/>
      <c r="AA40" s="209" t="n"/>
    </row>
    <row r="41" hidden="1" ht="15" customHeight="1" s="230">
      <c r="A41" s="219">
        <f>IFERROR(SMALL('Master Stock'!$R$2:$R$99,ROWS($A$3:A41)),"")</f>
        <v/>
      </c>
      <c r="B41" s="211">
        <f t="array" ref="B41">IF($A41="","",INDEX('Master Stock'!$C$2:$C$99,MATCH($A41,'Master Stock'!$R$2:$R$99,0)))</f>
        <v/>
      </c>
      <c r="C41" s="211">
        <f t="array" ref="C41">IF($A41="","",INDEX('Master Stock'!$D$2:$D$99,MATCH($A41,'Master Stock'!$R$2:$R$99,0)))</f>
        <v/>
      </c>
      <c r="D41" s="214">
        <f t="array" ref="D41">IF($A41="","",INDEX('Master Stock'!$B$2:$B$99,MATCH($A41,'Master Stock'!$R$2:$R$99,0)))</f>
        <v/>
      </c>
      <c r="E41" s="211">
        <f t="array" ref="E41">IF($A41="","",INDEX('Master Stock'!$G$2:$G$99,MATCH($A41,'Master Stock'!$R$2:$R$99,0)))</f>
        <v/>
      </c>
      <c r="F41" s="213">
        <f t="array" ref="F41">IF($A41="","",INDEX('Master Stock'!$F$2:$F$99,MATCH($A41,'Master Stock'!$R$2:$R$99,0)))</f>
        <v/>
      </c>
      <c r="G41" s="211">
        <f>IF($A41="","","Rice / FRK RRA")</f>
        <v/>
      </c>
      <c r="H41" s="214" t="n"/>
      <c r="I41" s="214">
        <f>IF($A41="","","FIFO - Oldest Receipt First")</f>
        <v/>
      </c>
      <c r="J41" s="209" t="n"/>
      <c r="K41" s="209" t="n"/>
      <c r="L41" s="209" t="n"/>
      <c r="M41" s="209" t="n"/>
      <c r="N41" s="209" t="n"/>
      <c r="O41" s="209" t="n"/>
      <c r="P41" s="209" t="n"/>
      <c r="Q41" s="209" t="n"/>
      <c r="R41" s="209" t="n"/>
      <c r="S41" s="209" t="n"/>
      <c r="T41" s="209" t="n"/>
      <c r="U41" s="209" t="n"/>
      <c r="V41" s="209" t="n"/>
      <c r="W41" s="209" t="n"/>
      <c r="X41" s="209" t="n"/>
      <c r="Y41" s="209" t="n"/>
      <c r="Z41" s="209" t="n"/>
      <c r="AA41" s="209" t="n"/>
    </row>
    <row r="42" hidden="1" ht="15" customHeight="1" s="230">
      <c r="A42" s="219">
        <f>IFERROR(SMALL('Master Stock'!$R$2:$R$99,ROWS($A$3:A42)),"")</f>
        <v/>
      </c>
      <c r="B42" s="211">
        <f t="array" ref="B42">IF($A42="","",INDEX('Master Stock'!$C$2:$C$99,MATCH($A42,'Master Stock'!$R$2:$R$99,0)))</f>
        <v/>
      </c>
      <c r="C42" s="211">
        <f t="array" ref="C42">IF($A42="","",INDEX('Master Stock'!$D$2:$D$99,MATCH($A42,'Master Stock'!$R$2:$R$99,0)))</f>
        <v/>
      </c>
      <c r="D42" s="214">
        <f t="array" ref="D42">IF($A42="","",INDEX('Master Stock'!$B$2:$B$99,MATCH($A42,'Master Stock'!$R$2:$R$99,0)))</f>
        <v/>
      </c>
      <c r="E42" s="211">
        <f t="array" ref="E42">IF($A42="","",INDEX('Master Stock'!$G$2:$G$99,MATCH($A42,'Master Stock'!$R$2:$R$99,0)))</f>
        <v/>
      </c>
      <c r="F42" s="213">
        <f t="array" ref="F42">IF($A42="","",INDEX('Master Stock'!$F$2:$F$99,MATCH($A42,'Master Stock'!$R$2:$R$99,0)))</f>
        <v/>
      </c>
      <c r="G42" s="211">
        <f>IF($A42="","","Rice / FRK RRA")</f>
        <v/>
      </c>
      <c r="H42" s="214" t="n"/>
      <c r="I42" s="214">
        <f>IF($A42="","","FIFO - Oldest Receipt First")</f>
        <v/>
      </c>
      <c r="J42" s="209" t="n"/>
      <c r="K42" s="209" t="n"/>
      <c r="L42" s="209" t="n"/>
      <c r="M42" s="209" t="n"/>
      <c r="N42" s="209" t="n"/>
      <c r="O42" s="209" t="n"/>
      <c r="P42" s="209" t="n"/>
      <c r="Q42" s="209" t="n"/>
      <c r="R42" s="209" t="n"/>
      <c r="S42" s="209" t="n"/>
      <c r="T42" s="209" t="n"/>
      <c r="U42" s="209" t="n"/>
      <c r="V42" s="209" t="n"/>
      <c r="W42" s="209" t="n"/>
      <c r="X42" s="209" t="n"/>
      <c r="Y42" s="209" t="n"/>
      <c r="Z42" s="209" t="n"/>
      <c r="AA42" s="209" t="n"/>
    </row>
    <row r="43" hidden="1" ht="15" customHeight="1" s="230">
      <c r="A43" s="219">
        <f>IFERROR(SMALL('Master Stock'!$R$2:$R$99,ROWS($A$3:A43)),"")</f>
        <v/>
      </c>
      <c r="B43" s="211">
        <f t="array" ref="B43">IF($A43="","",INDEX('Master Stock'!$C$2:$C$99,MATCH($A43,'Master Stock'!$R$2:$R$99,0)))</f>
        <v/>
      </c>
      <c r="C43" s="211">
        <f t="array" ref="C43">IF($A43="","",INDEX('Master Stock'!$D$2:$D$99,MATCH($A43,'Master Stock'!$R$2:$R$99,0)))</f>
        <v/>
      </c>
      <c r="D43" s="214">
        <f t="array" ref="D43">IF($A43="","",INDEX('Master Stock'!$B$2:$B$99,MATCH($A43,'Master Stock'!$R$2:$R$99,0)))</f>
        <v/>
      </c>
      <c r="E43" s="211">
        <f t="array" ref="E43">IF($A43="","",INDEX('Master Stock'!$G$2:$G$99,MATCH($A43,'Master Stock'!$R$2:$R$99,0)))</f>
        <v/>
      </c>
      <c r="F43" s="213">
        <f t="array" ref="F43">IF($A43="","",INDEX('Master Stock'!$F$2:$F$99,MATCH($A43,'Master Stock'!$R$2:$R$99,0)))</f>
        <v/>
      </c>
      <c r="G43" s="211">
        <f>IF($A43="","","Rice / FRK RRA")</f>
        <v/>
      </c>
      <c r="H43" s="214" t="n"/>
      <c r="I43" s="214">
        <f>IF($A43="","","FIFO - Oldest Receipt First")</f>
        <v/>
      </c>
      <c r="J43" s="209" t="n"/>
      <c r="K43" s="209" t="n"/>
      <c r="L43" s="209" t="n"/>
      <c r="M43" s="209" t="n"/>
      <c r="N43" s="209" t="n"/>
      <c r="O43" s="209" t="n"/>
      <c r="P43" s="209" t="n"/>
      <c r="Q43" s="209" t="n"/>
      <c r="R43" s="209" t="n"/>
      <c r="S43" s="209" t="n"/>
      <c r="T43" s="209" t="n"/>
      <c r="U43" s="209" t="n"/>
      <c r="V43" s="209" t="n"/>
      <c r="W43" s="209" t="n"/>
      <c r="X43" s="209" t="n"/>
      <c r="Y43" s="209" t="n"/>
      <c r="Z43" s="209" t="n"/>
      <c r="AA43" s="209" t="n"/>
    </row>
    <row r="44" hidden="1" ht="15" customHeight="1" s="230">
      <c r="A44" s="219">
        <f>IFERROR(SMALL('Master Stock'!$R$2:$R$99,ROWS($A$3:A44)),"")</f>
        <v/>
      </c>
      <c r="B44" s="211">
        <f t="array" ref="B44">IF($A44="","",INDEX('Master Stock'!$C$2:$C$99,MATCH($A44,'Master Stock'!$R$2:$R$99,0)))</f>
        <v/>
      </c>
      <c r="C44" s="211">
        <f t="array" ref="C44">IF($A44="","",INDEX('Master Stock'!$D$2:$D$99,MATCH($A44,'Master Stock'!$R$2:$R$99,0)))</f>
        <v/>
      </c>
      <c r="D44" s="214">
        <f t="array" ref="D44">IF($A44="","",INDEX('Master Stock'!$B$2:$B$99,MATCH($A44,'Master Stock'!$R$2:$R$99,0)))</f>
        <v/>
      </c>
      <c r="E44" s="211">
        <f t="array" ref="E44">IF($A44="","",INDEX('Master Stock'!$G$2:$G$99,MATCH($A44,'Master Stock'!$R$2:$R$99,0)))</f>
        <v/>
      </c>
      <c r="F44" s="213">
        <f t="array" ref="F44">IF($A44="","",INDEX('Master Stock'!$F$2:$F$99,MATCH($A44,'Master Stock'!$R$2:$R$99,0)))</f>
        <v/>
      </c>
      <c r="G44" s="211">
        <f>IF($A44="","","Rice / FRK RRA")</f>
        <v/>
      </c>
      <c r="H44" s="214" t="n"/>
      <c r="I44" s="214">
        <f>IF($A44="","","FIFO - Oldest Receipt First")</f>
        <v/>
      </c>
      <c r="J44" s="209" t="n"/>
      <c r="K44" s="209" t="n"/>
      <c r="L44" s="209" t="n"/>
      <c r="M44" s="209" t="n"/>
      <c r="N44" s="209" t="n"/>
      <c r="O44" s="209" t="n"/>
      <c r="P44" s="209" t="n"/>
      <c r="Q44" s="209" t="n"/>
      <c r="R44" s="209" t="n"/>
      <c r="S44" s="209" t="n"/>
      <c r="T44" s="209" t="n"/>
      <c r="U44" s="209" t="n"/>
      <c r="V44" s="209" t="n"/>
      <c r="W44" s="209" t="n"/>
      <c r="X44" s="209" t="n"/>
      <c r="Y44" s="209" t="n"/>
      <c r="Z44" s="209" t="n"/>
      <c r="AA44" s="209" t="n"/>
    </row>
    <row r="45" hidden="1" ht="15" customHeight="1" s="230">
      <c r="A45" s="219">
        <f>IFERROR(SMALL('Master Stock'!$R$2:$R$99,ROWS($A$3:A45)),"")</f>
        <v/>
      </c>
      <c r="B45" s="211">
        <f t="array" ref="B45">IF($A45="","",INDEX('Master Stock'!$C$2:$C$99,MATCH($A45,'Master Stock'!$R$2:$R$99,0)))</f>
        <v/>
      </c>
      <c r="C45" s="211">
        <f t="array" ref="C45">IF($A45="","",INDEX('Master Stock'!$D$2:$D$99,MATCH($A45,'Master Stock'!$R$2:$R$99,0)))</f>
        <v/>
      </c>
      <c r="D45" s="214">
        <f t="array" ref="D45">IF($A45="","",INDEX('Master Stock'!$B$2:$B$99,MATCH($A45,'Master Stock'!$R$2:$R$99,0)))</f>
        <v/>
      </c>
      <c r="E45" s="211">
        <f t="array" ref="E45">IF($A45="","",INDEX('Master Stock'!$G$2:$G$99,MATCH($A45,'Master Stock'!$R$2:$R$99,0)))</f>
        <v/>
      </c>
      <c r="F45" s="213">
        <f t="array" ref="F45">IF($A45="","",INDEX('Master Stock'!$F$2:$F$99,MATCH($A45,'Master Stock'!$R$2:$R$99,0)))</f>
        <v/>
      </c>
      <c r="G45" s="211">
        <f>IF($A45="","","Rice / FRK RRA")</f>
        <v/>
      </c>
      <c r="H45" s="214" t="n"/>
      <c r="I45" s="214">
        <f>IF($A45="","","FIFO - Oldest Receipt First")</f>
        <v/>
      </c>
      <c r="J45" s="209" t="n"/>
      <c r="K45" s="209" t="n"/>
      <c r="L45" s="209" t="n"/>
      <c r="M45" s="209" t="n"/>
      <c r="N45" s="209" t="n"/>
      <c r="O45" s="209" t="n"/>
      <c r="P45" s="209" t="n"/>
      <c r="Q45" s="209" t="n"/>
      <c r="R45" s="209" t="n"/>
      <c r="S45" s="209" t="n"/>
      <c r="T45" s="209" t="n"/>
      <c r="U45" s="209" t="n"/>
      <c r="V45" s="209" t="n"/>
      <c r="W45" s="209" t="n"/>
      <c r="X45" s="209" t="n"/>
      <c r="Y45" s="209" t="n"/>
      <c r="Z45" s="209" t="n"/>
      <c r="AA45" s="209" t="n"/>
    </row>
    <row r="46" hidden="1" ht="15" customHeight="1" s="230">
      <c r="A46" s="219">
        <f>IFERROR(SMALL('Master Stock'!$R$2:$R$99,ROWS($A$3:A46)),"")</f>
        <v/>
      </c>
      <c r="B46" s="211">
        <f t="array" ref="B46">IF($A46="","",INDEX('Master Stock'!$C$2:$C$99,MATCH($A46,'Master Stock'!$R$2:$R$99,0)))</f>
        <v/>
      </c>
      <c r="C46" s="211">
        <f t="array" ref="C46">IF($A46="","",INDEX('Master Stock'!$D$2:$D$99,MATCH($A46,'Master Stock'!$R$2:$R$99,0)))</f>
        <v/>
      </c>
      <c r="D46" s="214">
        <f t="array" ref="D46">IF($A46="","",INDEX('Master Stock'!$B$2:$B$99,MATCH($A46,'Master Stock'!$R$2:$R$99,0)))</f>
        <v/>
      </c>
      <c r="E46" s="211">
        <f t="array" ref="E46">IF($A46="","",INDEX('Master Stock'!$G$2:$G$99,MATCH($A46,'Master Stock'!$R$2:$R$99,0)))</f>
        <v/>
      </c>
      <c r="F46" s="213">
        <f t="array" ref="F46">IF($A46="","",INDEX('Master Stock'!$F$2:$F$99,MATCH($A46,'Master Stock'!$R$2:$R$99,0)))</f>
        <v/>
      </c>
      <c r="G46" s="211">
        <f>IF($A46="","","Rice / FRK RRA")</f>
        <v/>
      </c>
      <c r="H46" s="214" t="n"/>
      <c r="I46" s="214">
        <f>IF($A46="","","FIFO - Oldest Receipt First")</f>
        <v/>
      </c>
      <c r="J46" s="209" t="n"/>
      <c r="K46" s="209" t="n"/>
      <c r="L46" s="209" t="n"/>
      <c r="M46" s="209" t="n"/>
      <c r="N46" s="209" t="n"/>
      <c r="O46" s="209" t="n"/>
      <c r="P46" s="209" t="n"/>
      <c r="Q46" s="209" t="n"/>
      <c r="R46" s="209" t="n"/>
      <c r="S46" s="209" t="n"/>
      <c r="T46" s="209" t="n"/>
      <c r="U46" s="209" t="n"/>
      <c r="V46" s="209" t="n"/>
      <c r="W46" s="209" t="n"/>
      <c r="X46" s="209" t="n"/>
      <c r="Y46" s="209" t="n"/>
      <c r="Z46" s="209" t="n"/>
      <c r="AA46" s="209" t="n"/>
    </row>
    <row r="47" hidden="1" ht="15" customHeight="1" s="230">
      <c r="A47" s="219">
        <f>IFERROR(SMALL('Master Stock'!$R$2:$R$99,ROWS($A$3:A47)),"")</f>
        <v/>
      </c>
      <c r="B47" s="211">
        <f t="array" ref="B47">IF($A47="","",INDEX('Master Stock'!$C$2:$C$99,MATCH($A47,'Master Stock'!$R$2:$R$99,0)))</f>
        <v/>
      </c>
      <c r="C47" s="211">
        <f t="array" ref="C47">IF($A47="","",INDEX('Master Stock'!$D$2:$D$99,MATCH($A47,'Master Stock'!$R$2:$R$99,0)))</f>
        <v/>
      </c>
      <c r="D47" s="214">
        <f t="array" ref="D47">IF($A47="","",INDEX('Master Stock'!$B$2:$B$99,MATCH($A47,'Master Stock'!$R$2:$R$99,0)))</f>
        <v/>
      </c>
      <c r="E47" s="211">
        <f t="array" ref="E47">IF($A47="","",INDEX('Master Stock'!$G$2:$G$99,MATCH($A47,'Master Stock'!$R$2:$R$99,0)))</f>
        <v/>
      </c>
      <c r="F47" s="213">
        <f t="array" ref="F47">IF($A47="","",INDEX('Master Stock'!$F$2:$F$99,MATCH($A47,'Master Stock'!$R$2:$R$99,0)))</f>
        <v/>
      </c>
      <c r="G47" s="211">
        <f>IF($A47="","","Rice / FRK RRA")</f>
        <v/>
      </c>
      <c r="H47" s="214" t="n"/>
      <c r="I47" s="214">
        <f>IF($A47="","","FIFO - Oldest Receipt First")</f>
        <v/>
      </c>
      <c r="J47" s="209" t="n"/>
      <c r="K47" s="209" t="n"/>
      <c r="L47" s="209" t="n"/>
      <c r="M47" s="209" t="n"/>
      <c r="N47" s="209" t="n"/>
      <c r="O47" s="209" t="n"/>
      <c r="P47" s="209" t="n"/>
      <c r="Q47" s="209" t="n"/>
      <c r="R47" s="209" t="n"/>
      <c r="S47" s="209" t="n"/>
      <c r="T47" s="209" t="n"/>
      <c r="U47" s="209" t="n"/>
      <c r="V47" s="209" t="n"/>
      <c r="W47" s="209" t="n"/>
      <c r="X47" s="209" t="n"/>
      <c r="Y47" s="209" t="n"/>
      <c r="Z47" s="209" t="n"/>
      <c r="AA47" s="209" t="n"/>
    </row>
    <row r="48" hidden="1" ht="15" customHeight="1" s="230">
      <c r="A48" s="219">
        <f>IFERROR(SMALL('Master Stock'!$R$2:$R$99,ROWS($A$3:A48)),"")</f>
        <v/>
      </c>
      <c r="B48" s="211">
        <f t="array" ref="B48">IF($A48="","",INDEX('Master Stock'!$C$2:$C$99,MATCH($A48,'Master Stock'!$R$2:$R$99,0)))</f>
        <v/>
      </c>
      <c r="C48" s="211">
        <f t="array" ref="C48">IF($A48="","",INDEX('Master Stock'!$D$2:$D$99,MATCH($A48,'Master Stock'!$R$2:$R$99,0)))</f>
        <v/>
      </c>
      <c r="D48" s="214">
        <f t="array" ref="D48">IF($A48="","",INDEX('Master Stock'!$B$2:$B$99,MATCH($A48,'Master Stock'!$R$2:$R$99,0)))</f>
        <v/>
      </c>
      <c r="E48" s="211">
        <f t="array" ref="E48">IF($A48="","",INDEX('Master Stock'!$G$2:$G$99,MATCH($A48,'Master Stock'!$R$2:$R$99,0)))</f>
        <v/>
      </c>
      <c r="F48" s="213">
        <f t="array" ref="F48">IF($A48="","",INDEX('Master Stock'!$F$2:$F$99,MATCH($A48,'Master Stock'!$R$2:$R$99,0)))</f>
        <v/>
      </c>
      <c r="G48" s="211">
        <f>IF($A48="","","Rice / FRK RRA")</f>
        <v/>
      </c>
      <c r="H48" s="214" t="n"/>
      <c r="I48" s="214">
        <f>IF($A48="","","FIFO - Oldest Receipt First")</f>
        <v/>
      </c>
      <c r="J48" s="209" t="n"/>
      <c r="K48" s="209" t="n"/>
      <c r="L48" s="209" t="n"/>
      <c r="M48" s="209" t="n"/>
      <c r="N48" s="209" t="n"/>
      <c r="O48" s="209" t="n"/>
      <c r="P48" s="209" t="n"/>
      <c r="Q48" s="209" t="n"/>
      <c r="R48" s="209" t="n"/>
      <c r="S48" s="209" t="n"/>
      <c r="T48" s="209" t="n"/>
      <c r="U48" s="209" t="n"/>
      <c r="V48" s="209" t="n"/>
      <c r="W48" s="209" t="n"/>
      <c r="X48" s="209" t="n"/>
      <c r="Y48" s="209" t="n"/>
      <c r="Z48" s="209" t="n"/>
      <c r="AA48" s="209" t="n"/>
    </row>
    <row r="49" hidden="1" ht="15" customHeight="1" s="230">
      <c r="A49" s="219">
        <f>IFERROR(SMALL('Master Stock'!$R$2:$R$99,ROWS($A$3:A49)),"")</f>
        <v/>
      </c>
      <c r="B49" s="211">
        <f t="array" ref="B49">IF($A49="","",INDEX('Master Stock'!$C$2:$C$99,MATCH($A49,'Master Stock'!$R$2:$R$99,0)))</f>
        <v/>
      </c>
      <c r="C49" s="211">
        <f t="array" ref="C49">IF($A49="","",INDEX('Master Stock'!$D$2:$D$99,MATCH($A49,'Master Stock'!$R$2:$R$99,0)))</f>
        <v/>
      </c>
      <c r="D49" s="214">
        <f t="array" ref="D49">IF($A49="","",INDEX('Master Stock'!$B$2:$B$99,MATCH($A49,'Master Stock'!$R$2:$R$99,0)))</f>
        <v/>
      </c>
      <c r="E49" s="211">
        <f t="array" ref="E49">IF($A49="","",INDEX('Master Stock'!$G$2:$G$99,MATCH($A49,'Master Stock'!$R$2:$R$99,0)))</f>
        <v/>
      </c>
      <c r="F49" s="213">
        <f t="array" ref="F49">IF($A49="","",INDEX('Master Stock'!$F$2:$F$99,MATCH($A49,'Master Stock'!$R$2:$R$99,0)))</f>
        <v/>
      </c>
      <c r="G49" s="211">
        <f>IF($A49="","","Rice / FRK RRA")</f>
        <v/>
      </c>
      <c r="H49" s="214" t="n"/>
      <c r="I49" s="214">
        <f>IF($A49="","","FIFO - Oldest Receipt First")</f>
        <v/>
      </c>
      <c r="J49" s="209" t="n"/>
      <c r="K49" s="209" t="n"/>
      <c r="L49" s="209" t="n"/>
      <c r="M49" s="209" t="n"/>
      <c r="N49" s="209" t="n"/>
      <c r="O49" s="209" t="n"/>
      <c r="P49" s="209" t="n"/>
      <c r="Q49" s="209" t="n"/>
      <c r="R49" s="209" t="n"/>
      <c r="S49" s="209" t="n"/>
      <c r="T49" s="209" t="n"/>
      <c r="U49" s="209" t="n"/>
      <c r="V49" s="209" t="n"/>
      <c r="W49" s="209" t="n"/>
      <c r="X49" s="209" t="n"/>
      <c r="Y49" s="209" t="n"/>
      <c r="Z49" s="209" t="n"/>
      <c r="AA49" s="209" t="n"/>
    </row>
    <row r="50" hidden="1" ht="15" customHeight="1" s="230">
      <c r="A50" s="219">
        <f>IFERROR(SMALL('Master Stock'!$R$2:$R$99,ROWS($A$3:A50)),"")</f>
        <v/>
      </c>
      <c r="B50" s="211">
        <f t="array" ref="B50">IF($A50="","",INDEX('Master Stock'!$C$2:$C$99,MATCH($A50,'Master Stock'!$R$2:$R$99,0)))</f>
        <v/>
      </c>
      <c r="C50" s="211">
        <f t="array" ref="C50">IF($A50="","",INDEX('Master Stock'!$D$2:$D$99,MATCH($A50,'Master Stock'!$R$2:$R$99,0)))</f>
        <v/>
      </c>
      <c r="D50" s="214">
        <f t="array" ref="D50">IF($A50="","",INDEX('Master Stock'!$B$2:$B$99,MATCH($A50,'Master Stock'!$R$2:$R$99,0)))</f>
        <v/>
      </c>
      <c r="E50" s="211">
        <f t="array" ref="E50">IF($A50="","",INDEX('Master Stock'!$G$2:$G$99,MATCH($A50,'Master Stock'!$R$2:$R$99,0)))</f>
        <v/>
      </c>
      <c r="F50" s="213">
        <f t="array" ref="F50">IF($A50="","",INDEX('Master Stock'!$F$2:$F$99,MATCH($A50,'Master Stock'!$R$2:$R$99,0)))</f>
        <v/>
      </c>
      <c r="G50" s="211">
        <f>IF($A50="","","Rice / FRK RRA")</f>
        <v/>
      </c>
      <c r="H50" s="214" t="n"/>
      <c r="I50" s="214">
        <f>IF($A50="","","FIFO - Oldest Receipt First")</f>
        <v/>
      </c>
      <c r="J50" s="209" t="n"/>
      <c r="K50" s="209" t="n"/>
      <c r="L50" s="209" t="n"/>
      <c r="M50" s="209" t="n"/>
      <c r="N50" s="209" t="n"/>
      <c r="O50" s="209" t="n"/>
      <c r="P50" s="209" t="n"/>
      <c r="Q50" s="209" t="n"/>
      <c r="R50" s="209" t="n"/>
      <c r="S50" s="209" t="n"/>
      <c r="T50" s="209" t="n"/>
      <c r="U50" s="209" t="n"/>
      <c r="V50" s="209" t="n"/>
      <c r="W50" s="209" t="n"/>
      <c r="X50" s="209" t="n"/>
      <c r="Y50" s="209" t="n"/>
      <c r="Z50" s="209" t="n"/>
      <c r="AA50" s="209" t="n"/>
    </row>
    <row r="51" hidden="1" ht="15" customHeight="1" s="230">
      <c r="A51" s="219">
        <f>IFERROR(SMALL('Master Stock'!$R$2:$R$99,ROWS($A$3:A51)),"")</f>
        <v/>
      </c>
      <c r="B51" s="211">
        <f t="array" ref="B51">IF($A51="","",INDEX('Master Stock'!$C$2:$C$99,MATCH($A51,'Master Stock'!$R$2:$R$99,0)))</f>
        <v/>
      </c>
      <c r="C51" s="211">
        <f t="array" ref="C51">IF($A51="","",INDEX('Master Stock'!$D$2:$D$99,MATCH($A51,'Master Stock'!$R$2:$R$99,0)))</f>
        <v/>
      </c>
      <c r="D51" s="214">
        <f t="array" ref="D51">IF($A51="","",INDEX('Master Stock'!$B$2:$B$99,MATCH($A51,'Master Stock'!$R$2:$R$99,0)))</f>
        <v/>
      </c>
      <c r="E51" s="211">
        <f t="array" ref="E51">IF($A51="","",INDEX('Master Stock'!$G$2:$G$99,MATCH($A51,'Master Stock'!$R$2:$R$99,0)))</f>
        <v/>
      </c>
      <c r="F51" s="213">
        <f t="array" ref="F51">IF($A51="","",INDEX('Master Stock'!$F$2:$F$99,MATCH($A51,'Master Stock'!$R$2:$R$99,0)))</f>
        <v/>
      </c>
      <c r="G51" s="211">
        <f>IF($A51="","","Rice / FRK RRA")</f>
        <v/>
      </c>
      <c r="H51" s="214" t="n"/>
      <c r="I51" s="214">
        <f>IF($A51="","","FIFO - Oldest Receipt First")</f>
        <v/>
      </c>
      <c r="J51" s="209" t="n"/>
      <c r="K51" s="209" t="n"/>
      <c r="L51" s="209" t="n"/>
      <c r="M51" s="209" t="n"/>
      <c r="N51" s="209" t="n"/>
      <c r="O51" s="209" t="n"/>
      <c r="P51" s="209" t="n"/>
      <c r="Q51" s="209" t="n"/>
      <c r="R51" s="209" t="n"/>
      <c r="S51" s="209" t="n"/>
      <c r="T51" s="209" t="n"/>
      <c r="U51" s="209" t="n"/>
      <c r="V51" s="209" t="n"/>
      <c r="W51" s="209" t="n"/>
      <c r="X51" s="209" t="n"/>
      <c r="Y51" s="209" t="n"/>
      <c r="Z51" s="209" t="n"/>
      <c r="AA51" s="209" t="n"/>
    </row>
    <row r="52" hidden="1" ht="15" customHeight="1" s="230">
      <c r="A52" s="219">
        <f>IFERROR(SMALL('Master Stock'!$R$2:$R$99,ROWS($A$3:A52)),"")</f>
        <v/>
      </c>
      <c r="B52" s="211">
        <f t="array" ref="B52">IF($A52="","",INDEX('Master Stock'!$C$2:$C$99,MATCH($A52,'Master Stock'!$R$2:$R$99,0)))</f>
        <v/>
      </c>
      <c r="C52" s="211">
        <f t="array" ref="C52">IF($A52="","",INDEX('Master Stock'!$D$2:$D$99,MATCH($A52,'Master Stock'!$R$2:$R$99,0)))</f>
        <v/>
      </c>
      <c r="D52" s="214">
        <f t="array" ref="D52">IF($A52="","",INDEX('Master Stock'!$B$2:$B$99,MATCH($A52,'Master Stock'!$R$2:$R$99,0)))</f>
        <v/>
      </c>
      <c r="E52" s="211">
        <f t="array" ref="E52">IF($A52="","",INDEX('Master Stock'!$G$2:$G$99,MATCH($A52,'Master Stock'!$R$2:$R$99,0)))</f>
        <v/>
      </c>
      <c r="F52" s="213">
        <f t="array" ref="F52">IF($A52="","",INDEX('Master Stock'!$F$2:$F$99,MATCH($A52,'Master Stock'!$R$2:$R$99,0)))</f>
        <v/>
      </c>
      <c r="G52" s="211">
        <f>IF($A52="","","Rice / FRK RRA")</f>
        <v/>
      </c>
      <c r="H52" s="214" t="n"/>
      <c r="I52" s="214">
        <f>IF($A52="","","FIFO - Oldest Receipt First")</f>
        <v/>
      </c>
      <c r="J52" s="209" t="n"/>
      <c r="K52" s="209" t="n"/>
      <c r="L52" s="209" t="n"/>
      <c r="M52" s="209" t="n"/>
      <c r="N52" s="209" t="n"/>
      <c r="O52" s="209" t="n"/>
      <c r="P52" s="209" t="n"/>
      <c r="Q52" s="209" t="n"/>
      <c r="R52" s="209" t="n"/>
      <c r="S52" s="209" t="n"/>
      <c r="T52" s="209" t="n"/>
      <c r="U52" s="209" t="n"/>
      <c r="V52" s="209" t="n"/>
      <c r="W52" s="209" t="n"/>
      <c r="X52" s="209" t="n"/>
      <c r="Y52" s="209" t="n"/>
      <c r="Z52" s="209" t="n"/>
      <c r="AA52" s="209" t="n"/>
    </row>
    <row r="53" hidden="1" ht="15" customHeight="1" s="230">
      <c r="A53" s="219">
        <f>IFERROR(SMALL('Master Stock'!$R$2:$R$99,ROWS($A$3:A53)),"")</f>
        <v/>
      </c>
      <c r="B53" s="211">
        <f t="array" ref="B53">IF($A53="","",INDEX('Master Stock'!$C$2:$C$99,MATCH($A53,'Master Stock'!$R$2:$R$99,0)))</f>
        <v/>
      </c>
      <c r="C53" s="211">
        <f t="array" ref="C53">IF($A53="","",INDEX('Master Stock'!$D$2:$D$99,MATCH($A53,'Master Stock'!$R$2:$R$99,0)))</f>
        <v/>
      </c>
      <c r="D53" s="214">
        <f t="array" ref="D53">IF($A53="","",INDEX('Master Stock'!$B$2:$B$99,MATCH($A53,'Master Stock'!$R$2:$R$99,0)))</f>
        <v/>
      </c>
      <c r="E53" s="211">
        <f t="array" ref="E53">IF($A53="","",INDEX('Master Stock'!$G$2:$G$99,MATCH($A53,'Master Stock'!$R$2:$R$99,0)))</f>
        <v/>
      </c>
      <c r="F53" s="213">
        <f t="array" ref="F53">IF($A53="","",INDEX('Master Stock'!$F$2:$F$99,MATCH($A53,'Master Stock'!$R$2:$R$99,0)))</f>
        <v/>
      </c>
      <c r="G53" s="211">
        <f>IF($A53="","","Rice / FRK RRA")</f>
        <v/>
      </c>
      <c r="H53" s="214" t="n"/>
      <c r="I53" s="214">
        <f>IF($A53="","","FIFO - Oldest Receipt First")</f>
        <v/>
      </c>
      <c r="J53" s="209" t="n"/>
      <c r="K53" s="209" t="n"/>
      <c r="L53" s="209" t="n"/>
      <c r="M53" s="209" t="n"/>
      <c r="N53" s="209" t="n"/>
      <c r="O53" s="209" t="n"/>
      <c r="P53" s="209" t="n"/>
      <c r="Q53" s="209" t="n"/>
      <c r="R53" s="209" t="n"/>
      <c r="S53" s="209" t="n"/>
      <c r="T53" s="209" t="n"/>
      <c r="U53" s="209" t="n"/>
      <c r="V53" s="209" t="n"/>
      <c r="W53" s="209" t="n"/>
      <c r="X53" s="209" t="n"/>
      <c r="Y53" s="209" t="n"/>
      <c r="Z53" s="209" t="n"/>
      <c r="AA53" s="209" t="n"/>
    </row>
    <row r="54" hidden="1" ht="15" customHeight="1" s="230">
      <c r="A54" s="219">
        <f>IFERROR(SMALL('Master Stock'!$R$2:$R$99,ROWS($A$3:A54)),"")</f>
        <v/>
      </c>
      <c r="B54" s="211">
        <f t="array" ref="B54">IF($A54="","",INDEX('Master Stock'!$C$2:$C$99,MATCH($A54,'Master Stock'!$R$2:$R$99,0)))</f>
        <v/>
      </c>
      <c r="C54" s="211">
        <f t="array" ref="C54">IF($A54="","",INDEX('Master Stock'!$D$2:$D$99,MATCH($A54,'Master Stock'!$R$2:$R$99,0)))</f>
        <v/>
      </c>
      <c r="D54" s="214">
        <f t="array" ref="D54">IF($A54="","",INDEX('Master Stock'!$B$2:$B$99,MATCH($A54,'Master Stock'!$R$2:$R$99,0)))</f>
        <v/>
      </c>
      <c r="E54" s="211">
        <f t="array" ref="E54">IF($A54="","",INDEX('Master Stock'!$G$2:$G$99,MATCH($A54,'Master Stock'!$R$2:$R$99,0)))</f>
        <v/>
      </c>
      <c r="F54" s="213">
        <f t="array" ref="F54">IF($A54="","",INDEX('Master Stock'!$F$2:$F$99,MATCH($A54,'Master Stock'!$R$2:$R$99,0)))</f>
        <v/>
      </c>
      <c r="G54" s="211">
        <f>IF($A54="","","Rice / FRK RRA")</f>
        <v/>
      </c>
      <c r="H54" s="214" t="n"/>
      <c r="I54" s="214">
        <f>IF($A54="","","FIFO - Oldest Receipt First")</f>
        <v/>
      </c>
      <c r="J54" s="209" t="n"/>
      <c r="K54" s="209" t="n"/>
      <c r="L54" s="209" t="n"/>
      <c r="M54" s="209" t="n"/>
      <c r="N54" s="209" t="n"/>
      <c r="O54" s="209" t="n"/>
      <c r="P54" s="209" t="n"/>
      <c r="Q54" s="209" t="n"/>
      <c r="R54" s="209" t="n"/>
      <c r="S54" s="209" t="n"/>
      <c r="T54" s="209" t="n"/>
      <c r="U54" s="209" t="n"/>
      <c r="V54" s="209" t="n"/>
      <c r="W54" s="209" t="n"/>
      <c r="X54" s="209" t="n"/>
      <c r="Y54" s="209" t="n"/>
      <c r="Z54" s="209" t="n"/>
      <c r="AA54" s="209" t="n"/>
    </row>
    <row r="55" hidden="1" ht="15" customHeight="1" s="230">
      <c r="A55" s="219">
        <f>IFERROR(SMALL('Master Stock'!$R$2:$R$99,ROWS($A$3:A55)),"")</f>
        <v/>
      </c>
      <c r="B55" s="211">
        <f t="array" ref="B55">IF($A55="","",INDEX('Master Stock'!$C$2:$C$99,MATCH($A55,'Master Stock'!$R$2:$R$99,0)))</f>
        <v/>
      </c>
      <c r="C55" s="211">
        <f t="array" ref="C55">IF($A55="","",INDEX('Master Stock'!$D$2:$D$99,MATCH($A55,'Master Stock'!$R$2:$R$99,0)))</f>
        <v/>
      </c>
      <c r="D55" s="214">
        <f t="array" ref="D55">IF($A55="","",INDEX('Master Stock'!$B$2:$B$99,MATCH($A55,'Master Stock'!$R$2:$R$99,0)))</f>
        <v/>
      </c>
      <c r="E55" s="211">
        <f t="array" ref="E55">IF($A55="","",INDEX('Master Stock'!$G$2:$G$99,MATCH($A55,'Master Stock'!$R$2:$R$99,0)))</f>
        <v/>
      </c>
      <c r="F55" s="213">
        <f t="array" ref="F55">IF($A55="","",INDEX('Master Stock'!$F$2:$F$99,MATCH($A55,'Master Stock'!$R$2:$R$99,0)))</f>
        <v/>
      </c>
      <c r="G55" s="211">
        <f>IF($A55="","","Rice / FRK RRA")</f>
        <v/>
      </c>
      <c r="H55" s="214" t="n"/>
      <c r="I55" s="214">
        <f>IF($A55="","","FIFO - Oldest Receipt First")</f>
        <v/>
      </c>
      <c r="J55" s="209" t="n"/>
      <c r="K55" s="209" t="n"/>
      <c r="L55" s="209" t="n"/>
      <c r="M55" s="209" t="n"/>
      <c r="N55" s="209" t="n"/>
      <c r="O55" s="209" t="n"/>
      <c r="P55" s="209" t="n"/>
      <c r="Q55" s="209" t="n"/>
      <c r="R55" s="209" t="n"/>
      <c r="S55" s="209" t="n"/>
      <c r="T55" s="209" t="n"/>
      <c r="U55" s="209" t="n"/>
      <c r="V55" s="209" t="n"/>
      <c r="W55" s="209" t="n"/>
      <c r="X55" s="209" t="n"/>
      <c r="Y55" s="209" t="n"/>
      <c r="Z55" s="209" t="n"/>
      <c r="AA55" s="209" t="n"/>
    </row>
    <row r="56" hidden="1" ht="15" customHeight="1" s="230">
      <c r="A56" s="219">
        <f>IFERROR(SMALL('Master Stock'!$R$2:$R$99,ROWS($A$3:A56)),"")</f>
        <v/>
      </c>
      <c r="B56" s="211">
        <f t="array" ref="B56">IF($A56="","",INDEX('Master Stock'!$C$2:$C$99,MATCH($A56,'Master Stock'!$R$2:$R$99,0)))</f>
        <v/>
      </c>
      <c r="C56" s="211">
        <f t="array" ref="C56">IF($A56="","",INDEX('Master Stock'!$D$2:$D$99,MATCH($A56,'Master Stock'!$R$2:$R$99,0)))</f>
        <v/>
      </c>
      <c r="D56" s="214">
        <f t="array" ref="D56">IF($A56="","",INDEX('Master Stock'!$B$2:$B$99,MATCH($A56,'Master Stock'!$R$2:$R$99,0)))</f>
        <v/>
      </c>
      <c r="E56" s="211">
        <f t="array" ref="E56">IF($A56="","",INDEX('Master Stock'!$G$2:$G$99,MATCH($A56,'Master Stock'!$R$2:$R$99,0)))</f>
        <v/>
      </c>
      <c r="F56" s="213">
        <f t="array" ref="F56">IF($A56="","",INDEX('Master Stock'!$F$2:$F$99,MATCH($A56,'Master Stock'!$R$2:$R$99,0)))</f>
        <v/>
      </c>
      <c r="G56" s="211">
        <f>IF($A56="","","Rice / FRK RRA")</f>
        <v/>
      </c>
      <c r="H56" s="214" t="n"/>
      <c r="I56" s="214">
        <f>IF($A56="","","FIFO - Oldest Receipt First")</f>
        <v/>
      </c>
      <c r="J56" s="209" t="n"/>
      <c r="K56" s="209" t="n"/>
      <c r="L56" s="209" t="n"/>
      <c r="M56" s="209" t="n"/>
      <c r="N56" s="209" t="n"/>
      <c r="O56" s="209" t="n"/>
      <c r="P56" s="209" t="n"/>
      <c r="Q56" s="209" t="n"/>
      <c r="R56" s="209" t="n"/>
      <c r="S56" s="209" t="n"/>
      <c r="T56" s="209" t="n"/>
      <c r="U56" s="209" t="n"/>
      <c r="V56" s="209" t="n"/>
      <c r="W56" s="209" t="n"/>
      <c r="X56" s="209" t="n"/>
      <c r="Y56" s="209" t="n"/>
      <c r="Z56" s="209" t="n"/>
      <c r="AA56" s="209" t="n"/>
    </row>
    <row r="57" hidden="1" ht="15" customHeight="1" s="230">
      <c r="A57" s="219">
        <f>IFERROR(SMALL('Master Stock'!$R$2:$R$99,ROWS($A$3:A57)),"")</f>
        <v/>
      </c>
      <c r="B57" s="211">
        <f t="array" ref="B57">IF($A57="","",INDEX('Master Stock'!$C$2:$C$99,MATCH($A57,'Master Stock'!$R$2:$R$99,0)))</f>
        <v/>
      </c>
      <c r="C57" s="211">
        <f t="array" ref="C57">IF($A57="","",INDEX('Master Stock'!$D$2:$D$99,MATCH($A57,'Master Stock'!$R$2:$R$99,0)))</f>
        <v/>
      </c>
      <c r="D57" s="214">
        <f t="array" ref="D57">IF($A57="","",INDEX('Master Stock'!$B$2:$B$99,MATCH($A57,'Master Stock'!$R$2:$R$99,0)))</f>
        <v/>
      </c>
      <c r="E57" s="211">
        <f t="array" ref="E57">IF($A57="","",INDEX('Master Stock'!$G$2:$G$99,MATCH($A57,'Master Stock'!$R$2:$R$99,0)))</f>
        <v/>
      </c>
      <c r="F57" s="213">
        <f t="array" ref="F57">IF($A57="","",INDEX('Master Stock'!$F$2:$F$99,MATCH($A57,'Master Stock'!$R$2:$R$99,0)))</f>
        <v/>
      </c>
      <c r="G57" s="211">
        <f>IF($A57="","","Rice / FRK RRA")</f>
        <v/>
      </c>
      <c r="H57" s="214" t="n"/>
      <c r="I57" s="214">
        <f>IF($A57="","","FIFO - Oldest Receipt First")</f>
        <v/>
      </c>
      <c r="J57" s="209" t="n"/>
      <c r="K57" s="209" t="n"/>
      <c r="L57" s="209" t="n"/>
      <c r="M57" s="209" t="n"/>
      <c r="N57" s="209" t="n"/>
      <c r="O57" s="209" t="n"/>
      <c r="P57" s="209" t="n"/>
      <c r="Q57" s="209" t="n"/>
      <c r="R57" s="209" t="n"/>
      <c r="S57" s="209" t="n"/>
      <c r="T57" s="209" t="n"/>
      <c r="U57" s="209" t="n"/>
      <c r="V57" s="209" t="n"/>
      <c r="W57" s="209" t="n"/>
      <c r="X57" s="209" t="n"/>
      <c r="Y57" s="209" t="n"/>
      <c r="Z57" s="209" t="n"/>
      <c r="AA57" s="209" t="n"/>
    </row>
    <row r="58" hidden="1" ht="15" customHeight="1" s="230">
      <c r="A58" s="219">
        <f>IFERROR(SMALL('Master Stock'!$R$2:$R$99,ROWS($A$3:A58)),"")</f>
        <v/>
      </c>
      <c r="B58" s="211">
        <f t="array" ref="B58">IF($A58="","",INDEX('Master Stock'!$C$2:$C$99,MATCH($A58,'Master Stock'!$R$2:$R$99,0)))</f>
        <v/>
      </c>
      <c r="C58" s="211">
        <f t="array" ref="C58">IF($A58="","",INDEX('Master Stock'!$D$2:$D$99,MATCH($A58,'Master Stock'!$R$2:$R$99,0)))</f>
        <v/>
      </c>
      <c r="D58" s="214">
        <f t="array" ref="D58">IF($A58="","",INDEX('Master Stock'!$B$2:$B$99,MATCH($A58,'Master Stock'!$R$2:$R$99,0)))</f>
        <v/>
      </c>
      <c r="E58" s="211">
        <f t="array" ref="E58">IF($A58="","",INDEX('Master Stock'!$G$2:$G$99,MATCH($A58,'Master Stock'!$R$2:$R$99,0)))</f>
        <v/>
      </c>
      <c r="F58" s="213">
        <f t="array" ref="F58">IF($A58="","",INDEX('Master Stock'!$F$2:$F$99,MATCH($A58,'Master Stock'!$R$2:$R$99,0)))</f>
        <v/>
      </c>
      <c r="G58" s="211">
        <f>IF($A58="","","Rice / FRK RRA")</f>
        <v/>
      </c>
      <c r="H58" s="214" t="n"/>
      <c r="I58" s="214">
        <f>IF($A58="","","FIFO - Oldest Receipt First")</f>
        <v/>
      </c>
      <c r="J58" s="209" t="n"/>
      <c r="K58" s="209" t="n"/>
      <c r="L58" s="209" t="n"/>
      <c r="M58" s="209" t="n"/>
      <c r="N58" s="209" t="n"/>
      <c r="O58" s="209" t="n"/>
      <c r="P58" s="209" t="n"/>
      <c r="Q58" s="209" t="n"/>
      <c r="R58" s="209" t="n"/>
      <c r="S58" s="209" t="n"/>
      <c r="T58" s="209" t="n"/>
      <c r="U58" s="209" t="n"/>
      <c r="V58" s="209" t="n"/>
      <c r="W58" s="209" t="n"/>
      <c r="X58" s="209" t="n"/>
      <c r="Y58" s="209" t="n"/>
      <c r="Z58" s="209" t="n"/>
      <c r="AA58" s="209" t="n"/>
    </row>
    <row r="59" hidden="1" ht="15" customHeight="1" s="230">
      <c r="A59" s="219">
        <f>IFERROR(SMALL('Master Stock'!$R$2:$R$99,ROWS($A$3:A59)),"")</f>
        <v/>
      </c>
      <c r="B59" s="211">
        <f t="array" ref="B59">IF($A59="","",INDEX('Master Stock'!$C$2:$C$99,MATCH($A59,'Master Stock'!$R$2:$R$99,0)))</f>
        <v/>
      </c>
      <c r="C59" s="211">
        <f t="array" ref="C59">IF($A59="","",INDEX('Master Stock'!$D$2:$D$99,MATCH($A59,'Master Stock'!$R$2:$R$99,0)))</f>
        <v/>
      </c>
      <c r="D59" s="214">
        <f t="array" ref="D59">IF($A59="","",INDEX('Master Stock'!$B$2:$B$99,MATCH($A59,'Master Stock'!$R$2:$R$99,0)))</f>
        <v/>
      </c>
      <c r="E59" s="211">
        <f t="array" ref="E59">IF($A59="","",INDEX('Master Stock'!$G$2:$G$99,MATCH($A59,'Master Stock'!$R$2:$R$99,0)))</f>
        <v/>
      </c>
      <c r="F59" s="213">
        <f t="array" ref="F59">IF($A59="","",INDEX('Master Stock'!$F$2:$F$99,MATCH($A59,'Master Stock'!$R$2:$R$99,0)))</f>
        <v/>
      </c>
      <c r="G59" s="211">
        <f>IF($A59="","","Rice / FRK RRA")</f>
        <v/>
      </c>
      <c r="H59" s="214" t="n"/>
      <c r="I59" s="214">
        <f>IF($A59="","","FIFO - Oldest Receipt First")</f>
        <v/>
      </c>
      <c r="J59" s="209" t="n"/>
      <c r="K59" s="209" t="n"/>
      <c r="L59" s="209" t="n"/>
      <c r="M59" s="209" t="n"/>
      <c r="N59" s="209" t="n"/>
      <c r="O59" s="209" t="n"/>
      <c r="P59" s="209" t="n"/>
      <c r="Q59" s="209" t="n"/>
      <c r="R59" s="209" t="n"/>
      <c r="S59" s="209" t="n"/>
      <c r="T59" s="209" t="n"/>
      <c r="U59" s="209" t="n"/>
      <c r="V59" s="209" t="n"/>
      <c r="W59" s="209" t="n"/>
      <c r="X59" s="209" t="n"/>
      <c r="Y59" s="209" t="n"/>
      <c r="Z59" s="209" t="n"/>
      <c r="AA59" s="209" t="n"/>
    </row>
    <row r="60" hidden="1" ht="15" customHeight="1" s="230">
      <c r="A60" s="219">
        <f>IFERROR(SMALL('Master Stock'!$R$2:$R$99,ROWS($A$3:A60)),"")</f>
        <v/>
      </c>
      <c r="B60" s="211">
        <f t="array" ref="B60">IF($A60="","",INDEX('Master Stock'!$C$2:$C$99,MATCH($A60,'Master Stock'!$R$2:$R$99,0)))</f>
        <v/>
      </c>
      <c r="C60" s="211">
        <f t="array" ref="C60">IF($A60="","",INDEX('Master Stock'!$D$2:$D$99,MATCH($A60,'Master Stock'!$R$2:$R$99,0)))</f>
        <v/>
      </c>
      <c r="D60" s="214">
        <f t="array" ref="D60">IF($A60="","",INDEX('Master Stock'!$B$2:$B$99,MATCH($A60,'Master Stock'!$R$2:$R$99,0)))</f>
        <v/>
      </c>
      <c r="E60" s="211">
        <f t="array" ref="E60">IF($A60="","",INDEX('Master Stock'!$G$2:$G$99,MATCH($A60,'Master Stock'!$R$2:$R$99,0)))</f>
        <v/>
      </c>
      <c r="F60" s="213">
        <f t="array" ref="F60">IF($A60="","",INDEX('Master Stock'!$F$2:$F$99,MATCH($A60,'Master Stock'!$R$2:$R$99,0)))</f>
        <v/>
      </c>
      <c r="G60" s="211">
        <f>IF($A60="","","Rice / FRK RRA")</f>
        <v/>
      </c>
      <c r="H60" s="214" t="n"/>
      <c r="I60" s="214">
        <f>IF($A60="","","FIFO - Oldest Receipt First")</f>
        <v/>
      </c>
      <c r="J60" s="209" t="n"/>
      <c r="K60" s="209" t="n"/>
      <c r="L60" s="209" t="n"/>
      <c r="M60" s="209" t="n"/>
      <c r="N60" s="209" t="n"/>
      <c r="O60" s="209" t="n"/>
      <c r="P60" s="209" t="n"/>
      <c r="Q60" s="209" t="n"/>
      <c r="R60" s="209" t="n"/>
      <c r="S60" s="209" t="n"/>
      <c r="T60" s="209" t="n"/>
      <c r="U60" s="209" t="n"/>
      <c r="V60" s="209" t="n"/>
      <c r="W60" s="209" t="n"/>
      <c r="X60" s="209" t="n"/>
      <c r="Y60" s="209" t="n"/>
      <c r="Z60" s="209" t="n"/>
      <c r="AA60" s="209" t="n"/>
    </row>
    <row r="61" hidden="1" ht="15" customHeight="1" s="230">
      <c r="A61" s="219">
        <f>IFERROR(SMALL('Master Stock'!$R$2:$R$99,ROWS($A$3:A61)),"")</f>
        <v/>
      </c>
      <c r="B61" s="211">
        <f t="array" ref="B61">IF($A61="","",INDEX('Master Stock'!$C$2:$C$99,MATCH($A61,'Master Stock'!$R$2:$R$99,0)))</f>
        <v/>
      </c>
      <c r="C61" s="211">
        <f t="array" ref="C61">IF($A61="","",INDEX('Master Stock'!$D$2:$D$99,MATCH($A61,'Master Stock'!$R$2:$R$99,0)))</f>
        <v/>
      </c>
      <c r="D61" s="214">
        <f t="array" ref="D61">IF($A61="","",INDEX('Master Stock'!$B$2:$B$99,MATCH($A61,'Master Stock'!$R$2:$R$99,0)))</f>
        <v/>
      </c>
      <c r="E61" s="211">
        <f t="array" ref="E61">IF($A61="","",INDEX('Master Stock'!$G$2:$G$99,MATCH($A61,'Master Stock'!$R$2:$R$99,0)))</f>
        <v/>
      </c>
      <c r="F61" s="213">
        <f t="array" ref="F61">IF($A61="","",INDEX('Master Stock'!$F$2:$F$99,MATCH($A61,'Master Stock'!$R$2:$R$99,0)))</f>
        <v/>
      </c>
      <c r="G61" s="211">
        <f>IF($A61="","","Rice / FRK RRA")</f>
        <v/>
      </c>
      <c r="H61" s="214" t="n"/>
      <c r="I61" s="214">
        <f>IF($A61="","","FIFO - Oldest Receipt First")</f>
        <v/>
      </c>
      <c r="J61" s="209" t="n"/>
      <c r="K61" s="209" t="n"/>
      <c r="L61" s="209" t="n"/>
      <c r="M61" s="209" t="n"/>
      <c r="N61" s="209" t="n"/>
      <c r="O61" s="209" t="n"/>
      <c r="P61" s="209" t="n"/>
      <c r="Q61" s="209" t="n"/>
      <c r="R61" s="209" t="n"/>
      <c r="S61" s="209" t="n"/>
      <c r="T61" s="209" t="n"/>
      <c r="U61" s="209" t="n"/>
      <c r="V61" s="209" t="n"/>
      <c r="W61" s="209" t="n"/>
      <c r="X61" s="209" t="n"/>
      <c r="Y61" s="209" t="n"/>
      <c r="Z61" s="209" t="n"/>
      <c r="AA61" s="209" t="n"/>
    </row>
    <row r="62" hidden="1" ht="15" customHeight="1" s="230">
      <c r="A62" s="219">
        <f>IFERROR(SMALL('Master Stock'!$R$2:$R$99,ROWS($A$3:A62)),"")</f>
        <v/>
      </c>
      <c r="B62" s="211">
        <f t="array" ref="B62">IF($A62="","",INDEX('Master Stock'!$C$2:$C$99,MATCH($A62,'Master Stock'!$R$2:$R$99,0)))</f>
        <v/>
      </c>
      <c r="C62" s="211">
        <f t="array" ref="C62">IF($A62="","",INDEX('Master Stock'!$D$2:$D$99,MATCH($A62,'Master Stock'!$R$2:$R$99,0)))</f>
        <v/>
      </c>
      <c r="D62" s="214">
        <f t="array" ref="D62">IF($A62="","",INDEX('Master Stock'!$B$2:$B$99,MATCH($A62,'Master Stock'!$R$2:$R$99,0)))</f>
        <v/>
      </c>
      <c r="E62" s="211">
        <f t="array" ref="E62">IF($A62="","",INDEX('Master Stock'!$G$2:$G$99,MATCH($A62,'Master Stock'!$R$2:$R$99,0)))</f>
        <v/>
      </c>
      <c r="F62" s="213">
        <f t="array" ref="F62">IF($A62="","",INDEX('Master Stock'!$F$2:$F$99,MATCH($A62,'Master Stock'!$R$2:$R$99,0)))</f>
        <v/>
      </c>
      <c r="G62" s="211">
        <f>IF($A62="","","Rice / FRK RRA")</f>
        <v/>
      </c>
      <c r="H62" s="214" t="n"/>
      <c r="I62" s="214">
        <f>IF($A62="","","FIFO - Oldest Receipt First")</f>
        <v/>
      </c>
      <c r="J62" s="209" t="n"/>
      <c r="K62" s="209" t="n"/>
      <c r="L62" s="209" t="n"/>
      <c r="M62" s="209" t="n"/>
      <c r="N62" s="209" t="n"/>
      <c r="O62" s="209" t="n"/>
      <c r="P62" s="209" t="n"/>
      <c r="Q62" s="209" t="n"/>
      <c r="R62" s="209" t="n"/>
      <c r="S62" s="209" t="n"/>
      <c r="T62" s="209" t="n"/>
      <c r="U62" s="209" t="n"/>
      <c r="V62" s="209" t="n"/>
      <c r="W62" s="209" t="n"/>
      <c r="X62" s="209" t="n"/>
      <c r="Y62" s="209" t="n"/>
      <c r="Z62" s="209" t="n"/>
      <c r="AA62" s="209" t="n"/>
    </row>
    <row r="63" hidden="1" ht="15" customHeight="1" s="230">
      <c r="A63" s="219">
        <f>IFERROR(SMALL('Master Stock'!$R$2:$R$99,ROWS($A$3:A63)),"")</f>
        <v/>
      </c>
      <c r="B63" s="211">
        <f t="array" ref="B63">IF($A63="","",INDEX('Master Stock'!$C$2:$C$99,MATCH($A63,'Master Stock'!$R$2:$R$99,0)))</f>
        <v/>
      </c>
      <c r="C63" s="211">
        <f t="array" ref="C63">IF($A63="","",INDEX('Master Stock'!$D$2:$D$99,MATCH($A63,'Master Stock'!$R$2:$R$99,0)))</f>
        <v/>
      </c>
      <c r="D63" s="214">
        <f t="array" ref="D63">IF($A63="","",INDEX('Master Stock'!$B$2:$B$99,MATCH($A63,'Master Stock'!$R$2:$R$99,0)))</f>
        <v/>
      </c>
      <c r="E63" s="211">
        <f t="array" ref="E63">IF($A63="","",INDEX('Master Stock'!$G$2:$G$99,MATCH($A63,'Master Stock'!$R$2:$R$99,0)))</f>
        <v/>
      </c>
      <c r="F63" s="213">
        <f t="array" ref="F63">IF($A63="","",INDEX('Master Stock'!$F$2:$F$99,MATCH($A63,'Master Stock'!$R$2:$R$99,0)))</f>
        <v/>
      </c>
      <c r="G63" s="211">
        <f>IF($A63="","","Rice / FRK RRA")</f>
        <v/>
      </c>
      <c r="H63" s="214" t="n"/>
      <c r="I63" s="214">
        <f>IF($A63="","","FIFO - Oldest Receipt First")</f>
        <v/>
      </c>
      <c r="J63" s="209" t="n"/>
      <c r="K63" s="209" t="n"/>
      <c r="L63" s="209" t="n"/>
      <c r="M63" s="209" t="n"/>
      <c r="N63" s="209" t="n"/>
      <c r="O63" s="209" t="n"/>
      <c r="P63" s="209" t="n"/>
      <c r="Q63" s="209" t="n"/>
      <c r="R63" s="209" t="n"/>
      <c r="S63" s="209" t="n"/>
      <c r="T63" s="209" t="n"/>
      <c r="U63" s="209" t="n"/>
      <c r="V63" s="209" t="n"/>
      <c r="W63" s="209" t="n"/>
      <c r="X63" s="209" t="n"/>
      <c r="Y63" s="209" t="n"/>
      <c r="Z63" s="209" t="n"/>
      <c r="AA63" s="209" t="n"/>
    </row>
    <row r="64" hidden="1" ht="15" customHeight="1" s="230">
      <c r="A64" s="219">
        <f>IFERROR(SMALL('Master Stock'!$R$2:$R$99,ROWS($A$3:A64)),"")</f>
        <v/>
      </c>
      <c r="B64" s="211">
        <f t="array" ref="B64">IF($A64="","",INDEX('Master Stock'!$C$2:$C$99,MATCH($A64,'Master Stock'!$R$2:$R$99,0)))</f>
        <v/>
      </c>
      <c r="C64" s="211">
        <f t="array" ref="C64">IF($A64="","",INDEX('Master Stock'!$D$2:$D$99,MATCH($A64,'Master Stock'!$R$2:$R$99,0)))</f>
        <v/>
      </c>
      <c r="D64" s="214">
        <f t="array" ref="D64">IF($A64="","",INDEX('Master Stock'!$B$2:$B$99,MATCH($A64,'Master Stock'!$R$2:$R$99,0)))</f>
        <v/>
      </c>
      <c r="E64" s="211">
        <f t="array" ref="E64">IF($A64="","",INDEX('Master Stock'!$G$2:$G$99,MATCH($A64,'Master Stock'!$R$2:$R$99,0)))</f>
        <v/>
      </c>
      <c r="F64" s="213">
        <f t="array" ref="F64">IF($A64="","",INDEX('Master Stock'!$F$2:$F$99,MATCH($A64,'Master Stock'!$R$2:$R$99,0)))</f>
        <v/>
      </c>
      <c r="G64" s="211">
        <f>IF($A64="","","Rice / FRK RRA")</f>
        <v/>
      </c>
      <c r="H64" s="214" t="n"/>
      <c r="I64" s="214">
        <f>IF($A64="","","FIFO - Oldest Receipt First")</f>
        <v/>
      </c>
      <c r="J64" s="209" t="n"/>
      <c r="K64" s="209" t="n"/>
      <c r="L64" s="209" t="n"/>
      <c r="M64" s="209" t="n"/>
      <c r="N64" s="209" t="n"/>
      <c r="O64" s="209" t="n"/>
      <c r="P64" s="209" t="n"/>
      <c r="Q64" s="209" t="n"/>
      <c r="R64" s="209" t="n"/>
      <c r="S64" s="209" t="n"/>
      <c r="T64" s="209" t="n"/>
      <c r="U64" s="209" t="n"/>
      <c r="V64" s="209" t="n"/>
      <c r="W64" s="209" t="n"/>
      <c r="X64" s="209" t="n"/>
      <c r="Y64" s="209" t="n"/>
      <c r="Z64" s="209" t="n"/>
      <c r="AA64" s="209" t="n"/>
    </row>
    <row r="65" hidden="1" ht="15" customHeight="1" s="230">
      <c r="A65" s="219">
        <f>IFERROR(SMALL('Master Stock'!$R$2:$R$99,ROWS($A$3:A65)),"")</f>
        <v/>
      </c>
      <c r="B65" s="211">
        <f t="array" ref="B65">IF($A65="","",INDEX('Master Stock'!$C$2:$C$99,MATCH($A65,'Master Stock'!$R$2:$R$99,0)))</f>
        <v/>
      </c>
      <c r="C65" s="211">
        <f t="array" ref="C65">IF($A65="","",INDEX('Master Stock'!$D$2:$D$99,MATCH($A65,'Master Stock'!$R$2:$R$99,0)))</f>
        <v/>
      </c>
      <c r="D65" s="214">
        <f t="array" ref="D65">IF($A65="","",INDEX('Master Stock'!$B$2:$B$99,MATCH($A65,'Master Stock'!$R$2:$R$99,0)))</f>
        <v/>
      </c>
      <c r="E65" s="211">
        <f t="array" ref="E65">IF($A65="","",INDEX('Master Stock'!$G$2:$G$99,MATCH($A65,'Master Stock'!$R$2:$R$99,0)))</f>
        <v/>
      </c>
      <c r="F65" s="213">
        <f t="array" ref="F65">IF($A65="","",INDEX('Master Stock'!$F$2:$F$99,MATCH($A65,'Master Stock'!$R$2:$R$99,0)))</f>
        <v/>
      </c>
      <c r="G65" s="211">
        <f>IF($A65="","","Rice / FRK RRA")</f>
        <v/>
      </c>
      <c r="H65" s="214" t="n"/>
      <c r="I65" s="214">
        <f>IF($A65="","","FIFO - Oldest Receipt First")</f>
        <v/>
      </c>
      <c r="J65" s="209" t="n"/>
      <c r="K65" s="209" t="n"/>
      <c r="L65" s="209" t="n"/>
      <c r="M65" s="209" t="n"/>
      <c r="N65" s="209" t="n"/>
      <c r="O65" s="209" t="n"/>
      <c r="P65" s="209" t="n"/>
      <c r="Q65" s="209" t="n"/>
      <c r="R65" s="209" t="n"/>
      <c r="S65" s="209" t="n"/>
      <c r="T65" s="209" t="n"/>
      <c r="U65" s="209" t="n"/>
      <c r="V65" s="209" t="n"/>
      <c r="W65" s="209" t="n"/>
      <c r="X65" s="209" t="n"/>
      <c r="Y65" s="209" t="n"/>
      <c r="Z65" s="209" t="n"/>
      <c r="AA65" s="209" t="n"/>
    </row>
    <row r="66" hidden="1" ht="15" customHeight="1" s="230">
      <c r="A66" s="219">
        <f>IFERROR(SMALL('Master Stock'!$R$2:$R$99,ROWS($A$3:A66)),"")</f>
        <v/>
      </c>
      <c r="B66" s="211">
        <f t="array" ref="B66">IF($A66="","",INDEX('Master Stock'!$C$2:$C$99,MATCH($A66,'Master Stock'!$R$2:$R$99,0)))</f>
        <v/>
      </c>
      <c r="C66" s="211">
        <f t="array" ref="C66">IF($A66="","",INDEX('Master Stock'!$D$2:$D$99,MATCH($A66,'Master Stock'!$R$2:$R$99,0)))</f>
        <v/>
      </c>
      <c r="D66" s="214">
        <f t="array" ref="D66">IF($A66="","",INDEX('Master Stock'!$B$2:$B$99,MATCH($A66,'Master Stock'!$R$2:$R$99,0)))</f>
        <v/>
      </c>
      <c r="E66" s="211">
        <f t="array" ref="E66">IF($A66="","",INDEX('Master Stock'!$G$2:$G$99,MATCH($A66,'Master Stock'!$R$2:$R$99,0)))</f>
        <v/>
      </c>
      <c r="F66" s="213">
        <f t="array" ref="F66">IF($A66="","",INDEX('Master Stock'!$F$2:$F$99,MATCH($A66,'Master Stock'!$R$2:$R$99,0)))</f>
        <v/>
      </c>
      <c r="G66" s="211">
        <f>IF($A66="","","Rice / FRK RRA")</f>
        <v/>
      </c>
      <c r="H66" s="214" t="n"/>
      <c r="I66" s="214">
        <f>IF($A66="","","FIFO - Oldest Receipt First")</f>
        <v/>
      </c>
      <c r="J66" s="209" t="n"/>
      <c r="K66" s="209" t="n"/>
      <c r="L66" s="209" t="n"/>
      <c r="M66" s="209" t="n"/>
      <c r="N66" s="209" t="n"/>
      <c r="O66" s="209" t="n"/>
      <c r="P66" s="209" t="n"/>
      <c r="Q66" s="209" t="n"/>
      <c r="R66" s="209" t="n"/>
      <c r="S66" s="209" t="n"/>
      <c r="T66" s="209" t="n"/>
      <c r="U66" s="209" t="n"/>
      <c r="V66" s="209" t="n"/>
      <c r="W66" s="209" t="n"/>
      <c r="X66" s="209" t="n"/>
      <c r="Y66" s="209" t="n"/>
      <c r="Z66" s="209" t="n"/>
      <c r="AA66" s="209" t="n"/>
    </row>
    <row r="67" hidden="1" ht="15" customHeight="1" s="230">
      <c r="A67" s="219">
        <f>IFERROR(SMALL('Master Stock'!$R$2:$R$99,ROWS($A$3:A67)),"")</f>
        <v/>
      </c>
      <c r="B67" s="211">
        <f t="array" ref="B67">IF($A67="","",INDEX('Master Stock'!$C$2:$C$99,MATCH($A67,'Master Stock'!$R$2:$R$99,0)))</f>
        <v/>
      </c>
      <c r="C67" s="211">
        <f t="array" ref="C67">IF($A67="","",INDEX('Master Stock'!$D$2:$D$99,MATCH($A67,'Master Stock'!$R$2:$R$99,0)))</f>
        <v/>
      </c>
      <c r="D67" s="214">
        <f t="array" ref="D67">IF($A67="","",INDEX('Master Stock'!$B$2:$B$99,MATCH($A67,'Master Stock'!$R$2:$R$99,0)))</f>
        <v/>
      </c>
      <c r="E67" s="211">
        <f t="array" ref="E67">IF($A67="","",INDEX('Master Stock'!$G$2:$G$99,MATCH($A67,'Master Stock'!$R$2:$R$99,0)))</f>
        <v/>
      </c>
      <c r="F67" s="213">
        <f t="array" ref="F67">IF($A67="","",INDEX('Master Stock'!$F$2:$F$99,MATCH($A67,'Master Stock'!$R$2:$R$99,0)))</f>
        <v/>
      </c>
      <c r="G67" s="211">
        <f>IF($A67="","","Rice / FRK RRA")</f>
        <v/>
      </c>
      <c r="H67" s="214" t="n"/>
      <c r="I67" s="214">
        <f>IF($A67="","","FIFO - Oldest Receipt First")</f>
        <v/>
      </c>
      <c r="J67" s="209" t="n"/>
      <c r="K67" s="209" t="n"/>
      <c r="L67" s="209" t="n"/>
      <c r="M67" s="209" t="n"/>
      <c r="N67" s="209" t="n"/>
      <c r="O67" s="209" t="n"/>
      <c r="P67" s="209" t="n"/>
      <c r="Q67" s="209" t="n"/>
      <c r="R67" s="209" t="n"/>
      <c r="S67" s="209" t="n"/>
      <c r="T67" s="209" t="n"/>
      <c r="U67" s="209" t="n"/>
      <c r="V67" s="209" t="n"/>
      <c r="W67" s="209" t="n"/>
      <c r="X67" s="209" t="n"/>
      <c r="Y67" s="209" t="n"/>
      <c r="Z67" s="209" t="n"/>
      <c r="AA67" s="209" t="n"/>
    </row>
    <row r="68" hidden="1" ht="15" customHeight="1" s="230">
      <c r="A68" s="219">
        <f>IFERROR(SMALL('Master Stock'!$R$2:$R$99,ROWS($A$3:A68)),"")</f>
        <v/>
      </c>
      <c r="B68" s="211">
        <f t="array" ref="B68">IF($A68="","",INDEX('Master Stock'!$C$2:$C$99,MATCH($A68,'Master Stock'!$R$2:$R$99,0)))</f>
        <v/>
      </c>
      <c r="C68" s="211">
        <f t="array" ref="C68">IF($A68="","",INDEX('Master Stock'!$D$2:$D$99,MATCH($A68,'Master Stock'!$R$2:$R$99,0)))</f>
        <v/>
      </c>
      <c r="D68" s="214">
        <f t="array" ref="D68">IF($A68="","",INDEX('Master Stock'!$B$2:$B$99,MATCH($A68,'Master Stock'!$R$2:$R$99,0)))</f>
        <v/>
      </c>
      <c r="E68" s="211">
        <f t="array" ref="E68">IF($A68="","",INDEX('Master Stock'!$G$2:$G$99,MATCH($A68,'Master Stock'!$R$2:$R$99,0)))</f>
        <v/>
      </c>
      <c r="F68" s="213">
        <f t="array" ref="F68">IF($A68="","",INDEX('Master Stock'!$F$2:$F$99,MATCH($A68,'Master Stock'!$R$2:$R$99,0)))</f>
        <v/>
      </c>
      <c r="G68" s="211">
        <f>IF($A68="","","Rice / FRK RRA")</f>
        <v/>
      </c>
      <c r="H68" s="214" t="n"/>
      <c r="I68" s="214">
        <f>IF($A68="","","FIFO - Oldest Receipt First")</f>
        <v/>
      </c>
      <c r="J68" s="209" t="n"/>
      <c r="K68" s="209" t="n"/>
      <c r="L68" s="209" t="n"/>
      <c r="M68" s="209" t="n"/>
      <c r="N68" s="209" t="n"/>
      <c r="O68" s="209" t="n"/>
      <c r="P68" s="209" t="n"/>
      <c r="Q68" s="209" t="n"/>
      <c r="R68" s="209" t="n"/>
      <c r="S68" s="209" t="n"/>
      <c r="T68" s="209" t="n"/>
      <c r="U68" s="209" t="n"/>
      <c r="V68" s="209" t="n"/>
      <c r="W68" s="209" t="n"/>
      <c r="X68" s="209" t="n"/>
      <c r="Y68" s="209" t="n"/>
      <c r="Z68" s="209" t="n"/>
      <c r="AA68" s="209" t="n"/>
    </row>
    <row r="69" hidden="1" ht="15" customHeight="1" s="230">
      <c r="A69" s="219">
        <f>IFERROR(SMALL('Master Stock'!$R$2:$R$99,ROWS($A$3:A69)),"")</f>
        <v/>
      </c>
      <c r="B69" s="211">
        <f t="array" ref="B69">IF($A69="","",INDEX('Master Stock'!$C$2:$C$99,MATCH($A69,'Master Stock'!$R$2:$R$99,0)))</f>
        <v/>
      </c>
      <c r="C69" s="211">
        <f t="array" ref="C69">IF($A69="","",INDEX('Master Stock'!$D$2:$D$99,MATCH($A69,'Master Stock'!$R$2:$R$99,0)))</f>
        <v/>
      </c>
      <c r="D69" s="214">
        <f t="array" ref="D69">IF($A69="","",INDEX('Master Stock'!$B$2:$B$99,MATCH($A69,'Master Stock'!$R$2:$R$99,0)))</f>
        <v/>
      </c>
      <c r="E69" s="211">
        <f t="array" ref="E69">IF($A69="","",INDEX('Master Stock'!$G$2:$G$99,MATCH($A69,'Master Stock'!$R$2:$R$99,0)))</f>
        <v/>
      </c>
      <c r="F69" s="213">
        <f t="array" ref="F69">IF($A69="","",INDEX('Master Stock'!$F$2:$F$99,MATCH($A69,'Master Stock'!$R$2:$R$99,0)))</f>
        <v/>
      </c>
      <c r="G69" s="211">
        <f>IF($A69="","","Rice / FRK RRA")</f>
        <v/>
      </c>
      <c r="H69" s="214" t="n"/>
      <c r="I69" s="214">
        <f>IF($A69="","","FIFO - Oldest Receipt First")</f>
        <v/>
      </c>
      <c r="J69" s="209" t="n"/>
      <c r="K69" s="209" t="n"/>
      <c r="L69" s="209" t="n"/>
      <c r="M69" s="209" t="n"/>
      <c r="N69" s="209" t="n"/>
      <c r="O69" s="209" t="n"/>
      <c r="P69" s="209" t="n"/>
      <c r="Q69" s="209" t="n"/>
      <c r="R69" s="209" t="n"/>
      <c r="S69" s="209" t="n"/>
      <c r="T69" s="209" t="n"/>
      <c r="U69" s="209" t="n"/>
      <c r="V69" s="209" t="n"/>
      <c r="W69" s="209" t="n"/>
      <c r="X69" s="209" t="n"/>
      <c r="Y69" s="209" t="n"/>
      <c r="Z69" s="209" t="n"/>
      <c r="AA69" s="209" t="n"/>
    </row>
    <row r="70" hidden="1" ht="15" customHeight="1" s="230">
      <c r="A70" s="219">
        <f>IFERROR(SMALL('Master Stock'!$R$2:$R$99,ROWS($A$3:A70)),"")</f>
        <v/>
      </c>
      <c r="B70" s="211">
        <f t="array" ref="B70">IF($A70="","",INDEX('Master Stock'!$C$2:$C$99,MATCH($A70,'Master Stock'!$R$2:$R$99,0)))</f>
        <v/>
      </c>
      <c r="C70" s="211">
        <f t="array" ref="C70">IF($A70="","",INDEX('Master Stock'!$D$2:$D$99,MATCH($A70,'Master Stock'!$R$2:$R$99,0)))</f>
        <v/>
      </c>
      <c r="D70" s="214">
        <f t="array" ref="D70">IF($A70="","",INDEX('Master Stock'!$B$2:$B$99,MATCH($A70,'Master Stock'!$R$2:$R$99,0)))</f>
        <v/>
      </c>
      <c r="E70" s="211">
        <f t="array" ref="E70">IF($A70="","",INDEX('Master Stock'!$G$2:$G$99,MATCH($A70,'Master Stock'!$R$2:$R$99,0)))</f>
        <v/>
      </c>
      <c r="F70" s="213">
        <f t="array" ref="F70">IF($A70="","",INDEX('Master Stock'!$F$2:$F$99,MATCH($A70,'Master Stock'!$R$2:$R$99,0)))</f>
        <v/>
      </c>
      <c r="G70" s="211">
        <f>IF($A70="","","Rice / FRK RRA")</f>
        <v/>
      </c>
      <c r="H70" s="214" t="n"/>
      <c r="I70" s="214">
        <f>IF($A70="","","FIFO - Oldest Receipt First")</f>
        <v/>
      </c>
      <c r="J70" s="209" t="n"/>
      <c r="K70" s="209" t="n"/>
      <c r="L70" s="209" t="n"/>
      <c r="M70" s="209" t="n"/>
      <c r="N70" s="209" t="n"/>
      <c r="O70" s="209" t="n"/>
      <c r="P70" s="209" t="n"/>
      <c r="Q70" s="209" t="n"/>
      <c r="R70" s="209" t="n"/>
      <c r="S70" s="209" t="n"/>
      <c r="T70" s="209" t="n"/>
      <c r="U70" s="209" t="n"/>
      <c r="V70" s="209" t="n"/>
      <c r="W70" s="209" t="n"/>
      <c r="X70" s="209" t="n"/>
      <c r="Y70" s="209" t="n"/>
      <c r="Z70" s="209" t="n"/>
      <c r="AA70" s="209" t="n"/>
    </row>
    <row r="71" hidden="1" ht="15" customHeight="1" s="230">
      <c r="A71" s="219">
        <f>IFERROR(SMALL('Master Stock'!$R$2:$R$99,ROWS($A$3:A71)),"")</f>
        <v/>
      </c>
      <c r="B71" s="211">
        <f t="array" ref="B71">IF($A71="","",INDEX('Master Stock'!$C$2:$C$99,MATCH($A71,'Master Stock'!$R$2:$R$99,0)))</f>
        <v/>
      </c>
      <c r="C71" s="211">
        <f t="array" ref="C71">IF($A71="","",INDEX('Master Stock'!$D$2:$D$99,MATCH($A71,'Master Stock'!$R$2:$R$99,0)))</f>
        <v/>
      </c>
      <c r="D71" s="214">
        <f t="array" ref="D71">IF($A71="","",INDEX('Master Stock'!$B$2:$B$99,MATCH($A71,'Master Stock'!$R$2:$R$99,0)))</f>
        <v/>
      </c>
      <c r="E71" s="211">
        <f t="array" ref="E71">IF($A71="","",INDEX('Master Stock'!$G$2:$G$99,MATCH($A71,'Master Stock'!$R$2:$R$99,0)))</f>
        <v/>
      </c>
      <c r="F71" s="213">
        <f t="array" ref="F71">IF($A71="","",INDEX('Master Stock'!$F$2:$F$99,MATCH($A71,'Master Stock'!$R$2:$R$99,0)))</f>
        <v/>
      </c>
      <c r="G71" s="211">
        <f>IF($A71="","","Rice / FRK RRA")</f>
        <v/>
      </c>
      <c r="H71" s="214" t="n"/>
      <c r="I71" s="214">
        <f>IF($A71="","","FIFO - Oldest Receipt First")</f>
        <v/>
      </c>
      <c r="J71" s="209" t="n"/>
      <c r="K71" s="209" t="n"/>
      <c r="L71" s="209" t="n"/>
      <c r="M71" s="209" t="n"/>
      <c r="N71" s="209" t="n"/>
      <c r="O71" s="209" t="n"/>
      <c r="P71" s="209" t="n"/>
      <c r="Q71" s="209" t="n"/>
      <c r="R71" s="209" t="n"/>
      <c r="S71" s="209" t="n"/>
      <c r="T71" s="209" t="n"/>
      <c r="U71" s="209" t="n"/>
      <c r="V71" s="209" t="n"/>
      <c r="W71" s="209" t="n"/>
      <c r="X71" s="209" t="n"/>
      <c r="Y71" s="209" t="n"/>
      <c r="Z71" s="209" t="n"/>
      <c r="AA71" s="209" t="n"/>
    </row>
    <row r="72" hidden="1" ht="15" customHeight="1" s="230">
      <c r="A72" s="219">
        <f>IFERROR(SMALL('Master Stock'!$R$2:$R$99,ROWS($A$3:A72)),"")</f>
        <v/>
      </c>
      <c r="B72" s="211">
        <f t="array" ref="B72">IF($A72="","",INDEX('Master Stock'!$C$2:$C$99,MATCH($A72,'Master Stock'!$R$2:$R$99,0)))</f>
        <v/>
      </c>
      <c r="C72" s="211">
        <f t="array" ref="C72">IF($A72="","",INDEX('Master Stock'!$D$2:$D$99,MATCH($A72,'Master Stock'!$R$2:$R$99,0)))</f>
        <v/>
      </c>
      <c r="D72" s="214">
        <f t="array" ref="D72">IF($A72="","",INDEX('Master Stock'!$B$2:$B$99,MATCH($A72,'Master Stock'!$R$2:$R$99,0)))</f>
        <v/>
      </c>
      <c r="E72" s="211">
        <f t="array" ref="E72">IF($A72="","",INDEX('Master Stock'!$G$2:$G$99,MATCH($A72,'Master Stock'!$R$2:$R$99,0)))</f>
        <v/>
      </c>
      <c r="F72" s="213">
        <f t="array" ref="F72">IF($A72="","",INDEX('Master Stock'!$F$2:$F$99,MATCH($A72,'Master Stock'!$R$2:$R$99,0)))</f>
        <v/>
      </c>
      <c r="G72" s="211">
        <f>IF($A72="","","Rice / FRK RRA")</f>
        <v/>
      </c>
      <c r="H72" s="214" t="n"/>
      <c r="I72" s="214">
        <f>IF($A72="","","FIFO - Oldest Receipt First")</f>
        <v/>
      </c>
      <c r="J72" s="209" t="n"/>
      <c r="K72" s="209" t="n"/>
      <c r="L72" s="209" t="n"/>
      <c r="M72" s="209" t="n"/>
      <c r="N72" s="209" t="n"/>
      <c r="O72" s="209" t="n"/>
      <c r="P72" s="209" t="n"/>
      <c r="Q72" s="209" t="n"/>
      <c r="R72" s="209" t="n"/>
      <c r="S72" s="209" t="n"/>
      <c r="T72" s="209" t="n"/>
      <c r="U72" s="209" t="n"/>
      <c r="V72" s="209" t="n"/>
      <c r="W72" s="209" t="n"/>
      <c r="X72" s="209" t="n"/>
      <c r="Y72" s="209" t="n"/>
      <c r="Z72" s="209" t="n"/>
      <c r="AA72" s="209" t="n"/>
    </row>
    <row r="73" hidden="1" ht="15" customHeight="1" s="230">
      <c r="A73" s="219">
        <f>IFERROR(SMALL('Master Stock'!$R$2:$R$99,ROWS($A$3:A73)),"")</f>
        <v/>
      </c>
      <c r="B73" s="211">
        <f t="array" ref="B73">IF($A73="","",INDEX('Master Stock'!$C$2:$C$99,MATCH($A73,'Master Stock'!$R$2:$R$99,0)))</f>
        <v/>
      </c>
      <c r="C73" s="211">
        <f t="array" ref="C73">IF($A73="","",INDEX('Master Stock'!$D$2:$D$99,MATCH($A73,'Master Stock'!$R$2:$R$99,0)))</f>
        <v/>
      </c>
      <c r="D73" s="214">
        <f t="array" ref="D73">IF($A73="","",INDEX('Master Stock'!$B$2:$B$99,MATCH($A73,'Master Stock'!$R$2:$R$99,0)))</f>
        <v/>
      </c>
      <c r="E73" s="211">
        <f t="array" ref="E73">IF($A73="","",INDEX('Master Stock'!$G$2:$G$99,MATCH($A73,'Master Stock'!$R$2:$R$99,0)))</f>
        <v/>
      </c>
      <c r="F73" s="213">
        <f t="array" ref="F73">IF($A73="","",INDEX('Master Stock'!$F$2:$F$99,MATCH($A73,'Master Stock'!$R$2:$R$99,0)))</f>
        <v/>
      </c>
      <c r="G73" s="211">
        <f>IF($A73="","","Rice / FRK RRA")</f>
        <v/>
      </c>
      <c r="H73" s="214" t="n"/>
      <c r="I73" s="214">
        <f>IF($A73="","","FIFO - Oldest Receipt First")</f>
        <v/>
      </c>
      <c r="J73" s="209" t="n"/>
      <c r="K73" s="209" t="n"/>
      <c r="L73" s="209" t="n"/>
      <c r="M73" s="209" t="n"/>
      <c r="N73" s="209" t="n"/>
      <c r="O73" s="209" t="n"/>
      <c r="P73" s="209" t="n"/>
      <c r="Q73" s="209" t="n"/>
      <c r="R73" s="209" t="n"/>
      <c r="S73" s="209" t="n"/>
      <c r="T73" s="209" t="n"/>
      <c r="U73" s="209" t="n"/>
      <c r="V73" s="209" t="n"/>
      <c r="W73" s="209" t="n"/>
      <c r="X73" s="209" t="n"/>
      <c r="Y73" s="209" t="n"/>
      <c r="Z73" s="209" t="n"/>
      <c r="AA73" s="209" t="n"/>
    </row>
    <row r="74" hidden="1" ht="15" customHeight="1" s="230">
      <c r="A74" s="219">
        <f>IFERROR(SMALL('Master Stock'!$R$2:$R$99,ROWS($A$3:A74)),"")</f>
        <v/>
      </c>
      <c r="B74" s="211">
        <f t="array" ref="B74">IF($A74="","",INDEX('Master Stock'!$C$2:$C$99,MATCH($A74,'Master Stock'!$R$2:$R$99,0)))</f>
        <v/>
      </c>
      <c r="C74" s="211">
        <f t="array" ref="C74">IF($A74="","",INDEX('Master Stock'!$D$2:$D$99,MATCH($A74,'Master Stock'!$R$2:$R$99,0)))</f>
        <v/>
      </c>
      <c r="D74" s="214">
        <f t="array" ref="D74">IF($A74="","",INDEX('Master Stock'!$B$2:$B$99,MATCH($A74,'Master Stock'!$R$2:$R$99,0)))</f>
        <v/>
      </c>
      <c r="E74" s="211">
        <f t="array" ref="E74">IF($A74="","",INDEX('Master Stock'!$G$2:$G$99,MATCH($A74,'Master Stock'!$R$2:$R$99,0)))</f>
        <v/>
      </c>
      <c r="F74" s="213">
        <f t="array" ref="F74">IF($A74="","",INDEX('Master Stock'!$F$2:$F$99,MATCH($A74,'Master Stock'!$R$2:$R$99,0)))</f>
        <v/>
      </c>
      <c r="G74" s="211">
        <f>IF($A74="","","Rice / FRK RRA")</f>
        <v/>
      </c>
      <c r="H74" s="214" t="n"/>
      <c r="I74" s="214">
        <f>IF($A74="","","FIFO - Oldest Receipt First")</f>
        <v/>
      </c>
      <c r="J74" s="209" t="n"/>
      <c r="K74" s="209" t="n"/>
      <c r="L74" s="209" t="n"/>
      <c r="M74" s="209" t="n"/>
      <c r="N74" s="209" t="n"/>
      <c r="O74" s="209" t="n"/>
      <c r="P74" s="209" t="n"/>
      <c r="Q74" s="209" t="n"/>
      <c r="R74" s="209" t="n"/>
      <c r="S74" s="209" t="n"/>
      <c r="T74" s="209" t="n"/>
      <c r="U74" s="209" t="n"/>
      <c r="V74" s="209" t="n"/>
      <c r="W74" s="209" t="n"/>
      <c r="X74" s="209" t="n"/>
      <c r="Y74" s="209" t="n"/>
      <c r="Z74" s="209" t="n"/>
      <c r="AA74" s="209" t="n"/>
    </row>
    <row r="75" hidden="1" ht="15" customHeight="1" s="230">
      <c r="A75" s="219">
        <f>IFERROR(SMALL('Master Stock'!$R$2:$R$99,ROWS($A$3:A75)),"")</f>
        <v/>
      </c>
      <c r="B75" s="211">
        <f t="array" ref="B75">IF($A75="","",INDEX('Master Stock'!$C$2:$C$99,MATCH($A75,'Master Stock'!$R$2:$R$99,0)))</f>
        <v/>
      </c>
      <c r="C75" s="211">
        <f t="array" ref="C75">IF($A75="","",INDEX('Master Stock'!$D$2:$D$99,MATCH($A75,'Master Stock'!$R$2:$R$99,0)))</f>
        <v/>
      </c>
      <c r="D75" s="214">
        <f t="array" ref="D75">IF($A75="","",INDEX('Master Stock'!$B$2:$B$99,MATCH($A75,'Master Stock'!$R$2:$R$99,0)))</f>
        <v/>
      </c>
      <c r="E75" s="211">
        <f t="array" ref="E75">IF($A75="","",INDEX('Master Stock'!$G$2:$G$99,MATCH($A75,'Master Stock'!$R$2:$R$99,0)))</f>
        <v/>
      </c>
      <c r="F75" s="213">
        <f t="array" ref="F75">IF($A75="","",INDEX('Master Stock'!$F$2:$F$99,MATCH($A75,'Master Stock'!$R$2:$R$99,0)))</f>
        <v/>
      </c>
      <c r="G75" s="211">
        <f>IF($A75="","","Rice / FRK RRA")</f>
        <v/>
      </c>
      <c r="H75" s="214" t="n"/>
      <c r="I75" s="214">
        <f>IF($A75="","","FIFO - Oldest Receipt First")</f>
        <v/>
      </c>
      <c r="J75" s="209" t="n"/>
      <c r="K75" s="209" t="n"/>
      <c r="L75" s="209" t="n"/>
      <c r="M75" s="209" t="n"/>
      <c r="N75" s="209" t="n"/>
      <c r="O75" s="209" t="n"/>
      <c r="P75" s="209" t="n"/>
      <c r="Q75" s="209" t="n"/>
      <c r="R75" s="209" t="n"/>
      <c r="S75" s="209" t="n"/>
      <c r="T75" s="209" t="n"/>
      <c r="U75" s="209" t="n"/>
      <c r="V75" s="209" t="n"/>
      <c r="W75" s="209" t="n"/>
      <c r="X75" s="209" t="n"/>
      <c r="Y75" s="209" t="n"/>
      <c r="Z75" s="209" t="n"/>
      <c r="AA75" s="209" t="n"/>
    </row>
    <row r="76" hidden="1" ht="15" customHeight="1" s="230">
      <c r="A76" s="219">
        <f>IFERROR(SMALL('Master Stock'!$R$2:$R$99,ROWS($A$3:A76)),"")</f>
        <v/>
      </c>
      <c r="B76" s="211">
        <f t="array" ref="B76">IF($A76="","",INDEX('Master Stock'!$C$2:$C$99,MATCH($A76,'Master Stock'!$R$2:$R$99,0)))</f>
        <v/>
      </c>
      <c r="C76" s="211">
        <f t="array" ref="C76">IF($A76="","",INDEX('Master Stock'!$D$2:$D$99,MATCH($A76,'Master Stock'!$R$2:$R$99,0)))</f>
        <v/>
      </c>
      <c r="D76" s="214">
        <f t="array" ref="D76">IF($A76="","",INDEX('Master Stock'!$B$2:$B$99,MATCH($A76,'Master Stock'!$R$2:$R$99,0)))</f>
        <v/>
      </c>
      <c r="E76" s="211">
        <f t="array" ref="E76">IF($A76="","",INDEX('Master Stock'!$G$2:$G$99,MATCH($A76,'Master Stock'!$R$2:$R$99,0)))</f>
        <v/>
      </c>
      <c r="F76" s="213">
        <f t="array" ref="F76">IF($A76="","",INDEX('Master Stock'!$F$2:$F$99,MATCH($A76,'Master Stock'!$R$2:$R$99,0)))</f>
        <v/>
      </c>
      <c r="G76" s="211">
        <f>IF($A76="","","Rice / FRK RRA")</f>
        <v/>
      </c>
      <c r="H76" s="214" t="n"/>
      <c r="I76" s="214">
        <f>IF($A76="","","FIFO - Oldest Receipt First")</f>
        <v/>
      </c>
      <c r="J76" s="209" t="n"/>
      <c r="K76" s="209" t="n"/>
      <c r="L76" s="209" t="n"/>
      <c r="M76" s="209" t="n"/>
      <c r="N76" s="209" t="n"/>
      <c r="O76" s="209" t="n"/>
      <c r="P76" s="209" t="n"/>
      <c r="Q76" s="209" t="n"/>
      <c r="R76" s="209" t="n"/>
      <c r="S76" s="209" t="n"/>
      <c r="T76" s="209" t="n"/>
      <c r="U76" s="209" t="n"/>
      <c r="V76" s="209" t="n"/>
      <c r="W76" s="209" t="n"/>
      <c r="X76" s="209" t="n"/>
      <c r="Y76" s="209" t="n"/>
      <c r="Z76" s="209" t="n"/>
      <c r="AA76" s="209" t="n"/>
    </row>
    <row r="77" hidden="1" ht="15" customHeight="1" s="230">
      <c r="A77" s="219">
        <f>IFERROR(SMALL('Master Stock'!$R$2:$R$99,ROWS($A$3:A77)),"")</f>
        <v/>
      </c>
      <c r="B77" s="211">
        <f t="array" ref="B77">IF($A77="","",INDEX('Master Stock'!$C$2:$C$99,MATCH($A77,'Master Stock'!$R$2:$R$99,0)))</f>
        <v/>
      </c>
      <c r="C77" s="211">
        <f t="array" ref="C77">IF($A77="","",INDEX('Master Stock'!$D$2:$D$99,MATCH($A77,'Master Stock'!$R$2:$R$99,0)))</f>
        <v/>
      </c>
      <c r="D77" s="214">
        <f t="array" ref="D77">IF($A77="","",INDEX('Master Stock'!$B$2:$B$99,MATCH($A77,'Master Stock'!$R$2:$R$99,0)))</f>
        <v/>
      </c>
      <c r="E77" s="211">
        <f t="array" ref="E77">IF($A77="","",INDEX('Master Stock'!$G$2:$G$99,MATCH($A77,'Master Stock'!$R$2:$R$99,0)))</f>
        <v/>
      </c>
      <c r="F77" s="213">
        <f t="array" ref="F77">IF($A77="","",INDEX('Master Stock'!$F$2:$F$99,MATCH($A77,'Master Stock'!$R$2:$R$99,0)))</f>
        <v/>
      </c>
      <c r="G77" s="211">
        <f>IF($A77="","","Rice / FRK RRA")</f>
        <v/>
      </c>
      <c r="H77" s="214" t="n"/>
      <c r="I77" s="214">
        <f>IF($A77="","","FIFO - Oldest Receipt First")</f>
        <v/>
      </c>
      <c r="J77" s="209" t="n"/>
      <c r="K77" s="209" t="n"/>
      <c r="L77" s="209" t="n"/>
      <c r="M77" s="209" t="n"/>
      <c r="N77" s="209" t="n"/>
      <c r="O77" s="209" t="n"/>
      <c r="P77" s="209" t="n"/>
      <c r="Q77" s="209" t="n"/>
      <c r="R77" s="209" t="n"/>
      <c r="S77" s="209" t="n"/>
      <c r="T77" s="209" t="n"/>
      <c r="U77" s="209" t="n"/>
      <c r="V77" s="209" t="n"/>
      <c r="W77" s="209" t="n"/>
      <c r="X77" s="209" t="n"/>
      <c r="Y77" s="209" t="n"/>
      <c r="Z77" s="209" t="n"/>
      <c r="AA77" s="209" t="n"/>
    </row>
    <row r="78" hidden="1" ht="15" customHeight="1" s="230">
      <c r="A78" s="219">
        <f>IFERROR(SMALL('Master Stock'!$R$2:$R$99,ROWS($A$3:A78)),"")</f>
        <v/>
      </c>
      <c r="B78" s="211">
        <f t="array" ref="B78">IF($A78="","",INDEX('Master Stock'!$C$2:$C$99,MATCH($A78,'Master Stock'!$R$2:$R$99,0)))</f>
        <v/>
      </c>
      <c r="C78" s="211">
        <f t="array" ref="C78">IF($A78="","",INDEX('Master Stock'!$D$2:$D$99,MATCH($A78,'Master Stock'!$R$2:$R$99,0)))</f>
        <v/>
      </c>
      <c r="D78" s="214">
        <f t="array" ref="D78">IF($A78="","",INDEX('Master Stock'!$B$2:$B$99,MATCH($A78,'Master Stock'!$R$2:$R$99,0)))</f>
        <v/>
      </c>
      <c r="E78" s="211">
        <f t="array" ref="E78">IF($A78="","",INDEX('Master Stock'!$G$2:$G$99,MATCH($A78,'Master Stock'!$R$2:$R$99,0)))</f>
        <v/>
      </c>
      <c r="F78" s="213">
        <f t="array" ref="F78">IF($A78="","",INDEX('Master Stock'!$F$2:$F$99,MATCH($A78,'Master Stock'!$R$2:$R$99,0)))</f>
        <v/>
      </c>
      <c r="G78" s="211">
        <f>IF($A78="","","Rice / FRK RRA")</f>
        <v/>
      </c>
      <c r="H78" s="214" t="n"/>
      <c r="I78" s="214">
        <f>IF($A78="","","FIFO - Oldest Receipt First")</f>
        <v/>
      </c>
      <c r="J78" s="209" t="n"/>
      <c r="K78" s="209" t="n"/>
      <c r="L78" s="209" t="n"/>
      <c r="M78" s="209" t="n"/>
      <c r="N78" s="209" t="n"/>
      <c r="O78" s="209" t="n"/>
      <c r="P78" s="209" t="n"/>
      <c r="Q78" s="209" t="n"/>
      <c r="R78" s="209" t="n"/>
      <c r="S78" s="209" t="n"/>
      <c r="T78" s="209" t="n"/>
      <c r="U78" s="209" t="n"/>
      <c r="V78" s="209" t="n"/>
      <c r="W78" s="209" t="n"/>
      <c r="X78" s="209" t="n"/>
      <c r="Y78" s="209" t="n"/>
      <c r="Z78" s="209" t="n"/>
      <c r="AA78" s="209" t="n"/>
    </row>
    <row r="79" hidden="1" ht="15" customHeight="1" s="230">
      <c r="A79" s="219">
        <f>IFERROR(SMALL('Master Stock'!$R$2:$R$99,ROWS($A$3:A79)),"")</f>
        <v/>
      </c>
      <c r="B79" s="211">
        <f t="array" ref="B79">IF($A79="","",INDEX('Master Stock'!$C$2:$C$99,MATCH($A79,'Master Stock'!$R$2:$R$99,0)))</f>
        <v/>
      </c>
      <c r="C79" s="211">
        <f t="array" ref="C79">IF($A79="","",INDEX('Master Stock'!$D$2:$D$99,MATCH($A79,'Master Stock'!$R$2:$R$99,0)))</f>
        <v/>
      </c>
      <c r="D79" s="214">
        <f t="array" ref="D79">IF($A79="","",INDEX('Master Stock'!$B$2:$B$99,MATCH($A79,'Master Stock'!$R$2:$R$99,0)))</f>
        <v/>
      </c>
      <c r="E79" s="211">
        <f t="array" ref="E79">IF($A79="","",INDEX('Master Stock'!$G$2:$G$99,MATCH($A79,'Master Stock'!$R$2:$R$99,0)))</f>
        <v/>
      </c>
      <c r="F79" s="213">
        <f t="array" ref="F79">IF($A79="","",INDEX('Master Stock'!$F$2:$F$99,MATCH($A79,'Master Stock'!$R$2:$R$99,0)))</f>
        <v/>
      </c>
      <c r="G79" s="211">
        <f>IF($A79="","","Rice / FRK RRA")</f>
        <v/>
      </c>
      <c r="H79" s="214" t="n"/>
      <c r="I79" s="214">
        <f>IF($A79="","","FIFO - Oldest Receipt First")</f>
        <v/>
      </c>
      <c r="J79" s="209" t="n"/>
      <c r="K79" s="209" t="n"/>
      <c r="L79" s="209" t="n"/>
      <c r="M79" s="209" t="n"/>
      <c r="N79" s="209" t="n"/>
      <c r="O79" s="209" t="n"/>
      <c r="P79" s="209" t="n"/>
      <c r="Q79" s="209" t="n"/>
      <c r="R79" s="209" t="n"/>
      <c r="S79" s="209" t="n"/>
      <c r="T79" s="209" t="n"/>
      <c r="U79" s="209" t="n"/>
      <c r="V79" s="209" t="n"/>
      <c r="W79" s="209" t="n"/>
      <c r="X79" s="209" t="n"/>
      <c r="Y79" s="209" t="n"/>
      <c r="Z79" s="209" t="n"/>
      <c r="AA79" s="209" t="n"/>
    </row>
    <row r="80" hidden="1" ht="15" customHeight="1" s="230">
      <c r="A80" s="219">
        <f>IFERROR(SMALL('Master Stock'!$R$2:$R$99,ROWS($A$3:A80)),"")</f>
        <v/>
      </c>
      <c r="B80" s="211">
        <f t="array" ref="B80">IF($A80="","",INDEX('Master Stock'!$C$2:$C$99,MATCH($A80,'Master Stock'!$R$2:$R$99,0)))</f>
        <v/>
      </c>
      <c r="C80" s="211">
        <f t="array" ref="C80">IF($A80="","",INDEX('Master Stock'!$D$2:$D$99,MATCH($A80,'Master Stock'!$R$2:$R$99,0)))</f>
        <v/>
      </c>
      <c r="D80" s="214">
        <f t="array" ref="D80">IF($A80="","",INDEX('Master Stock'!$B$2:$B$99,MATCH($A80,'Master Stock'!$R$2:$R$99,0)))</f>
        <v/>
      </c>
      <c r="E80" s="211">
        <f t="array" ref="E80">IF($A80="","",INDEX('Master Stock'!$G$2:$G$99,MATCH($A80,'Master Stock'!$R$2:$R$99,0)))</f>
        <v/>
      </c>
      <c r="F80" s="213">
        <f t="array" ref="F80">IF($A80="","",INDEX('Master Stock'!$F$2:$F$99,MATCH($A80,'Master Stock'!$R$2:$R$99,0)))</f>
        <v/>
      </c>
      <c r="G80" s="211">
        <f>IF($A80="","","Rice / FRK RRA")</f>
        <v/>
      </c>
      <c r="H80" s="214" t="n"/>
      <c r="I80" s="214">
        <f>IF($A80="","","FIFO - Oldest Receipt First")</f>
        <v/>
      </c>
      <c r="J80" s="209" t="n"/>
      <c r="K80" s="209" t="n"/>
      <c r="L80" s="209" t="n"/>
      <c r="M80" s="209" t="n"/>
      <c r="N80" s="209" t="n"/>
      <c r="O80" s="209" t="n"/>
      <c r="P80" s="209" t="n"/>
      <c r="Q80" s="209" t="n"/>
      <c r="R80" s="209" t="n"/>
      <c r="S80" s="209" t="n"/>
      <c r="T80" s="209" t="n"/>
      <c r="U80" s="209" t="n"/>
      <c r="V80" s="209" t="n"/>
      <c r="W80" s="209" t="n"/>
      <c r="X80" s="209" t="n"/>
      <c r="Y80" s="209" t="n"/>
      <c r="Z80" s="209" t="n"/>
      <c r="AA80" s="209" t="n"/>
    </row>
    <row r="81" hidden="1" ht="15" customHeight="1" s="230">
      <c r="A81" s="219">
        <f>IFERROR(SMALL('Master Stock'!$R$2:$R$99,ROWS($A$3:A81)),"")</f>
        <v/>
      </c>
      <c r="B81" s="211">
        <f t="array" ref="B81">IF($A81="","",INDEX('Master Stock'!$C$2:$C$99,MATCH($A81,'Master Stock'!$R$2:$R$99,0)))</f>
        <v/>
      </c>
      <c r="C81" s="211">
        <f t="array" ref="C81">IF($A81="","",INDEX('Master Stock'!$D$2:$D$99,MATCH($A81,'Master Stock'!$R$2:$R$99,0)))</f>
        <v/>
      </c>
      <c r="D81" s="214">
        <f t="array" ref="D81">IF($A81="","",INDEX('Master Stock'!$B$2:$B$99,MATCH($A81,'Master Stock'!$R$2:$R$99,0)))</f>
        <v/>
      </c>
      <c r="E81" s="211">
        <f t="array" ref="E81">IF($A81="","",INDEX('Master Stock'!$G$2:$G$99,MATCH($A81,'Master Stock'!$R$2:$R$99,0)))</f>
        <v/>
      </c>
      <c r="F81" s="213">
        <f t="array" ref="F81">IF($A81="","",INDEX('Master Stock'!$F$2:$F$99,MATCH($A81,'Master Stock'!$R$2:$R$99,0)))</f>
        <v/>
      </c>
      <c r="G81" s="211">
        <f>IF($A81="","","Rice / FRK RRA")</f>
        <v/>
      </c>
      <c r="H81" s="214" t="n"/>
      <c r="I81" s="214">
        <f>IF($A81="","","FIFO - Oldest Receipt First")</f>
        <v/>
      </c>
      <c r="J81" s="209" t="n"/>
      <c r="K81" s="209" t="n"/>
      <c r="L81" s="209" t="n"/>
      <c r="M81" s="209" t="n"/>
      <c r="N81" s="209" t="n"/>
      <c r="O81" s="209" t="n"/>
      <c r="P81" s="209" t="n"/>
      <c r="Q81" s="209" t="n"/>
      <c r="R81" s="209" t="n"/>
      <c r="S81" s="209" t="n"/>
      <c r="T81" s="209" t="n"/>
      <c r="U81" s="209" t="n"/>
      <c r="V81" s="209" t="n"/>
      <c r="W81" s="209" t="n"/>
      <c r="X81" s="209" t="n"/>
      <c r="Y81" s="209" t="n"/>
      <c r="Z81" s="209" t="n"/>
      <c r="AA81" s="209" t="n"/>
    </row>
    <row r="82" hidden="1" ht="15" customHeight="1" s="230">
      <c r="A82" s="219">
        <f>IFERROR(SMALL('Master Stock'!$R$2:$R$99,ROWS($A$3:A82)),"")</f>
        <v/>
      </c>
      <c r="B82" s="211">
        <f t="array" ref="B82">IF($A82="","",INDEX('Master Stock'!$C$2:$C$99,MATCH($A82,'Master Stock'!$R$2:$R$99,0)))</f>
        <v/>
      </c>
      <c r="C82" s="211">
        <f t="array" ref="C82">IF($A82="","",INDEX('Master Stock'!$D$2:$D$99,MATCH($A82,'Master Stock'!$R$2:$R$99,0)))</f>
        <v/>
      </c>
      <c r="D82" s="214">
        <f t="array" ref="D82">IF($A82="","",INDEX('Master Stock'!$B$2:$B$99,MATCH($A82,'Master Stock'!$R$2:$R$99,0)))</f>
        <v/>
      </c>
      <c r="E82" s="211">
        <f t="array" ref="E82">IF($A82="","",INDEX('Master Stock'!$G$2:$G$99,MATCH($A82,'Master Stock'!$R$2:$R$99,0)))</f>
        <v/>
      </c>
      <c r="F82" s="213">
        <f t="array" ref="F82">IF($A82="","",INDEX('Master Stock'!$F$2:$F$99,MATCH($A82,'Master Stock'!$R$2:$R$99,0)))</f>
        <v/>
      </c>
      <c r="G82" s="211">
        <f>IF($A82="","","Rice / FRK RRA")</f>
        <v/>
      </c>
      <c r="H82" s="214" t="n"/>
      <c r="I82" s="214">
        <f>IF($A82="","","FIFO - Oldest Receipt First")</f>
        <v/>
      </c>
      <c r="J82" s="209" t="n"/>
      <c r="K82" s="209" t="n"/>
      <c r="L82" s="209" t="n"/>
      <c r="M82" s="209" t="n"/>
      <c r="N82" s="209" t="n"/>
      <c r="O82" s="209" t="n"/>
      <c r="P82" s="209" t="n"/>
      <c r="Q82" s="209" t="n"/>
      <c r="R82" s="209" t="n"/>
      <c r="S82" s="209" t="n"/>
      <c r="T82" s="209" t="n"/>
      <c r="U82" s="209" t="n"/>
      <c r="V82" s="209" t="n"/>
      <c r="W82" s="209" t="n"/>
      <c r="X82" s="209" t="n"/>
      <c r="Y82" s="209" t="n"/>
      <c r="Z82" s="209" t="n"/>
      <c r="AA82" s="209" t="n"/>
    </row>
    <row r="83" hidden="1" ht="15" customHeight="1" s="230">
      <c r="A83" s="219">
        <f>IFERROR(SMALL('Master Stock'!$R$2:$R$99,ROWS($A$3:A83)),"")</f>
        <v/>
      </c>
      <c r="B83" s="211">
        <f t="array" ref="B83">IF($A83="","",INDEX('Master Stock'!$C$2:$C$99,MATCH($A83,'Master Stock'!$R$2:$R$99,0)))</f>
        <v/>
      </c>
      <c r="C83" s="211">
        <f t="array" ref="C83">IF($A83="","",INDEX('Master Stock'!$D$2:$D$99,MATCH($A83,'Master Stock'!$R$2:$R$99,0)))</f>
        <v/>
      </c>
      <c r="D83" s="214">
        <f t="array" ref="D83">IF($A83="","",INDEX('Master Stock'!$B$2:$B$99,MATCH($A83,'Master Stock'!$R$2:$R$99,0)))</f>
        <v/>
      </c>
      <c r="E83" s="211">
        <f t="array" ref="E83">IF($A83="","",INDEX('Master Stock'!$G$2:$G$99,MATCH($A83,'Master Stock'!$R$2:$R$99,0)))</f>
        <v/>
      </c>
      <c r="F83" s="213">
        <f t="array" ref="F83">IF($A83="","",INDEX('Master Stock'!$F$2:$F$99,MATCH($A83,'Master Stock'!$R$2:$R$99,0)))</f>
        <v/>
      </c>
      <c r="G83" s="211">
        <f>IF($A83="","","Rice / FRK RRA")</f>
        <v/>
      </c>
      <c r="H83" s="214" t="n"/>
      <c r="I83" s="214">
        <f>IF($A83="","","FIFO - Oldest Receipt First")</f>
        <v/>
      </c>
      <c r="J83" s="209" t="n"/>
      <c r="K83" s="209" t="n"/>
      <c r="L83" s="209" t="n"/>
      <c r="M83" s="209" t="n"/>
      <c r="N83" s="209" t="n"/>
      <c r="O83" s="209" t="n"/>
      <c r="P83" s="209" t="n"/>
      <c r="Q83" s="209" t="n"/>
      <c r="R83" s="209" t="n"/>
      <c r="S83" s="209" t="n"/>
      <c r="T83" s="209" t="n"/>
      <c r="U83" s="209" t="n"/>
      <c r="V83" s="209" t="n"/>
      <c r="W83" s="209" t="n"/>
      <c r="X83" s="209" t="n"/>
      <c r="Y83" s="209" t="n"/>
      <c r="Z83" s="209" t="n"/>
      <c r="AA83" s="209" t="n"/>
    </row>
    <row r="84" hidden="1" ht="15" customHeight="1" s="230">
      <c r="A84" s="219">
        <f>IFERROR(SMALL('Master Stock'!$R$2:$R$99,ROWS($A$3:A84)),"")</f>
        <v/>
      </c>
      <c r="B84" s="211">
        <f t="array" ref="B84">IF($A84="","",INDEX('Master Stock'!$C$2:$C$99,MATCH($A84,'Master Stock'!$R$2:$R$99,0)))</f>
        <v/>
      </c>
      <c r="C84" s="211">
        <f t="array" ref="C84">IF($A84="","",INDEX('Master Stock'!$D$2:$D$99,MATCH($A84,'Master Stock'!$R$2:$R$99,0)))</f>
        <v/>
      </c>
      <c r="D84" s="214">
        <f t="array" ref="D84">IF($A84="","",INDEX('Master Stock'!$B$2:$B$99,MATCH($A84,'Master Stock'!$R$2:$R$99,0)))</f>
        <v/>
      </c>
      <c r="E84" s="211">
        <f t="array" ref="E84">IF($A84="","",INDEX('Master Stock'!$G$2:$G$99,MATCH($A84,'Master Stock'!$R$2:$R$99,0)))</f>
        <v/>
      </c>
      <c r="F84" s="213">
        <f t="array" ref="F84">IF($A84="","",INDEX('Master Stock'!$F$2:$F$99,MATCH($A84,'Master Stock'!$R$2:$R$99,0)))</f>
        <v/>
      </c>
      <c r="G84" s="211">
        <f>IF($A84="","","Rice / FRK RRA")</f>
        <v/>
      </c>
      <c r="H84" s="214" t="n"/>
      <c r="I84" s="214">
        <f>IF($A84="","","FIFO - Oldest Receipt First")</f>
        <v/>
      </c>
      <c r="J84" s="209" t="n"/>
      <c r="K84" s="209" t="n"/>
      <c r="L84" s="209" t="n"/>
      <c r="M84" s="209" t="n"/>
      <c r="N84" s="209" t="n"/>
      <c r="O84" s="209" t="n"/>
      <c r="P84" s="209" t="n"/>
      <c r="Q84" s="209" t="n"/>
      <c r="R84" s="209" t="n"/>
      <c r="S84" s="209" t="n"/>
      <c r="T84" s="209" t="n"/>
      <c r="U84" s="209" t="n"/>
      <c r="V84" s="209" t="n"/>
      <c r="W84" s="209" t="n"/>
      <c r="X84" s="209" t="n"/>
      <c r="Y84" s="209" t="n"/>
      <c r="Z84" s="209" t="n"/>
      <c r="AA84" s="209" t="n"/>
    </row>
    <row r="85" hidden="1" ht="15" customHeight="1" s="230">
      <c r="A85" s="219">
        <f>IFERROR(SMALL('Master Stock'!$R$2:$R$99,ROWS($A$3:A85)),"")</f>
        <v/>
      </c>
      <c r="B85" s="211">
        <f t="array" ref="B85">IF($A85="","",INDEX('Master Stock'!$C$2:$C$99,MATCH($A85,'Master Stock'!$R$2:$R$99,0)))</f>
        <v/>
      </c>
      <c r="C85" s="211">
        <f t="array" ref="C85">IF($A85="","",INDEX('Master Stock'!$D$2:$D$99,MATCH($A85,'Master Stock'!$R$2:$R$99,0)))</f>
        <v/>
      </c>
      <c r="D85" s="214">
        <f t="array" ref="D85">IF($A85="","",INDEX('Master Stock'!$B$2:$B$99,MATCH($A85,'Master Stock'!$R$2:$R$99,0)))</f>
        <v/>
      </c>
      <c r="E85" s="211">
        <f t="array" ref="E85">IF($A85="","",INDEX('Master Stock'!$G$2:$G$99,MATCH($A85,'Master Stock'!$R$2:$R$99,0)))</f>
        <v/>
      </c>
      <c r="F85" s="213">
        <f t="array" ref="F85">IF($A85="","",INDEX('Master Stock'!$F$2:$F$99,MATCH($A85,'Master Stock'!$R$2:$R$99,0)))</f>
        <v/>
      </c>
      <c r="G85" s="211">
        <f>IF($A85="","","Rice / FRK RRA")</f>
        <v/>
      </c>
      <c r="H85" s="214" t="n"/>
      <c r="I85" s="214">
        <f>IF($A85="","","FIFO - Oldest Receipt First")</f>
        <v/>
      </c>
      <c r="J85" s="209" t="n"/>
      <c r="K85" s="209" t="n"/>
      <c r="L85" s="209" t="n"/>
      <c r="M85" s="209" t="n"/>
      <c r="N85" s="209" t="n"/>
      <c r="O85" s="209" t="n"/>
      <c r="P85" s="209" t="n"/>
      <c r="Q85" s="209" t="n"/>
      <c r="R85" s="209" t="n"/>
      <c r="S85" s="209" t="n"/>
      <c r="T85" s="209" t="n"/>
      <c r="U85" s="209" t="n"/>
      <c r="V85" s="209" t="n"/>
      <c r="W85" s="209" t="n"/>
      <c r="X85" s="209" t="n"/>
      <c r="Y85" s="209" t="n"/>
      <c r="Z85" s="209" t="n"/>
      <c r="AA85" s="209" t="n"/>
    </row>
    <row r="86" hidden="1" ht="15" customHeight="1" s="230">
      <c r="A86" s="219">
        <f>IFERROR(SMALL('Master Stock'!$R$2:$R$99,ROWS($A$3:A86)),"")</f>
        <v/>
      </c>
      <c r="B86" s="211">
        <f t="array" ref="B86">IF($A86="","",INDEX('Master Stock'!$C$2:$C$99,MATCH($A86,'Master Stock'!$R$2:$R$99,0)))</f>
        <v/>
      </c>
      <c r="C86" s="211">
        <f t="array" ref="C86">IF($A86="","",INDEX('Master Stock'!$D$2:$D$99,MATCH($A86,'Master Stock'!$R$2:$R$99,0)))</f>
        <v/>
      </c>
      <c r="D86" s="214">
        <f t="array" ref="D86">IF($A86="","",INDEX('Master Stock'!$B$2:$B$99,MATCH($A86,'Master Stock'!$R$2:$R$99,0)))</f>
        <v/>
      </c>
      <c r="E86" s="211">
        <f t="array" ref="E86">IF($A86="","",INDEX('Master Stock'!$G$2:$G$99,MATCH($A86,'Master Stock'!$R$2:$R$99,0)))</f>
        <v/>
      </c>
      <c r="F86" s="213">
        <f t="array" ref="F86">IF($A86="","",INDEX('Master Stock'!$F$2:$F$99,MATCH($A86,'Master Stock'!$R$2:$R$99,0)))</f>
        <v/>
      </c>
      <c r="G86" s="211">
        <f>IF($A86="","","Rice / FRK RRA")</f>
        <v/>
      </c>
      <c r="H86" s="214" t="n"/>
      <c r="I86" s="214">
        <f>IF($A86="","","FIFO - Oldest Receipt First")</f>
        <v/>
      </c>
      <c r="J86" s="209" t="n"/>
      <c r="K86" s="209" t="n"/>
      <c r="L86" s="209" t="n"/>
      <c r="M86" s="209" t="n"/>
      <c r="N86" s="209" t="n"/>
      <c r="O86" s="209" t="n"/>
      <c r="P86" s="209" t="n"/>
      <c r="Q86" s="209" t="n"/>
      <c r="R86" s="209" t="n"/>
      <c r="S86" s="209" t="n"/>
      <c r="T86" s="209" t="n"/>
      <c r="U86" s="209" t="n"/>
      <c r="V86" s="209" t="n"/>
      <c r="W86" s="209" t="n"/>
      <c r="X86" s="209" t="n"/>
      <c r="Y86" s="209" t="n"/>
      <c r="Z86" s="209" t="n"/>
      <c r="AA86" s="209" t="n"/>
    </row>
    <row r="87" hidden="1" ht="15" customHeight="1" s="230">
      <c r="A87" s="219">
        <f>IFERROR(SMALL('Master Stock'!$R$2:$R$99,ROWS($A$3:A87)),"")</f>
        <v/>
      </c>
      <c r="B87" s="211">
        <f t="array" ref="B87">IF($A87="","",INDEX('Master Stock'!$C$2:$C$99,MATCH($A87,'Master Stock'!$R$2:$R$99,0)))</f>
        <v/>
      </c>
      <c r="C87" s="211">
        <f t="array" ref="C87">IF($A87="","",INDEX('Master Stock'!$D$2:$D$99,MATCH($A87,'Master Stock'!$R$2:$R$99,0)))</f>
        <v/>
      </c>
      <c r="D87" s="214">
        <f t="array" ref="D87">IF($A87="","",INDEX('Master Stock'!$B$2:$B$99,MATCH($A87,'Master Stock'!$R$2:$R$99,0)))</f>
        <v/>
      </c>
      <c r="E87" s="211">
        <f t="array" ref="E87">IF($A87="","",INDEX('Master Stock'!$G$2:$G$99,MATCH($A87,'Master Stock'!$R$2:$R$99,0)))</f>
        <v/>
      </c>
      <c r="F87" s="213">
        <f t="array" ref="F87">IF($A87="","",INDEX('Master Stock'!$F$2:$F$99,MATCH($A87,'Master Stock'!$R$2:$R$99,0)))</f>
        <v/>
      </c>
      <c r="G87" s="211">
        <f>IF($A87="","","Rice / FRK RRA")</f>
        <v/>
      </c>
      <c r="H87" s="214" t="n"/>
      <c r="I87" s="214">
        <f>IF($A87="","","FIFO - Oldest Receipt First")</f>
        <v/>
      </c>
      <c r="J87" s="209" t="n"/>
      <c r="K87" s="209" t="n"/>
      <c r="L87" s="209" t="n"/>
      <c r="M87" s="209" t="n"/>
      <c r="N87" s="209" t="n"/>
      <c r="O87" s="209" t="n"/>
      <c r="P87" s="209" t="n"/>
      <c r="Q87" s="209" t="n"/>
      <c r="R87" s="209" t="n"/>
      <c r="S87" s="209" t="n"/>
      <c r="T87" s="209" t="n"/>
      <c r="U87" s="209" t="n"/>
      <c r="V87" s="209" t="n"/>
      <c r="W87" s="209" t="n"/>
      <c r="X87" s="209" t="n"/>
      <c r="Y87" s="209" t="n"/>
      <c r="Z87" s="209" t="n"/>
      <c r="AA87" s="209" t="n"/>
    </row>
    <row r="88" hidden="1" ht="15" customHeight="1" s="230">
      <c r="A88" s="219">
        <f>IFERROR(SMALL('Master Stock'!$R$2:$R$99,ROWS($A$3:A88)),"")</f>
        <v/>
      </c>
      <c r="B88" s="211">
        <f t="array" ref="B88">IF($A88="","",INDEX('Master Stock'!$C$2:$C$99,MATCH($A88,'Master Stock'!$R$2:$R$99,0)))</f>
        <v/>
      </c>
      <c r="C88" s="211">
        <f t="array" ref="C88">IF($A88="","",INDEX('Master Stock'!$D$2:$D$99,MATCH($A88,'Master Stock'!$R$2:$R$99,0)))</f>
        <v/>
      </c>
      <c r="D88" s="214">
        <f t="array" ref="D88">IF($A88="","",INDEX('Master Stock'!$B$2:$B$99,MATCH($A88,'Master Stock'!$R$2:$R$99,0)))</f>
        <v/>
      </c>
      <c r="E88" s="211">
        <f t="array" ref="E88">IF($A88="","",INDEX('Master Stock'!$G$2:$G$99,MATCH($A88,'Master Stock'!$R$2:$R$99,0)))</f>
        <v/>
      </c>
      <c r="F88" s="213">
        <f t="array" ref="F88">IF($A88="","",INDEX('Master Stock'!$F$2:$F$99,MATCH($A88,'Master Stock'!$R$2:$R$99,0)))</f>
        <v/>
      </c>
      <c r="G88" s="211">
        <f>IF($A88="","","Rice / FRK RRA")</f>
        <v/>
      </c>
      <c r="H88" s="214" t="n"/>
      <c r="I88" s="214">
        <f>IF($A88="","","FIFO - Oldest Receipt First")</f>
        <v/>
      </c>
      <c r="J88" s="209" t="n"/>
      <c r="K88" s="209" t="n"/>
      <c r="L88" s="209" t="n"/>
      <c r="M88" s="209" t="n"/>
      <c r="N88" s="209" t="n"/>
      <c r="O88" s="209" t="n"/>
      <c r="P88" s="209" t="n"/>
      <c r="Q88" s="209" t="n"/>
      <c r="R88" s="209" t="n"/>
      <c r="S88" s="209" t="n"/>
      <c r="T88" s="209" t="n"/>
      <c r="U88" s="209" t="n"/>
      <c r="V88" s="209" t="n"/>
      <c r="W88" s="209" t="n"/>
      <c r="X88" s="209" t="n"/>
      <c r="Y88" s="209" t="n"/>
      <c r="Z88" s="209" t="n"/>
      <c r="AA88" s="209" t="n"/>
    </row>
    <row r="89" hidden="1" ht="15" customHeight="1" s="230">
      <c r="A89" s="219">
        <f>IFERROR(SMALL('Master Stock'!$R$2:$R$99,ROWS($A$3:A89)),"")</f>
        <v/>
      </c>
      <c r="B89" s="211">
        <f t="array" ref="B89">IF($A89="","",INDEX('Master Stock'!$C$2:$C$99,MATCH($A89,'Master Stock'!$R$2:$R$99,0)))</f>
        <v/>
      </c>
      <c r="C89" s="211">
        <f t="array" ref="C89">IF($A89="","",INDEX('Master Stock'!$D$2:$D$99,MATCH($A89,'Master Stock'!$R$2:$R$99,0)))</f>
        <v/>
      </c>
      <c r="D89" s="214">
        <f t="array" ref="D89">IF($A89="","",INDEX('Master Stock'!$B$2:$B$99,MATCH($A89,'Master Stock'!$R$2:$R$99,0)))</f>
        <v/>
      </c>
      <c r="E89" s="211">
        <f t="array" ref="E89">IF($A89="","",INDEX('Master Stock'!$G$2:$G$99,MATCH($A89,'Master Stock'!$R$2:$R$99,0)))</f>
        <v/>
      </c>
      <c r="F89" s="213">
        <f t="array" ref="F89">IF($A89="","",INDEX('Master Stock'!$F$2:$F$99,MATCH($A89,'Master Stock'!$R$2:$R$99,0)))</f>
        <v/>
      </c>
      <c r="G89" s="211">
        <f>IF($A89="","","Rice / FRK RRA")</f>
        <v/>
      </c>
      <c r="H89" s="214" t="n"/>
      <c r="I89" s="214">
        <f>IF($A89="","","FIFO - Oldest Receipt First")</f>
        <v/>
      </c>
      <c r="J89" s="209" t="n"/>
      <c r="K89" s="209" t="n"/>
      <c r="L89" s="209" t="n"/>
      <c r="M89" s="209" t="n"/>
      <c r="N89" s="209" t="n"/>
      <c r="O89" s="209" t="n"/>
      <c r="P89" s="209" t="n"/>
      <c r="Q89" s="209" t="n"/>
      <c r="R89" s="209" t="n"/>
      <c r="S89" s="209" t="n"/>
      <c r="T89" s="209" t="n"/>
      <c r="U89" s="209" t="n"/>
      <c r="V89" s="209" t="n"/>
      <c r="W89" s="209" t="n"/>
      <c r="X89" s="209" t="n"/>
      <c r="Y89" s="209" t="n"/>
      <c r="Z89" s="209" t="n"/>
      <c r="AA89" s="209" t="n"/>
    </row>
    <row r="90" hidden="1" ht="15" customHeight="1" s="230">
      <c r="A90" s="219">
        <f>IFERROR(SMALL('Master Stock'!$R$2:$R$99,ROWS($A$3:A90)),"")</f>
        <v/>
      </c>
      <c r="B90" s="211">
        <f t="array" ref="B90">IF($A90="","",INDEX('Master Stock'!$C$2:$C$99,MATCH($A90,'Master Stock'!$R$2:$R$99,0)))</f>
        <v/>
      </c>
      <c r="C90" s="211">
        <f t="array" ref="C90">IF($A90="","",INDEX('Master Stock'!$D$2:$D$99,MATCH($A90,'Master Stock'!$R$2:$R$99,0)))</f>
        <v/>
      </c>
      <c r="D90" s="214">
        <f t="array" ref="D90">IF($A90="","",INDEX('Master Stock'!$B$2:$B$99,MATCH($A90,'Master Stock'!$R$2:$R$99,0)))</f>
        <v/>
      </c>
      <c r="E90" s="211">
        <f t="array" ref="E90">IF($A90="","",INDEX('Master Stock'!$G$2:$G$99,MATCH($A90,'Master Stock'!$R$2:$R$99,0)))</f>
        <v/>
      </c>
      <c r="F90" s="213">
        <f t="array" ref="F90">IF($A90="","",INDEX('Master Stock'!$F$2:$F$99,MATCH($A90,'Master Stock'!$R$2:$R$99,0)))</f>
        <v/>
      </c>
      <c r="G90" s="211">
        <f>IF($A90="","","Rice / FRK RRA")</f>
        <v/>
      </c>
      <c r="H90" s="214" t="n"/>
      <c r="I90" s="214">
        <f>IF($A90="","","FIFO - Oldest Receipt First")</f>
        <v/>
      </c>
      <c r="J90" s="209" t="n"/>
      <c r="K90" s="209" t="n"/>
      <c r="L90" s="209" t="n"/>
      <c r="M90" s="209" t="n"/>
      <c r="N90" s="209" t="n"/>
      <c r="O90" s="209" t="n"/>
      <c r="P90" s="209" t="n"/>
      <c r="Q90" s="209" t="n"/>
      <c r="R90" s="209" t="n"/>
      <c r="S90" s="209" t="n"/>
      <c r="T90" s="209" t="n"/>
      <c r="U90" s="209" t="n"/>
      <c r="V90" s="209" t="n"/>
      <c r="W90" s="209" t="n"/>
      <c r="X90" s="209" t="n"/>
      <c r="Y90" s="209" t="n"/>
      <c r="Z90" s="209" t="n"/>
      <c r="AA90" s="209" t="n"/>
    </row>
    <row r="91" hidden="1" ht="15" customHeight="1" s="230">
      <c r="A91" s="219">
        <f>IFERROR(SMALL('Master Stock'!$R$2:$R$99,ROWS($A$3:A91)),"")</f>
        <v/>
      </c>
      <c r="B91" s="211">
        <f t="array" ref="B91">IF($A91="","",INDEX('Master Stock'!$C$2:$C$99,MATCH($A91,'Master Stock'!$R$2:$R$99,0)))</f>
        <v/>
      </c>
      <c r="C91" s="211">
        <f t="array" ref="C91">IF($A91="","",INDEX('Master Stock'!$D$2:$D$99,MATCH($A91,'Master Stock'!$R$2:$R$99,0)))</f>
        <v/>
      </c>
      <c r="D91" s="214">
        <f t="array" ref="D91">IF($A91="","",INDEX('Master Stock'!$B$2:$B$99,MATCH($A91,'Master Stock'!$R$2:$R$99,0)))</f>
        <v/>
      </c>
      <c r="E91" s="211">
        <f t="array" ref="E91">IF($A91="","",INDEX('Master Stock'!$G$2:$G$99,MATCH($A91,'Master Stock'!$R$2:$R$99,0)))</f>
        <v/>
      </c>
      <c r="F91" s="213">
        <f t="array" ref="F91">IF($A91="","",INDEX('Master Stock'!$F$2:$F$99,MATCH($A91,'Master Stock'!$R$2:$R$99,0)))</f>
        <v/>
      </c>
      <c r="G91" s="211">
        <f>IF($A91="","","Rice / FRK RRA")</f>
        <v/>
      </c>
      <c r="H91" s="214" t="n"/>
      <c r="I91" s="214">
        <f>IF($A91="","","FIFO - Oldest Receipt First")</f>
        <v/>
      </c>
      <c r="J91" s="209" t="n"/>
      <c r="K91" s="209" t="n"/>
      <c r="L91" s="209" t="n"/>
      <c r="M91" s="209" t="n"/>
      <c r="N91" s="209" t="n"/>
      <c r="O91" s="209" t="n"/>
      <c r="P91" s="209" t="n"/>
      <c r="Q91" s="209" t="n"/>
      <c r="R91" s="209" t="n"/>
      <c r="S91" s="209" t="n"/>
      <c r="T91" s="209" t="n"/>
      <c r="U91" s="209" t="n"/>
      <c r="V91" s="209" t="n"/>
      <c r="W91" s="209" t="n"/>
      <c r="X91" s="209" t="n"/>
      <c r="Y91" s="209" t="n"/>
      <c r="Z91" s="209" t="n"/>
      <c r="AA91" s="209" t="n"/>
    </row>
    <row r="92" hidden="1" ht="15" customHeight="1" s="230">
      <c r="A92" s="219">
        <f>IFERROR(SMALL('Master Stock'!$R$2:$R$99,ROWS($A$3:A92)),"")</f>
        <v/>
      </c>
      <c r="B92" s="211">
        <f t="array" ref="B92">IF($A92="","",INDEX('Master Stock'!$C$2:$C$99,MATCH($A92,'Master Stock'!$R$2:$R$99,0)))</f>
        <v/>
      </c>
      <c r="C92" s="211">
        <f t="array" ref="C92">IF($A92="","",INDEX('Master Stock'!$D$2:$D$99,MATCH($A92,'Master Stock'!$R$2:$R$99,0)))</f>
        <v/>
      </c>
      <c r="D92" s="214">
        <f t="array" ref="D92">IF($A92="","",INDEX('Master Stock'!$B$2:$B$99,MATCH($A92,'Master Stock'!$R$2:$R$99,0)))</f>
        <v/>
      </c>
      <c r="E92" s="211">
        <f t="array" ref="E92">IF($A92="","",INDEX('Master Stock'!$G$2:$G$99,MATCH($A92,'Master Stock'!$R$2:$R$99,0)))</f>
        <v/>
      </c>
      <c r="F92" s="213">
        <f t="array" ref="F92">IF($A92="","",INDEX('Master Stock'!$F$2:$F$99,MATCH($A92,'Master Stock'!$R$2:$R$99,0)))</f>
        <v/>
      </c>
      <c r="G92" s="211">
        <f>IF($A92="","","Rice / FRK RRA")</f>
        <v/>
      </c>
      <c r="H92" s="214" t="n"/>
      <c r="I92" s="214">
        <f>IF($A92="","","FIFO - Oldest Receipt First")</f>
        <v/>
      </c>
      <c r="J92" s="209" t="n"/>
      <c r="K92" s="209" t="n"/>
      <c r="L92" s="209" t="n"/>
      <c r="M92" s="209" t="n"/>
      <c r="N92" s="209" t="n"/>
      <c r="O92" s="209" t="n"/>
      <c r="P92" s="209" t="n"/>
      <c r="Q92" s="209" t="n"/>
      <c r="R92" s="209" t="n"/>
      <c r="S92" s="209" t="n"/>
      <c r="T92" s="209" t="n"/>
      <c r="U92" s="209" t="n"/>
      <c r="V92" s="209" t="n"/>
      <c r="W92" s="209" t="n"/>
      <c r="X92" s="209" t="n"/>
      <c r="Y92" s="209" t="n"/>
      <c r="Z92" s="209" t="n"/>
      <c r="AA92" s="209" t="n"/>
    </row>
    <row r="93" hidden="1" ht="15" customHeight="1" s="230">
      <c r="A93" s="219">
        <f>IFERROR(SMALL('Master Stock'!$R$2:$R$99,ROWS($A$3:A93)),"")</f>
        <v/>
      </c>
      <c r="B93" s="211">
        <f t="array" ref="B93">IF($A93="","",INDEX('Master Stock'!$C$2:$C$99,MATCH($A93,'Master Stock'!$R$2:$R$99,0)))</f>
        <v/>
      </c>
      <c r="C93" s="211">
        <f t="array" ref="C93">IF($A93="","",INDEX('Master Stock'!$D$2:$D$99,MATCH($A93,'Master Stock'!$R$2:$R$99,0)))</f>
        <v/>
      </c>
      <c r="D93" s="214">
        <f t="array" ref="D93">IF($A93="","",INDEX('Master Stock'!$B$2:$B$99,MATCH($A93,'Master Stock'!$R$2:$R$99,0)))</f>
        <v/>
      </c>
      <c r="E93" s="211">
        <f t="array" ref="E93">IF($A93="","",INDEX('Master Stock'!$G$2:$G$99,MATCH($A93,'Master Stock'!$R$2:$R$99,0)))</f>
        <v/>
      </c>
      <c r="F93" s="213">
        <f t="array" ref="F93">IF($A93="","",INDEX('Master Stock'!$F$2:$F$99,MATCH($A93,'Master Stock'!$R$2:$R$99,0)))</f>
        <v/>
      </c>
      <c r="G93" s="211">
        <f>IF($A93="","","Rice / FRK RRA")</f>
        <v/>
      </c>
      <c r="H93" s="214" t="n"/>
      <c r="I93" s="214">
        <f>IF($A93="","","FIFO - Oldest Receipt First")</f>
        <v/>
      </c>
      <c r="J93" s="209" t="n"/>
      <c r="K93" s="209" t="n"/>
      <c r="L93" s="209" t="n"/>
      <c r="M93" s="209" t="n"/>
      <c r="N93" s="209" t="n"/>
      <c r="O93" s="209" t="n"/>
      <c r="P93" s="209" t="n"/>
      <c r="Q93" s="209" t="n"/>
      <c r="R93" s="209" t="n"/>
      <c r="S93" s="209" t="n"/>
      <c r="T93" s="209" t="n"/>
      <c r="U93" s="209" t="n"/>
      <c r="V93" s="209" t="n"/>
      <c r="W93" s="209" t="n"/>
      <c r="X93" s="209" t="n"/>
      <c r="Y93" s="209" t="n"/>
      <c r="Z93" s="209" t="n"/>
      <c r="AA93" s="209" t="n"/>
    </row>
    <row r="94" hidden="1" ht="15" customHeight="1" s="230">
      <c r="A94" s="219">
        <f>IFERROR(SMALL('Master Stock'!$R$2:$R$99,ROWS($A$3:A94)),"")</f>
        <v/>
      </c>
      <c r="B94" s="211">
        <f t="array" ref="B94">IF($A94="","",INDEX('Master Stock'!$C$2:$C$99,MATCH($A94,'Master Stock'!$R$2:$R$99,0)))</f>
        <v/>
      </c>
      <c r="C94" s="211">
        <f t="array" ref="C94">IF($A94="","",INDEX('Master Stock'!$D$2:$D$99,MATCH($A94,'Master Stock'!$R$2:$R$99,0)))</f>
        <v/>
      </c>
      <c r="D94" s="214">
        <f t="array" ref="D94">IF($A94="","",INDEX('Master Stock'!$B$2:$B$99,MATCH($A94,'Master Stock'!$R$2:$R$99,0)))</f>
        <v/>
      </c>
      <c r="E94" s="211">
        <f t="array" ref="E94">IF($A94="","",INDEX('Master Stock'!$G$2:$G$99,MATCH($A94,'Master Stock'!$R$2:$R$99,0)))</f>
        <v/>
      </c>
      <c r="F94" s="213">
        <f t="array" ref="F94">IF($A94="","",INDEX('Master Stock'!$F$2:$F$99,MATCH($A94,'Master Stock'!$R$2:$R$99,0)))</f>
        <v/>
      </c>
      <c r="G94" s="211">
        <f>IF($A94="","","Rice / FRK RRA")</f>
        <v/>
      </c>
      <c r="H94" s="214" t="n"/>
      <c r="I94" s="214">
        <f>IF($A94="","","FIFO - Oldest Receipt First")</f>
        <v/>
      </c>
      <c r="J94" s="209" t="n"/>
      <c r="K94" s="209" t="n"/>
      <c r="L94" s="209" t="n"/>
      <c r="M94" s="209" t="n"/>
      <c r="N94" s="209" t="n"/>
      <c r="O94" s="209" t="n"/>
      <c r="P94" s="209" t="n"/>
      <c r="Q94" s="209" t="n"/>
      <c r="R94" s="209" t="n"/>
      <c r="S94" s="209" t="n"/>
      <c r="T94" s="209" t="n"/>
      <c r="U94" s="209" t="n"/>
      <c r="V94" s="209" t="n"/>
      <c r="W94" s="209" t="n"/>
      <c r="X94" s="209" t="n"/>
      <c r="Y94" s="209" t="n"/>
      <c r="Z94" s="209" t="n"/>
      <c r="AA94" s="209" t="n"/>
    </row>
    <row r="95" hidden="1" ht="15" customHeight="1" s="230">
      <c r="A95" s="219">
        <f>IFERROR(SMALL('Master Stock'!$R$2:$R$99,ROWS($A$3:A95)),"")</f>
        <v/>
      </c>
      <c r="B95" s="211">
        <f t="array" ref="B95">IF($A95="","",INDEX('Master Stock'!$C$2:$C$99,MATCH($A95,'Master Stock'!$R$2:$R$99,0)))</f>
        <v/>
      </c>
      <c r="C95" s="211">
        <f t="array" ref="C95">IF($A95="","",INDEX('Master Stock'!$D$2:$D$99,MATCH($A95,'Master Stock'!$R$2:$R$99,0)))</f>
        <v/>
      </c>
      <c r="D95" s="214">
        <f t="array" ref="D95">IF($A95="","",INDEX('Master Stock'!$B$2:$B$99,MATCH($A95,'Master Stock'!$R$2:$R$99,0)))</f>
        <v/>
      </c>
      <c r="E95" s="211">
        <f t="array" ref="E95">IF($A95="","",INDEX('Master Stock'!$G$2:$G$99,MATCH($A95,'Master Stock'!$R$2:$R$99,0)))</f>
        <v/>
      </c>
      <c r="F95" s="213">
        <f t="array" ref="F95">IF($A95="","",INDEX('Master Stock'!$F$2:$F$99,MATCH($A95,'Master Stock'!$R$2:$R$99,0)))</f>
        <v/>
      </c>
      <c r="G95" s="211">
        <f>IF($A95="","","Rice / FRK RRA")</f>
        <v/>
      </c>
      <c r="H95" s="214" t="n"/>
      <c r="I95" s="214">
        <f>IF($A95="","","FIFO - Oldest Receipt First")</f>
        <v/>
      </c>
      <c r="J95" s="209" t="n"/>
      <c r="K95" s="209" t="n"/>
      <c r="L95" s="209" t="n"/>
      <c r="M95" s="209" t="n"/>
      <c r="N95" s="209" t="n"/>
      <c r="O95" s="209" t="n"/>
      <c r="P95" s="209" t="n"/>
      <c r="Q95" s="209" t="n"/>
      <c r="R95" s="209" t="n"/>
      <c r="S95" s="209" t="n"/>
      <c r="T95" s="209" t="n"/>
      <c r="U95" s="209" t="n"/>
      <c r="V95" s="209" t="n"/>
      <c r="W95" s="209" t="n"/>
      <c r="X95" s="209" t="n"/>
      <c r="Y95" s="209" t="n"/>
      <c r="Z95" s="209" t="n"/>
      <c r="AA95" s="209" t="n"/>
    </row>
    <row r="96" hidden="1" ht="15" customHeight="1" s="230">
      <c r="A96" s="219">
        <f>IFERROR(SMALL('Master Stock'!$R$2:$R$99,ROWS($A$3:A96)),"")</f>
        <v/>
      </c>
      <c r="B96" s="211">
        <f t="array" ref="B96">IF($A96="","",INDEX('Master Stock'!$C$2:$C$99,MATCH($A96,'Master Stock'!$R$2:$R$99,0)))</f>
        <v/>
      </c>
      <c r="C96" s="211">
        <f t="array" ref="C96">IF($A96="","",INDEX('Master Stock'!$D$2:$D$99,MATCH($A96,'Master Stock'!$R$2:$R$99,0)))</f>
        <v/>
      </c>
      <c r="D96" s="214">
        <f t="array" ref="D96">IF($A96="","",INDEX('Master Stock'!$B$2:$B$99,MATCH($A96,'Master Stock'!$R$2:$R$99,0)))</f>
        <v/>
      </c>
      <c r="E96" s="211">
        <f t="array" ref="E96">IF($A96="","",INDEX('Master Stock'!$G$2:$G$99,MATCH($A96,'Master Stock'!$R$2:$R$99,0)))</f>
        <v/>
      </c>
      <c r="F96" s="213">
        <f t="array" ref="F96">IF($A96="","",INDEX('Master Stock'!$F$2:$F$99,MATCH($A96,'Master Stock'!$R$2:$R$99,0)))</f>
        <v/>
      </c>
      <c r="G96" s="211">
        <f>IF($A96="","","Rice / FRK RRA")</f>
        <v/>
      </c>
      <c r="H96" s="214" t="n"/>
      <c r="I96" s="214">
        <f>IF($A96="","","FIFO - Oldest Receipt First")</f>
        <v/>
      </c>
      <c r="J96" s="209" t="n"/>
      <c r="K96" s="209" t="n"/>
      <c r="L96" s="209" t="n"/>
      <c r="M96" s="209" t="n"/>
      <c r="N96" s="209" t="n"/>
      <c r="O96" s="209" t="n"/>
      <c r="P96" s="209" t="n"/>
      <c r="Q96" s="209" t="n"/>
      <c r="R96" s="209" t="n"/>
      <c r="S96" s="209" t="n"/>
      <c r="T96" s="209" t="n"/>
      <c r="U96" s="209" t="n"/>
      <c r="V96" s="209" t="n"/>
      <c r="W96" s="209" t="n"/>
      <c r="X96" s="209" t="n"/>
      <c r="Y96" s="209" t="n"/>
      <c r="Z96" s="209" t="n"/>
      <c r="AA96" s="209" t="n"/>
    </row>
    <row r="97" hidden="1" ht="15" customHeight="1" s="230">
      <c r="A97" s="219">
        <f>IFERROR(SMALL('Master Stock'!$R$2:$R$99,ROWS($A$3:A97)),"")</f>
        <v/>
      </c>
      <c r="B97" s="211">
        <f t="array" ref="B97">IF($A97="","",INDEX('Master Stock'!$C$2:$C$99,MATCH($A97,'Master Stock'!$R$2:$R$99,0)))</f>
        <v/>
      </c>
      <c r="C97" s="211">
        <f t="array" ref="C97">IF($A97="","",INDEX('Master Stock'!$D$2:$D$99,MATCH($A97,'Master Stock'!$R$2:$R$99,0)))</f>
        <v/>
      </c>
      <c r="D97" s="214">
        <f t="array" ref="D97">IF($A97="","",INDEX('Master Stock'!$B$2:$B$99,MATCH($A97,'Master Stock'!$R$2:$R$99,0)))</f>
        <v/>
      </c>
      <c r="E97" s="211">
        <f t="array" ref="E97">IF($A97="","",INDEX('Master Stock'!$G$2:$G$99,MATCH($A97,'Master Stock'!$R$2:$R$99,0)))</f>
        <v/>
      </c>
      <c r="F97" s="213">
        <f t="array" ref="F97">IF($A97="","",INDEX('Master Stock'!$F$2:$F$99,MATCH($A97,'Master Stock'!$R$2:$R$99,0)))</f>
        <v/>
      </c>
      <c r="G97" s="211">
        <f>IF($A97="","","Rice / FRK RRA")</f>
        <v/>
      </c>
      <c r="H97" s="214" t="n"/>
      <c r="I97" s="214">
        <f>IF($A97="","","FIFO - Oldest Receipt First")</f>
        <v/>
      </c>
      <c r="J97" s="209" t="n"/>
      <c r="K97" s="209" t="n"/>
      <c r="L97" s="209" t="n"/>
      <c r="M97" s="209" t="n"/>
      <c r="N97" s="209" t="n"/>
      <c r="O97" s="209" t="n"/>
      <c r="P97" s="209" t="n"/>
      <c r="Q97" s="209" t="n"/>
      <c r="R97" s="209" t="n"/>
      <c r="S97" s="209" t="n"/>
      <c r="T97" s="209" t="n"/>
      <c r="U97" s="209" t="n"/>
      <c r="V97" s="209" t="n"/>
      <c r="W97" s="209" t="n"/>
      <c r="X97" s="209" t="n"/>
      <c r="Y97" s="209" t="n"/>
      <c r="Z97" s="209" t="n"/>
      <c r="AA97" s="209" t="n"/>
    </row>
    <row r="98" hidden="1" ht="15" customHeight="1" s="230">
      <c r="A98" s="219">
        <f>IFERROR(SMALL('Master Stock'!$R$2:$R$99,ROWS($A$3:A98)),"")</f>
        <v/>
      </c>
      <c r="B98" s="211">
        <f t="array" ref="B98">IF($A98="","",INDEX('Master Stock'!$C$2:$C$99,MATCH($A98,'Master Stock'!$R$2:$R$99,0)))</f>
        <v/>
      </c>
      <c r="C98" s="211">
        <f t="array" ref="C98">IF($A98="","",INDEX('Master Stock'!$D$2:$D$99,MATCH($A98,'Master Stock'!$R$2:$R$99,0)))</f>
        <v/>
      </c>
      <c r="D98" s="214">
        <f t="array" ref="D98">IF($A98="","",INDEX('Master Stock'!$B$2:$B$99,MATCH($A98,'Master Stock'!$R$2:$R$99,0)))</f>
        <v/>
      </c>
      <c r="E98" s="211">
        <f t="array" ref="E98">IF($A98="","",INDEX('Master Stock'!$G$2:$G$99,MATCH($A98,'Master Stock'!$R$2:$R$99,0)))</f>
        <v/>
      </c>
      <c r="F98" s="213">
        <f t="array" ref="F98">IF($A98="","",INDEX('Master Stock'!$F$2:$F$99,MATCH($A98,'Master Stock'!$R$2:$R$99,0)))</f>
        <v/>
      </c>
      <c r="G98" s="211">
        <f>IF($A98="","","Rice / FRK RRA")</f>
        <v/>
      </c>
      <c r="H98" s="214" t="n"/>
      <c r="I98" s="214">
        <f>IF($A98="","","FIFO - Oldest Receipt First")</f>
        <v/>
      </c>
      <c r="J98" s="209" t="n"/>
      <c r="K98" s="209" t="n"/>
      <c r="L98" s="209" t="n"/>
      <c r="M98" s="209" t="n"/>
      <c r="N98" s="209" t="n"/>
      <c r="O98" s="209" t="n"/>
      <c r="P98" s="209" t="n"/>
      <c r="Q98" s="209" t="n"/>
      <c r="R98" s="209" t="n"/>
      <c r="S98" s="209" t="n"/>
      <c r="T98" s="209" t="n"/>
      <c r="U98" s="209" t="n"/>
      <c r="V98" s="209" t="n"/>
      <c r="W98" s="209" t="n"/>
      <c r="X98" s="209" t="n"/>
      <c r="Y98" s="209" t="n"/>
      <c r="Z98" s="209" t="n"/>
      <c r="AA98" s="209" t="n"/>
    </row>
    <row r="99" hidden="1" ht="15" customHeight="1" s="230">
      <c r="A99" s="219">
        <f>IFERROR(SMALL('Master Stock'!$R$2:$R$99,ROWS($A$3:A99)),"")</f>
        <v/>
      </c>
      <c r="B99" s="211">
        <f t="array" ref="B99">IF($A99="","",INDEX('Master Stock'!$C$2:$C$99,MATCH($A99,'Master Stock'!$R$2:$R$99,0)))</f>
        <v/>
      </c>
      <c r="C99" s="211">
        <f t="array" ref="C99">IF($A99="","",INDEX('Master Stock'!$D$2:$D$99,MATCH($A99,'Master Stock'!$R$2:$R$99,0)))</f>
        <v/>
      </c>
      <c r="D99" s="214">
        <f t="array" ref="D99">IF($A99="","",INDEX('Master Stock'!$B$2:$B$99,MATCH($A99,'Master Stock'!$R$2:$R$99,0)))</f>
        <v/>
      </c>
      <c r="E99" s="211">
        <f t="array" ref="E99">IF($A99="","",INDEX('Master Stock'!$G$2:$G$99,MATCH($A99,'Master Stock'!$R$2:$R$99,0)))</f>
        <v/>
      </c>
      <c r="F99" s="213">
        <f t="array" ref="F99">IF($A99="","",INDEX('Master Stock'!$F$2:$F$99,MATCH($A99,'Master Stock'!$R$2:$R$99,0)))</f>
        <v/>
      </c>
      <c r="G99" s="211">
        <f>IF($A99="","","Rice / FRK RRA")</f>
        <v/>
      </c>
      <c r="H99" s="214" t="n"/>
      <c r="I99" s="214">
        <f>IF($A99="","","FIFO - Oldest Receipt First")</f>
        <v/>
      </c>
      <c r="J99" s="209" t="n"/>
      <c r="K99" s="209" t="n"/>
      <c r="L99" s="209" t="n"/>
      <c r="M99" s="209" t="n"/>
      <c r="N99" s="209" t="n"/>
      <c r="O99" s="209" t="n"/>
      <c r="P99" s="209" t="n"/>
      <c r="Q99" s="209" t="n"/>
      <c r="R99" s="209" t="n"/>
      <c r="S99" s="209" t="n"/>
      <c r="T99" s="209" t="n"/>
      <c r="U99" s="209" t="n"/>
      <c r="V99" s="209" t="n"/>
      <c r="W99" s="209" t="n"/>
      <c r="X99" s="209" t="n"/>
      <c r="Y99" s="209" t="n"/>
      <c r="Z99" s="209" t="n"/>
      <c r="AA99" s="209" t="n"/>
    </row>
    <row r="100" hidden="1" ht="15" customHeight="1" s="230">
      <c r="A100" s="219">
        <f>IFERROR(SMALL('Master Stock'!$R$2:$R$99,ROWS($A$3:A100)),"")</f>
        <v/>
      </c>
      <c r="B100" s="211">
        <f t="array" ref="B100">IF($A100="","",INDEX('Master Stock'!$C$2:$C$99,MATCH($A100,'Master Stock'!$R$2:$R$99,0)))</f>
        <v/>
      </c>
      <c r="C100" s="211">
        <f t="array" ref="C100">IF($A100="","",INDEX('Master Stock'!$D$2:$D$99,MATCH($A100,'Master Stock'!$R$2:$R$99,0)))</f>
        <v/>
      </c>
      <c r="D100" s="214">
        <f t="array" ref="D100">IF($A100="","",INDEX('Master Stock'!$B$2:$B$99,MATCH($A100,'Master Stock'!$R$2:$R$99,0)))</f>
        <v/>
      </c>
      <c r="E100" s="211">
        <f t="array" ref="E100">IF($A100="","",INDEX('Master Stock'!$G$2:$G$99,MATCH($A100,'Master Stock'!$R$2:$R$99,0)))</f>
        <v/>
      </c>
      <c r="F100" s="213">
        <f t="array" ref="F100">IF($A100="","",INDEX('Master Stock'!$F$2:$F$99,MATCH($A100,'Master Stock'!$R$2:$R$99,0)))</f>
        <v/>
      </c>
      <c r="G100" s="211">
        <f>IF($A100="","","Rice / FRK RRA")</f>
        <v/>
      </c>
      <c r="H100" s="214" t="n"/>
      <c r="I100" s="214">
        <f>IF($A100="","","FIFO - Oldest Receipt First")</f>
        <v/>
      </c>
      <c r="J100" s="209" t="n"/>
      <c r="K100" s="209" t="n"/>
      <c r="L100" s="209" t="n"/>
      <c r="M100" s="209" t="n"/>
      <c r="N100" s="209" t="n"/>
      <c r="O100" s="209" t="n"/>
      <c r="P100" s="209" t="n"/>
      <c r="Q100" s="209" t="n"/>
      <c r="R100" s="209" t="n"/>
      <c r="S100" s="209" t="n"/>
      <c r="T100" s="209" t="n"/>
      <c r="U100" s="209" t="n"/>
      <c r="V100" s="209" t="n"/>
      <c r="W100" s="209" t="n"/>
      <c r="X100" s="209" t="n"/>
      <c r="Y100" s="209" t="n"/>
      <c r="Z100" s="209" t="n"/>
      <c r="AA100" s="209" t="n"/>
    </row>
    <row r="101" ht="15.75" customHeight="1" s="230">
      <c r="A101" s="220" t="inlineStr">
        <is>
          <t>To,</t>
        </is>
      </c>
      <c r="B101" s="211" t="n"/>
      <c r="C101" s="211" t="n"/>
      <c r="D101" s="211" t="n"/>
      <c r="E101" s="211" t="n"/>
      <c r="F101" s="213" t="n"/>
      <c r="G101" s="211" t="n"/>
      <c r="H101" s="211" t="n"/>
      <c r="I101" s="211" t="n"/>
      <c r="J101" s="209" t="n"/>
      <c r="K101" s="209" t="n"/>
      <c r="L101" s="209" t="n"/>
      <c r="M101" s="209" t="n"/>
      <c r="N101" s="209" t="n"/>
      <c r="O101" s="209" t="n"/>
      <c r="P101" s="209" t="n"/>
      <c r="Q101" s="209" t="n"/>
      <c r="R101" s="209" t="n"/>
      <c r="S101" s="209" t="n"/>
      <c r="T101" s="209" t="n"/>
      <c r="U101" s="209" t="n"/>
      <c r="V101" s="209" t="n"/>
      <c r="W101" s="209" t="n"/>
      <c r="X101" s="209" t="n"/>
      <c r="Y101" s="209" t="n"/>
      <c r="Z101" s="209" t="n"/>
      <c r="AA101" s="209" t="n"/>
    </row>
    <row r="102" ht="15.75" customHeight="1" s="230">
      <c r="A102" s="220" t="inlineStr">
        <is>
          <t>The Manager (QC)</t>
        </is>
      </c>
      <c r="B102" s="211" t="n"/>
      <c r="C102" s="211" t="n"/>
      <c r="D102" s="211" t="n"/>
      <c r="E102" s="211" t="n"/>
      <c r="F102" s="213" t="n"/>
      <c r="G102" s="211" t="n"/>
      <c r="H102" s="211" t="n"/>
      <c r="I102" s="211" t="n"/>
      <c r="J102" s="209" t="n"/>
      <c r="K102" s="209" t="n"/>
      <c r="L102" s="209" t="n"/>
      <c r="M102" s="209" t="n"/>
      <c r="N102" s="209" t="n"/>
      <c r="O102" s="209" t="n"/>
      <c r="P102" s="209" t="n"/>
      <c r="Q102" s="209" t="n"/>
      <c r="R102" s="209" t="n"/>
      <c r="S102" s="209" t="n"/>
      <c r="T102" s="209" t="n"/>
      <c r="U102" s="209" t="n"/>
      <c r="V102" s="209" t="n"/>
      <c r="W102" s="209" t="n"/>
      <c r="X102" s="209" t="n"/>
      <c r="Y102" s="209" t="n"/>
      <c r="Z102" s="209" t="n"/>
      <c r="AA102" s="209" t="n"/>
    </row>
    <row r="103" ht="15.75" customHeight="1" s="230">
      <c r="A103" s="220" t="inlineStr">
        <is>
          <t>GCI, FSD SABARMATI</t>
        </is>
      </c>
      <c r="B103" s="211" t="n"/>
      <c r="C103" s="211" t="n"/>
      <c r="D103" s="211" t="n"/>
      <c r="E103" s="211" t="n"/>
      <c r="F103" s="213" t="n"/>
      <c r="G103" s="211" t="n"/>
      <c r="H103" s="211" t="n"/>
      <c r="I103" s="211" t="n"/>
      <c r="J103" s="209" t="n"/>
      <c r="K103" s="209" t="n"/>
      <c r="L103" s="209" t="n"/>
      <c r="M103" s="209" t="n"/>
      <c r="N103" s="209" t="n"/>
      <c r="O103" s="209" t="n"/>
      <c r="P103" s="209" t="n"/>
      <c r="Q103" s="209" t="n"/>
      <c r="R103" s="209" t="n"/>
      <c r="S103" s="209" t="n"/>
      <c r="T103" s="209" t="n"/>
      <c r="U103" s="209" t="n"/>
      <c r="V103" s="209" t="n"/>
      <c r="W103" s="209" t="n"/>
      <c r="X103" s="209" t="n"/>
      <c r="Y103" s="209" t="n"/>
      <c r="Z103" s="209" t="n"/>
      <c r="AA103" s="209" t="n"/>
    </row>
    <row r="104" ht="15.75" customHeight="1" s="230">
      <c r="A104" s="211" t="n"/>
      <c r="B104" s="211" t="n"/>
      <c r="C104" s="211" t="n"/>
      <c r="D104" s="211" t="n"/>
      <c r="E104" s="211" t="n"/>
      <c r="F104" s="213" t="n"/>
      <c r="G104" s="211" t="inlineStr">
        <is>
          <t>SHAMBHU DAYAL MEENA</t>
        </is>
      </c>
      <c r="H104" s="211" t="n"/>
      <c r="I104" s="211" t="n"/>
      <c r="J104" s="209" t="n"/>
      <c r="K104" s="209" t="n"/>
      <c r="L104" s="209" t="n"/>
      <c r="M104" s="209" t="n"/>
      <c r="N104" s="209" t="n"/>
      <c r="O104" s="209" t="n"/>
      <c r="P104" s="209" t="n"/>
      <c r="Q104" s="209" t="n"/>
      <c r="R104" s="209" t="n"/>
      <c r="S104" s="209" t="n"/>
      <c r="T104" s="209" t="n"/>
      <c r="U104" s="209" t="n"/>
      <c r="V104" s="209" t="n"/>
      <c r="W104" s="209" t="n"/>
      <c r="X104" s="209" t="n"/>
      <c r="Y104" s="209" t="n"/>
      <c r="Z104" s="209" t="n"/>
      <c r="AA104" s="209" t="n"/>
    </row>
    <row r="105" ht="15.75" customHeight="1" s="230">
      <c r="A105" s="211" t="n"/>
      <c r="B105" s="211" t="n"/>
      <c r="C105" s="211" t="n"/>
      <c r="D105" s="211" t="n"/>
      <c r="E105" s="211" t="n"/>
      <c r="F105" s="213" t="n"/>
      <c r="G105" s="211" t="inlineStr">
        <is>
          <t>TA-II, FSD SABARMATI</t>
        </is>
      </c>
      <c r="H105" s="211" t="n"/>
      <c r="I105" s="211" t="n"/>
      <c r="J105" s="209" t="n"/>
      <c r="K105" s="209" t="n"/>
      <c r="L105" s="209" t="n"/>
      <c r="M105" s="209" t="n"/>
      <c r="N105" s="209" t="n"/>
      <c r="O105" s="209" t="n"/>
      <c r="P105" s="209" t="n"/>
      <c r="Q105" s="209" t="n"/>
      <c r="R105" s="209" t="n"/>
      <c r="S105" s="209" t="n"/>
      <c r="T105" s="209" t="n"/>
      <c r="U105" s="209" t="n"/>
      <c r="V105" s="209" t="n"/>
      <c r="W105" s="209" t="n"/>
      <c r="X105" s="209" t="n"/>
      <c r="Y105" s="209" t="n"/>
      <c r="Z105" s="209" t="n"/>
      <c r="AA105" s="209" t="n"/>
    </row>
    <row r="106" ht="15.75" customHeight="1" s="230">
      <c r="A106" s="211" t="n"/>
      <c r="B106" s="211" t="n"/>
      <c r="C106" s="211" t="n"/>
      <c r="D106" s="211" t="n"/>
      <c r="E106" s="211" t="n"/>
      <c r="F106" s="213" t="n"/>
      <c r="G106" s="211" t="inlineStr">
        <is>
          <t>QC UNIT NO -III</t>
        </is>
      </c>
      <c r="H106" s="211" t="n"/>
      <c r="I106" s="211" t="n"/>
      <c r="J106" s="209" t="n"/>
      <c r="K106" s="209" t="n"/>
      <c r="L106" s="209" t="n"/>
      <c r="M106" s="209" t="n"/>
      <c r="N106" s="209" t="n"/>
      <c r="O106" s="209" t="n"/>
      <c r="P106" s="209" t="n"/>
      <c r="Q106" s="209" t="n"/>
      <c r="R106" s="209" t="n"/>
      <c r="S106" s="209" t="n"/>
      <c r="T106" s="209" t="n"/>
      <c r="U106" s="209" t="n"/>
      <c r="V106" s="209" t="n"/>
      <c r="W106" s="209" t="n"/>
      <c r="X106" s="209" t="n"/>
      <c r="Y106" s="209" t="n"/>
      <c r="Z106" s="209" t="n"/>
      <c r="AA106" s="209" t="n"/>
    </row>
    <row r="107" ht="15.75" customHeight="1" s="230">
      <c r="A107" s="211" t="n"/>
      <c r="B107" s="211" t="n"/>
      <c r="C107" s="211" t="n"/>
      <c r="D107" s="211" t="n"/>
      <c r="E107" s="211" t="n"/>
      <c r="F107" s="213" t="n"/>
      <c r="G107" s="211" t="n"/>
      <c r="H107" s="211" t="n"/>
      <c r="I107" s="211" t="n"/>
      <c r="J107" s="209" t="n"/>
      <c r="K107" s="209" t="n"/>
      <c r="L107" s="209" t="n"/>
      <c r="M107" s="209" t="n"/>
      <c r="N107" s="209" t="n"/>
      <c r="O107" s="209" t="n"/>
      <c r="P107" s="209" t="n"/>
      <c r="Q107" s="209" t="n"/>
      <c r="R107" s="209" t="n"/>
      <c r="S107" s="209" t="n"/>
      <c r="T107" s="209" t="n"/>
      <c r="U107" s="209" t="n"/>
      <c r="V107" s="209" t="n"/>
      <c r="W107" s="209" t="n"/>
      <c r="X107" s="209" t="n"/>
      <c r="Y107" s="209" t="n"/>
      <c r="Z107" s="209" t="n"/>
      <c r="AA107" s="209" t="n"/>
    </row>
    <row r="108" ht="15.75" customHeight="1" s="230">
      <c r="A108" s="211" t="n"/>
      <c r="B108" s="211" t="n"/>
      <c r="C108" s="211" t="n"/>
      <c r="D108" s="211" t="n"/>
      <c r="E108" s="211" t="n"/>
      <c r="F108" s="213" t="n"/>
      <c r="G108" s="211" t="n"/>
      <c r="H108" s="211" t="n"/>
      <c r="I108" s="211" t="n"/>
      <c r="J108" s="209" t="n"/>
      <c r="K108" s="209" t="n"/>
      <c r="L108" s="209" t="n"/>
      <c r="M108" s="209" t="n"/>
      <c r="N108" s="209" t="n"/>
      <c r="O108" s="209" t="n"/>
      <c r="P108" s="209" t="n"/>
      <c r="Q108" s="209" t="n"/>
      <c r="R108" s="209" t="n"/>
      <c r="S108" s="209" t="n"/>
      <c r="T108" s="209" t="n"/>
      <c r="U108" s="209" t="n"/>
      <c r="V108" s="209" t="n"/>
      <c r="W108" s="209" t="n"/>
      <c r="X108" s="209" t="n"/>
      <c r="Y108" s="209" t="n"/>
      <c r="Z108" s="209" t="n"/>
      <c r="AA108" s="209" t="n"/>
    </row>
    <row r="109" ht="15.75" customHeight="1" s="230">
      <c r="A109" s="211" t="n"/>
      <c r="B109" s="211" t="n"/>
      <c r="C109" s="211" t="n"/>
      <c r="D109" s="211" t="n"/>
      <c r="E109" s="211" t="n"/>
      <c r="F109" s="213" t="n"/>
      <c r="G109" s="211" t="n"/>
      <c r="H109" s="211" t="n"/>
      <c r="I109" s="211" t="n"/>
      <c r="J109" s="209" t="n"/>
      <c r="K109" s="209" t="n"/>
      <c r="L109" s="209" t="n"/>
      <c r="M109" s="209" t="n"/>
      <c r="N109" s="209" t="n"/>
      <c r="O109" s="209" t="n"/>
      <c r="P109" s="209" t="n"/>
      <c r="Q109" s="209" t="n"/>
      <c r="R109" s="209" t="n"/>
      <c r="S109" s="209" t="n"/>
      <c r="T109" s="209" t="n"/>
      <c r="U109" s="209" t="n"/>
      <c r="V109" s="209" t="n"/>
      <c r="W109" s="209" t="n"/>
      <c r="X109" s="209" t="n"/>
      <c r="Y109" s="209" t="n"/>
      <c r="Z109" s="209" t="n"/>
      <c r="AA109" s="209" t="n"/>
    </row>
    <row r="110" ht="15.75" customHeight="1" s="230">
      <c r="A110" s="211" t="n"/>
      <c r="B110" s="211" t="n"/>
      <c r="C110" s="211" t="n"/>
      <c r="D110" s="211" t="n"/>
      <c r="E110" s="211" t="n"/>
      <c r="F110" s="213" t="n"/>
      <c r="G110" s="211" t="n"/>
      <c r="H110" s="211" t="n"/>
      <c r="I110" s="211" t="n"/>
      <c r="J110" s="209" t="n"/>
      <c r="K110" s="209" t="n"/>
      <c r="L110" s="209" t="n"/>
      <c r="M110" s="209" t="n"/>
      <c r="N110" s="209" t="n"/>
      <c r="O110" s="209" t="n"/>
      <c r="P110" s="209" t="n"/>
      <c r="Q110" s="209" t="n"/>
      <c r="R110" s="209" t="n"/>
      <c r="S110" s="209" t="n"/>
      <c r="T110" s="209" t="n"/>
      <c r="U110" s="209" t="n"/>
      <c r="V110" s="209" t="n"/>
      <c r="W110" s="209" t="n"/>
      <c r="X110" s="209" t="n"/>
      <c r="Y110" s="209" t="n"/>
      <c r="Z110" s="209" t="n"/>
      <c r="AA110" s="209" t="n"/>
    </row>
    <row r="111" ht="15.75" customHeight="1" s="230">
      <c r="A111" s="211" t="n"/>
      <c r="B111" s="211" t="n"/>
      <c r="C111" s="211" t="n"/>
      <c r="D111" s="211" t="n"/>
      <c r="E111" s="211" t="n"/>
      <c r="F111" s="213" t="n"/>
      <c r="G111" s="211" t="n"/>
      <c r="H111" s="211" t="n"/>
      <c r="I111" s="211" t="n"/>
      <c r="J111" s="209" t="n"/>
      <c r="K111" s="209" t="n"/>
      <c r="L111" s="209" t="n"/>
      <c r="M111" s="209" t="n"/>
      <c r="N111" s="209" t="n"/>
      <c r="O111" s="209" t="n"/>
      <c r="P111" s="209" t="n"/>
      <c r="Q111" s="209" t="n"/>
      <c r="R111" s="209" t="n"/>
      <c r="S111" s="209" t="n"/>
      <c r="T111" s="209" t="n"/>
      <c r="U111" s="209" t="n"/>
      <c r="V111" s="209" t="n"/>
      <c r="W111" s="209" t="n"/>
      <c r="X111" s="209" t="n"/>
      <c r="Y111" s="209" t="n"/>
      <c r="Z111" s="209" t="n"/>
      <c r="AA111" s="209" t="n"/>
    </row>
    <row r="112" ht="15.75" customHeight="1" s="230">
      <c r="A112" s="211" t="n"/>
      <c r="B112" s="211" t="n"/>
      <c r="C112" s="211" t="n"/>
      <c r="D112" s="211" t="n"/>
      <c r="E112" s="211" t="n"/>
      <c r="F112" s="213" t="n"/>
      <c r="G112" s="211" t="n"/>
      <c r="H112" s="211" t="n"/>
      <c r="I112" s="211" t="n"/>
      <c r="J112" s="209" t="n"/>
      <c r="K112" s="209" t="n"/>
      <c r="L112" s="209" t="n"/>
      <c r="M112" s="209" t="n"/>
      <c r="N112" s="209" t="n"/>
      <c r="O112" s="209" t="n"/>
      <c r="P112" s="209" t="n"/>
      <c r="Q112" s="209" t="n"/>
      <c r="R112" s="209" t="n"/>
      <c r="S112" s="209" t="n"/>
      <c r="T112" s="209" t="n"/>
      <c r="U112" s="209" t="n"/>
      <c r="V112" s="209" t="n"/>
      <c r="W112" s="209" t="n"/>
      <c r="X112" s="209" t="n"/>
      <c r="Y112" s="209" t="n"/>
      <c r="Z112" s="209" t="n"/>
      <c r="AA112" s="209" t="n"/>
    </row>
    <row r="113" ht="15.75" customHeight="1" s="230">
      <c r="A113" s="211" t="n"/>
      <c r="B113" s="211" t="n"/>
      <c r="C113" s="211" t="n"/>
      <c r="D113" s="211" t="n"/>
      <c r="E113" s="211" t="n"/>
      <c r="F113" s="213" t="n"/>
      <c r="G113" s="211" t="n"/>
      <c r="H113" s="211" t="n"/>
      <c r="I113" s="211" t="n"/>
      <c r="J113" s="209" t="n"/>
      <c r="K113" s="209" t="n"/>
      <c r="L113" s="209" t="n"/>
      <c r="M113" s="209" t="n"/>
      <c r="N113" s="209" t="n"/>
      <c r="O113" s="209" t="n"/>
      <c r="P113" s="209" t="n"/>
      <c r="Q113" s="209" t="n"/>
      <c r="R113" s="209" t="n"/>
      <c r="S113" s="209" t="n"/>
      <c r="T113" s="209" t="n"/>
      <c r="U113" s="209" t="n"/>
      <c r="V113" s="209" t="n"/>
      <c r="W113" s="209" t="n"/>
      <c r="X113" s="209" t="n"/>
      <c r="Y113" s="209" t="n"/>
      <c r="Z113" s="209" t="n"/>
      <c r="AA113" s="209" t="n"/>
    </row>
    <row r="114" ht="15.75" customHeight="1" s="230">
      <c r="A114" s="211" t="n"/>
      <c r="B114" s="211" t="n"/>
      <c r="C114" s="211" t="n"/>
      <c r="D114" s="211" t="n"/>
      <c r="E114" s="211" t="n"/>
      <c r="F114" s="213" t="n"/>
      <c r="G114" s="211" t="n"/>
      <c r="H114" s="211" t="n"/>
      <c r="I114" s="211" t="n"/>
      <c r="J114" s="209" t="n"/>
      <c r="K114" s="209" t="n"/>
      <c r="L114" s="209" t="n"/>
      <c r="M114" s="209" t="n"/>
      <c r="N114" s="209" t="n"/>
      <c r="O114" s="209" t="n"/>
      <c r="P114" s="209" t="n"/>
      <c r="Q114" s="209" t="n"/>
      <c r="R114" s="209" t="n"/>
      <c r="S114" s="209" t="n"/>
      <c r="T114" s="209" t="n"/>
      <c r="U114" s="209" t="n"/>
      <c r="V114" s="209" t="n"/>
      <c r="W114" s="209" t="n"/>
      <c r="X114" s="209" t="n"/>
      <c r="Y114" s="209" t="n"/>
      <c r="Z114" s="209" t="n"/>
      <c r="AA114" s="209" t="n"/>
    </row>
    <row r="115" ht="15.75" customHeight="1" s="230">
      <c r="A115" s="211" t="n"/>
      <c r="B115" s="211" t="n"/>
      <c r="C115" s="211" t="n"/>
      <c r="D115" s="211" t="n"/>
      <c r="E115" s="211" t="n"/>
      <c r="F115" s="213" t="n"/>
      <c r="G115" s="211" t="n"/>
      <c r="H115" s="211" t="n"/>
      <c r="I115" s="211" t="n"/>
      <c r="J115" s="209" t="n"/>
      <c r="K115" s="209" t="n"/>
      <c r="L115" s="209" t="n"/>
      <c r="M115" s="209" t="n"/>
      <c r="N115" s="209" t="n"/>
      <c r="O115" s="209" t="n"/>
      <c r="P115" s="209" t="n"/>
      <c r="Q115" s="209" t="n"/>
      <c r="R115" s="209" t="n"/>
      <c r="S115" s="209" t="n"/>
      <c r="T115" s="209" t="n"/>
      <c r="U115" s="209" t="n"/>
      <c r="V115" s="209" t="n"/>
      <c r="W115" s="209" t="n"/>
      <c r="X115" s="209" t="n"/>
      <c r="Y115" s="209" t="n"/>
      <c r="Z115" s="209" t="n"/>
      <c r="AA115" s="209" t="n"/>
    </row>
    <row r="116" ht="15.75" customHeight="1" s="230">
      <c r="A116" s="211" t="n"/>
      <c r="B116" s="211" t="n"/>
      <c r="C116" s="211" t="n"/>
      <c r="D116" s="211" t="n"/>
      <c r="E116" s="211" t="n"/>
      <c r="F116" s="213" t="n"/>
      <c r="G116" s="211" t="n"/>
      <c r="H116" s="211" t="n"/>
      <c r="I116" s="211" t="n"/>
      <c r="J116" s="209" t="n"/>
      <c r="K116" s="209" t="n"/>
      <c r="L116" s="209" t="n"/>
      <c r="M116" s="209" t="n"/>
      <c r="N116" s="209" t="n"/>
      <c r="O116" s="209" t="n"/>
      <c r="P116" s="209" t="n"/>
      <c r="Q116" s="209" t="n"/>
      <c r="R116" s="209" t="n"/>
      <c r="S116" s="209" t="n"/>
      <c r="T116" s="209" t="n"/>
      <c r="U116" s="209" t="n"/>
      <c r="V116" s="209" t="n"/>
      <c r="W116" s="209" t="n"/>
      <c r="X116" s="209" t="n"/>
      <c r="Y116" s="209" t="n"/>
      <c r="Z116" s="209" t="n"/>
      <c r="AA116" s="209" t="n"/>
    </row>
    <row r="117" ht="15.75" customHeight="1" s="230">
      <c r="A117" s="211" t="n"/>
      <c r="B117" s="211" t="n"/>
      <c r="C117" s="211" t="n"/>
      <c r="D117" s="211" t="n"/>
      <c r="E117" s="211" t="n"/>
      <c r="F117" s="213" t="n"/>
      <c r="G117" s="211" t="n"/>
      <c r="H117" s="211" t="n"/>
      <c r="I117" s="211" t="n"/>
      <c r="J117" s="209" t="n"/>
      <c r="K117" s="209" t="n"/>
      <c r="L117" s="209" t="n"/>
      <c r="M117" s="209" t="n"/>
      <c r="N117" s="209" t="n"/>
      <c r="O117" s="209" t="n"/>
      <c r="P117" s="209" t="n"/>
      <c r="Q117" s="209" t="n"/>
      <c r="R117" s="209" t="n"/>
      <c r="S117" s="209" t="n"/>
      <c r="T117" s="209" t="n"/>
      <c r="U117" s="209" t="n"/>
      <c r="V117" s="209" t="n"/>
      <c r="W117" s="209" t="n"/>
      <c r="X117" s="209" t="n"/>
      <c r="Y117" s="209" t="n"/>
      <c r="Z117" s="209" t="n"/>
      <c r="AA117" s="209" t="n"/>
    </row>
    <row r="118" ht="15.75" customHeight="1" s="230">
      <c r="A118" s="211" t="n"/>
      <c r="B118" s="211" t="n"/>
      <c r="C118" s="211" t="n"/>
      <c r="D118" s="211" t="n"/>
      <c r="E118" s="211" t="n"/>
      <c r="F118" s="213" t="n"/>
      <c r="G118" s="211" t="n"/>
      <c r="H118" s="211" t="n"/>
      <c r="I118" s="211" t="n"/>
      <c r="J118" s="209" t="n"/>
      <c r="K118" s="209" t="n"/>
      <c r="L118" s="209" t="n"/>
      <c r="M118" s="209" t="n"/>
      <c r="N118" s="209" t="n"/>
      <c r="O118" s="209" t="n"/>
      <c r="P118" s="209" t="n"/>
      <c r="Q118" s="209" t="n"/>
      <c r="R118" s="209" t="n"/>
      <c r="S118" s="209" t="n"/>
      <c r="T118" s="209" t="n"/>
      <c r="U118" s="209" t="n"/>
      <c r="V118" s="209" t="n"/>
      <c r="W118" s="209" t="n"/>
      <c r="X118" s="209" t="n"/>
      <c r="Y118" s="209" t="n"/>
      <c r="Z118" s="209" t="n"/>
      <c r="AA118" s="209" t="n"/>
    </row>
    <row r="119" ht="15.75" customHeight="1" s="230">
      <c r="A119" s="211" t="n"/>
      <c r="B119" s="211" t="n"/>
      <c r="C119" s="211" t="n"/>
      <c r="D119" s="211" t="n"/>
      <c r="E119" s="211" t="n"/>
      <c r="F119" s="213" t="n"/>
      <c r="G119" s="211" t="n"/>
      <c r="H119" s="211" t="n"/>
      <c r="I119" s="211" t="n"/>
      <c r="J119" s="209" t="n"/>
      <c r="K119" s="209" t="n"/>
      <c r="L119" s="209" t="n"/>
      <c r="M119" s="209" t="n"/>
      <c r="N119" s="209" t="n"/>
      <c r="O119" s="209" t="n"/>
      <c r="P119" s="209" t="n"/>
      <c r="Q119" s="209" t="n"/>
      <c r="R119" s="209" t="n"/>
      <c r="S119" s="209" t="n"/>
      <c r="T119" s="209" t="n"/>
      <c r="U119" s="209" t="n"/>
      <c r="V119" s="209" t="n"/>
      <c r="W119" s="209" t="n"/>
      <c r="X119" s="209" t="n"/>
      <c r="Y119" s="209" t="n"/>
      <c r="Z119" s="209" t="n"/>
      <c r="AA119" s="209" t="n"/>
    </row>
    <row r="120" ht="15.75" customHeight="1" s="230">
      <c r="A120" s="211" t="n"/>
      <c r="B120" s="211" t="n"/>
      <c r="C120" s="211" t="n"/>
      <c r="D120" s="211" t="n"/>
      <c r="E120" s="211" t="n"/>
      <c r="F120" s="213" t="n"/>
      <c r="G120" s="211" t="n"/>
      <c r="H120" s="211" t="n"/>
      <c r="I120" s="211" t="n"/>
      <c r="J120" s="209" t="n"/>
      <c r="K120" s="209" t="n"/>
      <c r="L120" s="209" t="n"/>
      <c r="M120" s="209" t="n"/>
      <c r="N120" s="209" t="n"/>
      <c r="O120" s="209" t="n"/>
      <c r="P120" s="209" t="n"/>
      <c r="Q120" s="209" t="n"/>
      <c r="R120" s="209" t="n"/>
      <c r="S120" s="209" t="n"/>
      <c r="T120" s="209" t="n"/>
      <c r="U120" s="209" t="n"/>
      <c r="V120" s="209" t="n"/>
      <c r="W120" s="209" t="n"/>
      <c r="X120" s="209" t="n"/>
      <c r="Y120" s="209" t="n"/>
      <c r="Z120" s="209" t="n"/>
      <c r="AA120" s="209" t="n"/>
    </row>
    <row r="121" ht="15.75" customHeight="1" s="230">
      <c r="A121" s="211" t="n"/>
      <c r="B121" s="211" t="n"/>
      <c r="C121" s="211" t="n"/>
      <c r="D121" s="211" t="n"/>
      <c r="E121" s="211" t="n"/>
      <c r="F121" s="213" t="n"/>
      <c r="G121" s="211" t="n"/>
      <c r="H121" s="211" t="n"/>
      <c r="I121" s="211" t="n"/>
      <c r="J121" s="209" t="n"/>
      <c r="K121" s="209" t="n"/>
      <c r="L121" s="209" t="n"/>
      <c r="M121" s="209" t="n"/>
      <c r="N121" s="209" t="n"/>
      <c r="O121" s="209" t="n"/>
      <c r="P121" s="209" t="n"/>
      <c r="Q121" s="209" t="n"/>
      <c r="R121" s="209" t="n"/>
      <c r="S121" s="209" t="n"/>
      <c r="T121" s="209" t="n"/>
      <c r="U121" s="209" t="n"/>
      <c r="V121" s="209" t="n"/>
      <c r="W121" s="209" t="n"/>
      <c r="X121" s="209" t="n"/>
      <c r="Y121" s="209" t="n"/>
      <c r="Z121" s="209" t="n"/>
      <c r="AA121" s="209" t="n"/>
    </row>
    <row r="122" ht="15.75" customHeight="1" s="230">
      <c r="A122" s="211" t="n"/>
      <c r="B122" s="211" t="n"/>
      <c r="C122" s="211" t="n"/>
      <c r="D122" s="211" t="n"/>
      <c r="E122" s="211" t="n"/>
      <c r="F122" s="213" t="n"/>
      <c r="G122" s="211" t="n"/>
      <c r="H122" s="211" t="n"/>
      <c r="I122" s="211" t="n"/>
      <c r="J122" s="209" t="n"/>
      <c r="K122" s="209" t="n"/>
      <c r="L122" s="209" t="n"/>
      <c r="M122" s="209" t="n"/>
      <c r="N122" s="209" t="n"/>
      <c r="O122" s="209" t="n"/>
      <c r="P122" s="209" t="n"/>
      <c r="Q122" s="209" t="n"/>
      <c r="R122" s="209" t="n"/>
      <c r="S122" s="209" t="n"/>
      <c r="T122" s="209" t="n"/>
      <c r="U122" s="209" t="n"/>
      <c r="V122" s="209" t="n"/>
      <c r="W122" s="209" t="n"/>
      <c r="X122" s="209" t="n"/>
      <c r="Y122" s="209" t="n"/>
      <c r="Z122" s="209" t="n"/>
      <c r="AA122" s="209" t="n"/>
    </row>
    <row r="123" ht="15.75" customHeight="1" s="230">
      <c r="A123" s="211" t="n"/>
      <c r="B123" s="211" t="n"/>
      <c r="C123" s="211" t="n"/>
      <c r="D123" s="211" t="n"/>
      <c r="E123" s="211" t="n"/>
      <c r="F123" s="213" t="n"/>
      <c r="G123" s="211" t="n"/>
      <c r="H123" s="211" t="n"/>
      <c r="I123" s="211" t="n"/>
      <c r="J123" s="209" t="n"/>
      <c r="K123" s="209" t="n"/>
      <c r="L123" s="209" t="n"/>
      <c r="M123" s="209" t="n"/>
      <c r="N123" s="209" t="n"/>
      <c r="O123" s="209" t="n"/>
      <c r="P123" s="209" t="n"/>
      <c r="Q123" s="209" t="n"/>
      <c r="R123" s="209" t="n"/>
      <c r="S123" s="209" t="n"/>
      <c r="T123" s="209" t="n"/>
      <c r="U123" s="209" t="n"/>
      <c r="V123" s="209" t="n"/>
      <c r="W123" s="209" t="n"/>
      <c r="X123" s="209" t="n"/>
      <c r="Y123" s="209" t="n"/>
      <c r="Z123" s="209" t="n"/>
      <c r="AA123" s="209" t="n"/>
    </row>
    <row r="124" ht="15.75" customHeight="1" s="230">
      <c r="A124" s="211" t="n"/>
      <c r="B124" s="211" t="n"/>
      <c r="C124" s="211" t="n"/>
      <c r="D124" s="211" t="n"/>
      <c r="E124" s="211" t="n"/>
      <c r="F124" s="213" t="n"/>
      <c r="G124" s="211" t="n"/>
      <c r="H124" s="211" t="n"/>
      <c r="I124" s="211" t="n"/>
      <c r="J124" s="209" t="n"/>
      <c r="K124" s="209" t="n"/>
      <c r="L124" s="209" t="n"/>
      <c r="M124" s="209" t="n"/>
      <c r="N124" s="209" t="n"/>
      <c r="O124" s="209" t="n"/>
      <c r="P124" s="209" t="n"/>
      <c r="Q124" s="209" t="n"/>
      <c r="R124" s="209" t="n"/>
      <c r="S124" s="209" t="n"/>
      <c r="T124" s="209" t="n"/>
      <c r="U124" s="209" t="n"/>
      <c r="V124" s="209" t="n"/>
      <c r="W124" s="209" t="n"/>
      <c r="X124" s="209" t="n"/>
      <c r="Y124" s="209" t="n"/>
      <c r="Z124" s="209" t="n"/>
      <c r="AA124" s="209" t="n"/>
    </row>
    <row r="125" ht="15.75" customHeight="1" s="230">
      <c r="A125" s="211" t="n"/>
      <c r="B125" s="211" t="n"/>
      <c r="C125" s="211" t="n"/>
      <c r="D125" s="211" t="n"/>
      <c r="E125" s="211" t="n"/>
      <c r="F125" s="213" t="n"/>
      <c r="G125" s="211" t="n"/>
      <c r="H125" s="211" t="n"/>
      <c r="I125" s="211" t="n"/>
      <c r="J125" s="209" t="n"/>
      <c r="K125" s="209" t="n"/>
      <c r="L125" s="209" t="n"/>
      <c r="M125" s="209" t="n"/>
      <c r="N125" s="209" t="n"/>
      <c r="O125" s="209" t="n"/>
      <c r="P125" s="209" t="n"/>
      <c r="Q125" s="209" t="n"/>
      <c r="R125" s="209" t="n"/>
      <c r="S125" s="209" t="n"/>
      <c r="T125" s="209" t="n"/>
      <c r="U125" s="209" t="n"/>
      <c r="V125" s="209" t="n"/>
      <c r="W125" s="209" t="n"/>
      <c r="X125" s="209" t="n"/>
      <c r="Y125" s="209" t="n"/>
      <c r="Z125" s="209" t="n"/>
      <c r="AA125" s="209" t="n"/>
    </row>
    <row r="126" ht="15.75" customHeight="1" s="230">
      <c r="A126" s="211" t="n"/>
      <c r="B126" s="211" t="n"/>
      <c r="C126" s="211" t="n"/>
      <c r="D126" s="211" t="n"/>
      <c r="E126" s="211" t="n"/>
      <c r="F126" s="213" t="n"/>
      <c r="G126" s="211" t="n"/>
      <c r="H126" s="211" t="n"/>
      <c r="I126" s="211" t="n"/>
      <c r="J126" s="209" t="n"/>
      <c r="K126" s="209" t="n"/>
      <c r="L126" s="209" t="n"/>
      <c r="M126" s="209" t="n"/>
      <c r="N126" s="209" t="n"/>
      <c r="O126" s="209" t="n"/>
      <c r="P126" s="209" t="n"/>
      <c r="Q126" s="209" t="n"/>
      <c r="R126" s="209" t="n"/>
      <c r="S126" s="209" t="n"/>
      <c r="T126" s="209" t="n"/>
      <c r="U126" s="209" t="n"/>
      <c r="V126" s="209" t="n"/>
      <c r="W126" s="209" t="n"/>
      <c r="X126" s="209" t="n"/>
      <c r="Y126" s="209" t="n"/>
      <c r="Z126" s="209" t="n"/>
      <c r="AA126" s="209" t="n"/>
    </row>
    <row r="127" ht="15.75" customHeight="1" s="230">
      <c r="A127" s="211" t="n"/>
      <c r="B127" s="211" t="n"/>
      <c r="C127" s="211" t="n"/>
      <c r="D127" s="211" t="n"/>
      <c r="E127" s="211" t="n"/>
      <c r="F127" s="213" t="n"/>
      <c r="G127" s="211" t="n"/>
      <c r="H127" s="211" t="n"/>
      <c r="I127" s="211" t="n"/>
      <c r="J127" s="209" t="n"/>
      <c r="K127" s="209" t="n"/>
      <c r="L127" s="209" t="n"/>
      <c r="M127" s="209" t="n"/>
      <c r="N127" s="209" t="n"/>
      <c r="O127" s="209" t="n"/>
      <c r="P127" s="209" t="n"/>
      <c r="Q127" s="209" t="n"/>
      <c r="R127" s="209" t="n"/>
      <c r="S127" s="209" t="n"/>
      <c r="T127" s="209" t="n"/>
      <c r="U127" s="209" t="n"/>
      <c r="V127" s="209" t="n"/>
      <c r="W127" s="209" t="n"/>
      <c r="X127" s="209" t="n"/>
      <c r="Y127" s="209" t="n"/>
      <c r="Z127" s="209" t="n"/>
      <c r="AA127" s="209" t="n"/>
    </row>
    <row r="128" ht="15.75" customHeight="1" s="230">
      <c r="A128" s="211" t="n"/>
      <c r="B128" s="211" t="n"/>
      <c r="C128" s="211" t="n"/>
      <c r="D128" s="211" t="n"/>
      <c r="E128" s="211" t="n"/>
      <c r="F128" s="213" t="n"/>
      <c r="G128" s="211" t="n"/>
      <c r="H128" s="211" t="n"/>
      <c r="I128" s="211" t="n"/>
      <c r="J128" s="209" t="n"/>
      <c r="K128" s="209" t="n"/>
      <c r="L128" s="209" t="n"/>
      <c r="M128" s="209" t="n"/>
      <c r="N128" s="209" t="n"/>
      <c r="O128" s="209" t="n"/>
      <c r="P128" s="209" t="n"/>
      <c r="Q128" s="209" t="n"/>
      <c r="R128" s="209" t="n"/>
      <c r="S128" s="209" t="n"/>
      <c r="T128" s="209" t="n"/>
      <c r="U128" s="209" t="n"/>
      <c r="V128" s="209" t="n"/>
      <c r="W128" s="209" t="n"/>
      <c r="X128" s="209" t="n"/>
      <c r="Y128" s="209" t="n"/>
      <c r="Z128" s="209" t="n"/>
      <c r="AA128" s="209" t="n"/>
    </row>
    <row r="129" ht="15.75" customHeight="1" s="230">
      <c r="A129" s="211" t="n"/>
      <c r="B129" s="211" t="n"/>
      <c r="C129" s="211" t="n"/>
      <c r="D129" s="211" t="n"/>
      <c r="E129" s="211" t="n"/>
      <c r="F129" s="213" t="n"/>
      <c r="G129" s="211" t="n"/>
      <c r="H129" s="211" t="n"/>
      <c r="I129" s="211" t="n"/>
      <c r="J129" s="209" t="n"/>
      <c r="K129" s="209" t="n"/>
      <c r="L129" s="209" t="n"/>
      <c r="M129" s="209" t="n"/>
      <c r="N129" s="209" t="n"/>
      <c r="O129" s="209" t="n"/>
      <c r="P129" s="209" t="n"/>
      <c r="Q129" s="209" t="n"/>
      <c r="R129" s="209" t="n"/>
      <c r="S129" s="209" t="n"/>
      <c r="T129" s="209" t="n"/>
      <c r="U129" s="209" t="n"/>
      <c r="V129" s="209" t="n"/>
      <c r="W129" s="209" t="n"/>
      <c r="X129" s="209" t="n"/>
      <c r="Y129" s="209" t="n"/>
      <c r="Z129" s="209" t="n"/>
      <c r="AA129" s="209" t="n"/>
    </row>
    <row r="130" ht="15.75" customHeight="1" s="230">
      <c r="A130" s="211" t="n"/>
      <c r="B130" s="211" t="n"/>
      <c r="C130" s="211" t="n"/>
      <c r="D130" s="211" t="n"/>
      <c r="E130" s="211" t="n"/>
      <c r="F130" s="213" t="n"/>
      <c r="G130" s="211" t="n"/>
      <c r="H130" s="211" t="n"/>
      <c r="I130" s="211" t="n"/>
      <c r="J130" s="209" t="n"/>
      <c r="K130" s="209" t="n"/>
      <c r="L130" s="209" t="n"/>
      <c r="M130" s="209" t="n"/>
      <c r="N130" s="209" t="n"/>
      <c r="O130" s="209" t="n"/>
      <c r="P130" s="209" t="n"/>
      <c r="Q130" s="209" t="n"/>
      <c r="R130" s="209" t="n"/>
      <c r="S130" s="209" t="n"/>
      <c r="T130" s="209" t="n"/>
      <c r="U130" s="209" t="n"/>
      <c r="V130" s="209" t="n"/>
      <c r="W130" s="209" t="n"/>
      <c r="X130" s="209" t="n"/>
      <c r="Y130" s="209" t="n"/>
      <c r="Z130" s="209" t="n"/>
      <c r="AA130" s="209" t="n"/>
    </row>
    <row r="131" ht="15.75" customHeight="1" s="230">
      <c r="A131" s="211" t="n"/>
      <c r="B131" s="211" t="n"/>
      <c r="C131" s="211" t="n"/>
      <c r="D131" s="211" t="n"/>
      <c r="E131" s="211" t="n"/>
      <c r="F131" s="213" t="n"/>
      <c r="G131" s="211" t="n"/>
      <c r="H131" s="211" t="n"/>
      <c r="I131" s="211" t="n"/>
      <c r="J131" s="209" t="n"/>
      <c r="K131" s="209" t="n"/>
      <c r="L131" s="209" t="n"/>
      <c r="M131" s="209" t="n"/>
      <c r="N131" s="209" t="n"/>
      <c r="O131" s="209" t="n"/>
      <c r="P131" s="209" t="n"/>
      <c r="Q131" s="209" t="n"/>
      <c r="R131" s="209" t="n"/>
      <c r="S131" s="209" t="n"/>
      <c r="T131" s="209" t="n"/>
      <c r="U131" s="209" t="n"/>
      <c r="V131" s="209" t="n"/>
      <c r="W131" s="209" t="n"/>
      <c r="X131" s="209" t="n"/>
      <c r="Y131" s="209" t="n"/>
      <c r="Z131" s="209" t="n"/>
      <c r="AA131" s="209" t="n"/>
    </row>
    <row r="132" ht="15.75" customHeight="1" s="230">
      <c r="A132" s="211" t="n"/>
      <c r="B132" s="211" t="n"/>
      <c r="C132" s="211" t="n"/>
      <c r="D132" s="211" t="n"/>
      <c r="E132" s="211" t="n"/>
      <c r="F132" s="213" t="n"/>
      <c r="G132" s="211" t="n"/>
      <c r="H132" s="211" t="n"/>
      <c r="I132" s="211" t="n"/>
      <c r="J132" s="209" t="n"/>
      <c r="K132" s="209" t="n"/>
      <c r="L132" s="209" t="n"/>
      <c r="M132" s="209" t="n"/>
      <c r="N132" s="209" t="n"/>
      <c r="O132" s="209" t="n"/>
      <c r="P132" s="209" t="n"/>
      <c r="Q132" s="209" t="n"/>
      <c r="R132" s="209" t="n"/>
      <c r="S132" s="209" t="n"/>
      <c r="T132" s="209" t="n"/>
      <c r="U132" s="209" t="n"/>
      <c r="V132" s="209" t="n"/>
      <c r="W132" s="209" t="n"/>
      <c r="X132" s="209" t="n"/>
      <c r="Y132" s="209" t="n"/>
      <c r="Z132" s="209" t="n"/>
      <c r="AA132" s="209" t="n"/>
    </row>
    <row r="133" ht="15.75" customHeight="1" s="230">
      <c r="A133" s="211" t="n"/>
      <c r="B133" s="211" t="n"/>
      <c r="C133" s="211" t="n"/>
      <c r="D133" s="211" t="n"/>
      <c r="E133" s="211" t="n"/>
      <c r="F133" s="213" t="n"/>
      <c r="G133" s="211" t="n"/>
      <c r="H133" s="211" t="n"/>
      <c r="I133" s="211" t="n"/>
      <c r="J133" s="209" t="n"/>
      <c r="K133" s="209" t="n"/>
      <c r="L133" s="209" t="n"/>
      <c r="M133" s="209" t="n"/>
      <c r="N133" s="209" t="n"/>
      <c r="O133" s="209" t="n"/>
      <c r="P133" s="209" t="n"/>
      <c r="Q133" s="209" t="n"/>
      <c r="R133" s="209" t="n"/>
      <c r="S133" s="209" t="n"/>
      <c r="T133" s="209" t="n"/>
      <c r="U133" s="209" t="n"/>
      <c r="V133" s="209" t="n"/>
      <c r="W133" s="209" t="n"/>
      <c r="X133" s="209" t="n"/>
      <c r="Y133" s="209" t="n"/>
      <c r="Z133" s="209" t="n"/>
      <c r="AA133" s="209" t="n"/>
    </row>
    <row r="134" ht="15.75" customHeight="1" s="230">
      <c r="A134" s="211" t="n"/>
      <c r="B134" s="211" t="n"/>
      <c r="C134" s="211" t="n"/>
      <c r="D134" s="211" t="n"/>
      <c r="E134" s="211" t="n"/>
      <c r="F134" s="213" t="n"/>
      <c r="G134" s="211" t="n"/>
      <c r="H134" s="211" t="n"/>
      <c r="I134" s="211" t="n"/>
      <c r="J134" s="209" t="n"/>
      <c r="K134" s="209" t="n"/>
      <c r="L134" s="209" t="n"/>
      <c r="M134" s="209" t="n"/>
      <c r="N134" s="209" t="n"/>
      <c r="O134" s="209" t="n"/>
      <c r="P134" s="209" t="n"/>
      <c r="Q134" s="209" t="n"/>
      <c r="R134" s="209" t="n"/>
      <c r="S134" s="209" t="n"/>
      <c r="T134" s="209" t="n"/>
      <c r="U134" s="209" t="n"/>
      <c r="V134" s="209" t="n"/>
      <c r="W134" s="209" t="n"/>
      <c r="X134" s="209" t="n"/>
      <c r="Y134" s="209" t="n"/>
      <c r="Z134" s="209" t="n"/>
      <c r="AA134" s="209" t="n"/>
    </row>
    <row r="135" ht="15.75" customHeight="1" s="230">
      <c r="A135" s="211" t="n"/>
      <c r="B135" s="211" t="n"/>
      <c r="C135" s="211" t="n"/>
      <c r="D135" s="211" t="n"/>
      <c r="E135" s="211" t="n"/>
      <c r="F135" s="213" t="n"/>
      <c r="G135" s="211" t="n"/>
      <c r="H135" s="211" t="n"/>
      <c r="I135" s="211" t="n"/>
      <c r="J135" s="209" t="n"/>
      <c r="K135" s="209" t="n"/>
      <c r="L135" s="209" t="n"/>
      <c r="M135" s="209" t="n"/>
      <c r="N135" s="209" t="n"/>
      <c r="O135" s="209" t="n"/>
      <c r="P135" s="209" t="n"/>
      <c r="Q135" s="209" t="n"/>
      <c r="R135" s="209" t="n"/>
      <c r="S135" s="209" t="n"/>
      <c r="T135" s="209" t="n"/>
      <c r="U135" s="209" t="n"/>
      <c r="V135" s="209" t="n"/>
      <c r="W135" s="209" t="n"/>
      <c r="X135" s="209" t="n"/>
      <c r="Y135" s="209" t="n"/>
      <c r="Z135" s="209" t="n"/>
      <c r="AA135" s="209" t="n"/>
    </row>
    <row r="136" ht="15.75" customHeight="1" s="230">
      <c r="A136" s="211" t="n"/>
      <c r="B136" s="211" t="n"/>
      <c r="C136" s="211" t="n"/>
      <c r="D136" s="211" t="n"/>
      <c r="E136" s="211" t="n"/>
      <c r="F136" s="213" t="n"/>
      <c r="G136" s="211" t="n"/>
      <c r="H136" s="211" t="n"/>
      <c r="I136" s="211" t="n"/>
      <c r="J136" s="209" t="n"/>
      <c r="K136" s="209" t="n"/>
      <c r="L136" s="209" t="n"/>
      <c r="M136" s="209" t="n"/>
      <c r="N136" s="209" t="n"/>
      <c r="O136" s="209" t="n"/>
      <c r="P136" s="209" t="n"/>
      <c r="Q136" s="209" t="n"/>
      <c r="R136" s="209" t="n"/>
      <c r="S136" s="209" t="n"/>
      <c r="T136" s="209" t="n"/>
      <c r="U136" s="209" t="n"/>
      <c r="V136" s="209" t="n"/>
      <c r="W136" s="209" t="n"/>
      <c r="X136" s="209" t="n"/>
      <c r="Y136" s="209" t="n"/>
      <c r="Z136" s="209" t="n"/>
      <c r="AA136" s="209" t="n"/>
    </row>
    <row r="137" ht="15.75" customHeight="1" s="230">
      <c r="A137" s="211" t="n"/>
      <c r="B137" s="211" t="n"/>
      <c r="C137" s="211" t="n"/>
      <c r="D137" s="211" t="n"/>
      <c r="E137" s="211" t="n"/>
      <c r="F137" s="213" t="n"/>
      <c r="G137" s="211" t="n"/>
      <c r="H137" s="211" t="n"/>
      <c r="I137" s="211" t="n"/>
      <c r="J137" s="209" t="n"/>
      <c r="K137" s="209" t="n"/>
      <c r="L137" s="209" t="n"/>
      <c r="M137" s="209" t="n"/>
      <c r="N137" s="209" t="n"/>
      <c r="O137" s="209" t="n"/>
      <c r="P137" s="209" t="n"/>
      <c r="Q137" s="209" t="n"/>
      <c r="R137" s="209" t="n"/>
      <c r="S137" s="209" t="n"/>
      <c r="T137" s="209" t="n"/>
      <c r="U137" s="209" t="n"/>
      <c r="V137" s="209" t="n"/>
      <c r="W137" s="209" t="n"/>
      <c r="X137" s="209" t="n"/>
      <c r="Y137" s="209" t="n"/>
      <c r="Z137" s="209" t="n"/>
      <c r="AA137" s="209" t="n"/>
    </row>
    <row r="138" ht="15.75" customHeight="1" s="230">
      <c r="A138" s="211" t="n"/>
      <c r="B138" s="211" t="n"/>
      <c r="C138" s="211" t="n"/>
      <c r="D138" s="211" t="n"/>
      <c r="E138" s="211" t="n"/>
      <c r="F138" s="213" t="n"/>
      <c r="G138" s="211" t="n"/>
      <c r="H138" s="211" t="n"/>
      <c r="I138" s="211" t="n"/>
      <c r="J138" s="209" t="n"/>
      <c r="K138" s="209" t="n"/>
      <c r="L138" s="209" t="n"/>
      <c r="M138" s="209" t="n"/>
      <c r="N138" s="209" t="n"/>
      <c r="O138" s="209" t="n"/>
      <c r="P138" s="209" t="n"/>
      <c r="Q138" s="209" t="n"/>
      <c r="R138" s="209" t="n"/>
      <c r="S138" s="209" t="n"/>
      <c r="T138" s="209" t="n"/>
      <c r="U138" s="209" t="n"/>
      <c r="V138" s="209" t="n"/>
      <c r="W138" s="209" t="n"/>
      <c r="X138" s="209" t="n"/>
      <c r="Y138" s="209" t="n"/>
      <c r="Z138" s="209" t="n"/>
      <c r="AA138" s="209" t="n"/>
    </row>
    <row r="139" ht="15.75" customHeight="1" s="230">
      <c r="A139" s="211" t="n"/>
      <c r="B139" s="211" t="n"/>
      <c r="C139" s="211" t="n"/>
      <c r="D139" s="211" t="n"/>
      <c r="E139" s="211" t="n"/>
      <c r="F139" s="213" t="n"/>
      <c r="G139" s="211" t="n"/>
      <c r="H139" s="211" t="n"/>
      <c r="I139" s="211" t="n"/>
      <c r="J139" s="209" t="n"/>
      <c r="K139" s="209" t="n"/>
      <c r="L139" s="209" t="n"/>
      <c r="M139" s="209" t="n"/>
      <c r="N139" s="209" t="n"/>
      <c r="O139" s="209" t="n"/>
      <c r="P139" s="209" t="n"/>
      <c r="Q139" s="209" t="n"/>
      <c r="R139" s="209" t="n"/>
      <c r="S139" s="209" t="n"/>
      <c r="T139" s="209" t="n"/>
      <c r="U139" s="209" t="n"/>
      <c r="V139" s="209" t="n"/>
      <c r="W139" s="209" t="n"/>
      <c r="X139" s="209" t="n"/>
      <c r="Y139" s="209" t="n"/>
      <c r="Z139" s="209" t="n"/>
      <c r="AA139" s="209" t="n"/>
    </row>
    <row r="140" ht="15.75" customHeight="1" s="230">
      <c r="A140" s="211" t="n"/>
      <c r="B140" s="211" t="n"/>
      <c r="C140" s="211" t="n"/>
      <c r="D140" s="211" t="n"/>
      <c r="E140" s="211" t="n"/>
      <c r="F140" s="213" t="n"/>
      <c r="G140" s="211" t="n"/>
      <c r="H140" s="211" t="n"/>
      <c r="I140" s="211" t="n"/>
      <c r="J140" s="209" t="n"/>
      <c r="K140" s="209" t="n"/>
      <c r="L140" s="209" t="n"/>
      <c r="M140" s="209" t="n"/>
      <c r="N140" s="209" t="n"/>
      <c r="O140" s="209" t="n"/>
      <c r="P140" s="209" t="n"/>
      <c r="Q140" s="209" t="n"/>
      <c r="R140" s="209" t="n"/>
      <c r="S140" s="209" t="n"/>
      <c r="T140" s="209" t="n"/>
      <c r="U140" s="209" t="n"/>
      <c r="V140" s="209" t="n"/>
      <c r="W140" s="209" t="n"/>
      <c r="X140" s="209" t="n"/>
      <c r="Y140" s="209" t="n"/>
      <c r="Z140" s="209" t="n"/>
      <c r="AA140" s="209" t="n"/>
    </row>
    <row r="141" ht="15.75" customHeight="1" s="230">
      <c r="A141" s="211" t="n"/>
      <c r="B141" s="211" t="n"/>
      <c r="C141" s="211" t="n"/>
      <c r="D141" s="211" t="n"/>
      <c r="E141" s="211" t="n"/>
      <c r="F141" s="213" t="n"/>
      <c r="G141" s="211" t="n"/>
      <c r="H141" s="211" t="n"/>
      <c r="I141" s="211" t="n"/>
      <c r="J141" s="209" t="n"/>
      <c r="K141" s="209" t="n"/>
      <c r="L141" s="209" t="n"/>
      <c r="M141" s="209" t="n"/>
      <c r="N141" s="209" t="n"/>
      <c r="O141" s="209" t="n"/>
      <c r="P141" s="209" t="n"/>
      <c r="Q141" s="209" t="n"/>
      <c r="R141" s="209" t="n"/>
      <c r="S141" s="209" t="n"/>
      <c r="T141" s="209" t="n"/>
      <c r="U141" s="209" t="n"/>
      <c r="V141" s="209" t="n"/>
      <c r="W141" s="209" t="n"/>
      <c r="X141" s="209" t="n"/>
      <c r="Y141" s="209" t="n"/>
      <c r="Z141" s="209" t="n"/>
      <c r="AA141" s="209" t="n"/>
    </row>
    <row r="142" ht="15.75" customHeight="1" s="230">
      <c r="A142" s="211" t="n"/>
      <c r="B142" s="211" t="n"/>
      <c r="C142" s="211" t="n"/>
      <c r="D142" s="211" t="n"/>
      <c r="E142" s="211" t="n"/>
      <c r="F142" s="213" t="n"/>
      <c r="G142" s="211" t="n"/>
      <c r="H142" s="211" t="n"/>
      <c r="I142" s="211" t="n"/>
      <c r="J142" s="209" t="n"/>
      <c r="K142" s="209" t="n"/>
      <c r="L142" s="209" t="n"/>
      <c r="M142" s="209" t="n"/>
      <c r="N142" s="209" t="n"/>
      <c r="O142" s="209" t="n"/>
      <c r="P142" s="209" t="n"/>
      <c r="Q142" s="209" t="n"/>
      <c r="R142" s="209" t="n"/>
      <c r="S142" s="209" t="n"/>
      <c r="T142" s="209" t="n"/>
      <c r="U142" s="209" t="n"/>
      <c r="V142" s="209" t="n"/>
      <c r="W142" s="209" t="n"/>
      <c r="X142" s="209" t="n"/>
      <c r="Y142" s="209" t="n"/>
      <c r="Z142" s="209" t="n"/>
      <c r="AA142" s="209" t="n"/>
    </row>
    <row r="143" ht="15.75" customHeight="1" s="230">
      <c r="A143" s="211" t="n"/>
      <c r="B143" s="211" t="n"/>
      <c r="C143" s="211" t="n"/>
      <c r="D143" s="211" t="n"/>
      <c r="E143" s="211" t="n"/>
      <c r="F143" s="213" t="n"/>
      <c r="G143" s="211" t="n"/>
      <c r="H143" s="211" t="n"/>
      <c r="I143" s="211" t="n"/>
      <c r="J143" s="209" t="n"/>
      <c r="K143" s="209" t="n"/>
      <c r="L143" s="209" t="n"/>
      <c r="M143" s="209" t="n"/>
      <c r="N143" s="209" t="n"/>
      <c r="O143" s="209" t="n"/>
      <c r="P143" s="209" t="n"/>
      <c r="Q143" s="209" t="n"/>
      <c r="R143" s="209" t="n"/>
      <c r="S143" s="209" t="n"/>
      <c r="T143" s="209" t="n"/>
      <c r="U143" s="209" t="n"/>
      <c r="V143" s="209" t="n"/>
      <c r="W143" s="209" t="n"/>
      <c r="X143" s="209" t="n"/>
      <c r="Y143" s="209" t="n"/>
      <c r="Z143" s="209" t="n"/>
      <c r="AA143" s="209" t="n"/>
    </row>
    <row r="144" ht="15.75" customHeight="1" s="230">
      <c r="A144" s="211" t="n"/>
      <c r="B144" s="211" t="n"/>
      <c r="C144" s="211" t="n"/>
      <c r="D144" s="211" t="n"/>
      <c r="E144" s="211" t="n"/>
      <c r="F144" s="213" t="n"/>
      <c r="G144" s="211" t="n"/>
      <c r="H144" s="211" t="n"/>
      <c r="I144" s="211" t="n"/>
      <c r="J144" s="209" t="n"/>
      <c r="K144" s="209" t="n"/>
      <c r="L144" s="209" t="n"/>
      <c r="M144" s="209" t="n"/>
      <c r="N144" s="209" t="n"/>
      <c r="O144" s="209" t="n"/>
      <c r="P144" s="209" t="n"/>
      <c r="Q144" s="209" t="n"/>
      <c r="R144" s="209" t="n"/>
      <c r="S144" s="209" t="n"/>
      <c r="T144" s="209" t="n"/>
      <c r="U144" s="209" t="n"/>
      <c r="V144" s="209" t="n"/>
      <c r="W144" s="209" t="n"/>
      <c r="X144" s="209" t="n"/>
      <c r="Y144" s="209" t="n"/>
      <c r="Z144" s="209" t="n"/>
      <c r="AA144" s="209" t="n"/>
    </row>
    <row r="145" ht="15.75" customHeight="1" s="230">
      <c r="A145" s="211" t="n"/>
      <c r="B145" s="211" t="n"/>
      <c r="C145" s="211" t="n"/>
      <c r="D145" s="211" t="n"/>
      <c r="E145" s="211" t="n"/>
      <c r="F145" s="213" t="n"/>
      <c r="G145" s="211" t="n"/>
      <c r="H145" s="211" t="n"/>
      <c r="I145" s="211" t="n"/>
      <c r="J145" s="209" t="n"/>
      <c r="K145" s="209" t="n"/>
      <c r="L145" s="209" t="n"/>
      <c r="M145" s="209" t="n"/>
      <c r="N145" s="209" t="n"/>
      <c r="O145" s="209" t="n"/>
      <c r="P145" s="209" t="n"/>
      <c r="Q145" s="209" t="n"/>
      <c r="R145" s="209" t="n"/>
      <c r="S145" s="209" t="n"/>
      <c r="T145" s="209" t="n"/>
      <c r="U145" s="209" t="n"/>
      <c r="V145" s="209" t="n"/>
      <c r="W145" s="209" t="n"/>
      <c r="X145" s="209" t="n"/>
      <c r="Y145" s="209" t="n"/>
      <c r="Z145" s="209" t="n"/>
      <c r="AA145" s="209" t="n"/>
    </row>
    <row r="146" ht="15.75" customHeight="1" s="230">
      <c r="A146" s="211" t="n"/>
      <c r="B146" s="211" t="n"/>
      <c r="C146" s="211" t="n"/>
      <c r="D146" s="211" t="n"/>
      <c r="E146" s="211" t="n"/>
      <c r="F146" s="213" t="n"/>
      <c r="G146" s="211" t="n"/>
      <c r="H146" s="211" t="n"/>
      <c r="I146" s="211" t="n"/>
      <c r="J146" s="209" t="n"/>
      <c r="K146" s="209" t="n"/>
      <c r="L146" s="209" t="n"/>
      <c r="M146" s="209" t="n"/>
      <c r="N146" s="209" t="n"/>
      <c r="O146" s="209" t="n"/>
      <c r="P146" s="209" t="n"/>
      <c r="Q146" s="209" t="n"/>
      <c r="R146" s="209" t="n"/>
      <c r="S146" s="209" t="n"/>
      <c r="T146" s="209" t="n"/>
      <c r="U146" s="209" t="n"/>
      <c r="V146" s="209" t="n"/>
      <c r="W146" s="209" t="n"/>
      <c r="X146" s="209" t="n"/>
      <c r="Y146" s="209" t="n"/>
      <c r="Z146" s="209" t="n"/>
      <c r="AA146" s="209" t="n"/>
    </row>
    <row r="147" ht="15.75" customHeight="1" s="230">
      <c r="A147" s="211" t="n"/>
      <c r="B147" s="211" t="n"/>
      <c r="C147" s="211" t="n"/>
      <c r="D147" s="211" t="n"/>
      <c r="E147" s="211" t="n"/>
      <c r="F147" s="213" t="n"/>
      <c r="G147" s="211" t="n"/>
      <c r="H147" s="211" t="n"/>
      <c r="I147" s="211" t="n"/>
      <c r="J147" s="209" t="n"/>
      <c r="K147" s="209" t="n"/>
      <c r="L147" s="209" t="n"/>
      <c r="M147" s="209" t="n"/>
      <c r="N147" s="209" t="n"/>
      <c r="O147" s="209" t="n"/>
      <c r="P147" s="209" t="n"/>
      <c r="Q147" s="209" t="n"/>
      <c r="R147" s="209" t="n"/>
      <c r="S147" s="209" t="n"/>
      <c r="T147" s="209" t="n"/>
      <c r="U147" s="209" t="n"/>
      <c r="V147" s="209" t="n"/>
      <c r="W147" s="209" t="n"/>
      <c r="X147" s="209" t="n"/>
      <c r="Y147" s="209" t="n"/>
      <c r="Z147" s="209" t="n"/>
      <c r="AA147" s="209" t="n"/>
    </row>
    <row r="148" ht="15.75" customHeight="1" s="230">
      <c r="A148" s="211" t="n"/>
      <c r="B148" s="211" t="n"/>
      <c r="C148" s="211" t="n"/>
      <c r="D148" s="211" t="n"/>
      <c r="E148" s="211" t="n"/>
      <c r="F148" s="213" t="n"/>
      <c r="G148" s="211" t="n"/>
      <c r="H148" s="211" t="n"/>
      <c r="I148" s="211" t="n"/>
      <c r="J148" s="209" t="n"/>
      <c r="K148" s="209" t="n"/>
      <c r="L148" s="209" t="n"/>
      <c r="M148" s="209" t="n"/>
      <c r="N148" s="209" t="n"/>
      <c r="O148" s="209" t="n"/>
      <c r="P148" s="209" t="n"/>
      <c r="Q148" s="209" t="n"/>
      <c r="R148" s="209" t="n"/>
      <c r="S148" s="209" t="n"/>
      <c r="T148" s="209" t="n"/>
      <c r="U148" s="209" t="n"/>
      <c r="V148" s="209" t="n"/>
      <c r="W148" s="209" t="n"/>
      <c r="X148" s="209" t="n"/>
      <c r="Y148" s="209" t="n"/>
      <c r="Z148" s="209" t="n"/>
      <c r="AA148" s="209" t="n"/>
    </row>
    <row r="149" ht="15.75" customHeight="1" s="230">
      <c r="A149" s="211" t="n"/>
      <c r="B149" s="211" t="n"/>
      <c r="C149" s="211" t="n"/>
      <c r="D149" s="211" t="n"/>
      <c r="E149" s="211" t="n"/>
      <c r="F149" s="213" t="n"/>
      <c r="G149" s="211" t="n"/>
      <c r="H149" s="211" t="n"/>
      <c r="I149" s="211" t="n"/>
      <c r="J149" s="209" t="n"/>
      <c r="K149" s="209" t="n"/>
      <c r="L149" s="209" t="n"/>
      <c r="M149" s="209" t="n"/>
      <c r="N149" s="209" t="n"/>
      <c r="O149" s="209" t="n"/>
      <c r="P149" s="209" t="n"/>
      <c r="Q149" s="209" t="n"/>
      <c r="R149" s="209" t="n"/>
      <c r="S149" s="209" t="n"/>
      <c r="T149" s="209" t="n"/>
      <c r="U149" s="209" t="n"/>
      <c r="V149" s="209" t="n"/>
      <c r="W149" s="209" t="n"/>
      <c r="X149" s="209" t="n"/>
      <c r="Y149" s="209" t="n"/>
      <c r="Z149" s="209" t="n"/>
      <c r="AA149" s="209" t="n"/>
    </row>
    <row r="150" ht="15.75" customHeight="1" s="230">
      <c r="A150" s="211" t="n"/>
      <c r="B150" s="211" t="n"/>
      <c r="C150" s="211" t="n"/>
      <c r="D150" s="211" t="n"/>
      <c r="E150" s="211" t="n"/>
      <c r="F150" s="213" t="n"/>
      <c r="G150" s="211" t="n"/>
      <c r="H150" s="211" t="n"/>
      <c r="I150" s="211" t="n"/>
      <c r="J150" s="209" t="n"/>
      <c r="K150" s="209" t="n"/>
      <c r="L150" s="209" t="n"/>
      <c r="M150" s="209" t="n"/>
      <c r="N150" s="209" t="n"/>
      <c r="O150" s="209" t="n"/>
      <c r="P150" s="209" t="n"/>
      <c r="Q150" s="209" t="n"/>
      <c r="R150" s="209" t="n"/>
      <c r="S150" s="209" t="n"/>
      <c r="T150" s="209" t="n"/>
      <c r="U150" s="209" t="n"/>
      <c r="V150" s="209" t="n"/>
      <c r="W150" s="209" t="n"/>
      <c r="X150" s="209" t="n"/>
      <c r="Y150" s="209" t="n"/>
      <c r="Z150" s="209" t="n"/>
      <c r="AA150" s="209" t="n"/>
    </row>
    <row r="151" ht="15.75" customHeight="1" s="230">
      <c r="A151" s="211" t="n"/>
      <c r="B151" s="211" t="n"/>
      <c r="C151" s="211" t="n"/>
      <c r="D151" s="211" t="n"/>
      <c r="E151" s="211" t="n"/>
      <c r="F151" s="213" t="n"/>
      <c r="G151" s="211" t="n"/>
      <c r="H151" s="211" t="n"/>
      <c r="I151" s="211" t="n"/>
      <c r="J151" s="209" t="n"/>
      <c r="K151" s="209" t="n"/>
      <c r="L151" s="209" t="n"/>
      <c r="M151" s="209" t="n"/>
      <c r="N151" s="209" t="n"/>
      <c r="O151" s="209" t="n"/>
      <c r="P151" s="209" t="n"/>
      <c r="Q151" s="209" t="n"/>
      <c r="R151" s="209" t="n"/>
      <c r="S151" s="209" t="n"/>
      <c r="T151" s="209" t="n"/>
      <c r="U151" s="209" t="n"/>
      <c r="V151" s="209" t="n"/>
      <c r="W151" s="209" t="n"/>
      <c r="X151" s="209" t="n"/>
      <c r="Y151" s="209" t="n"/>
      <c r="Z151" s="209" t="n"/>
      <c r="AA151" s="209" t="n"/>
    </row>
    <row r="152" ht="15.75" customHeight="1" s="230">
      <c r="A152" s="211" t="n"/>
      <c r="B152" s="211" t="n"/>
      <c r="C152" s="211" t="n"/>
      <c r="D152" s="211" t="n"/>
      <c r="E152" s="211" t="n"/>
      <c r="F152" s="213" t="n"/>
      <c r="G152" s="211" t="n"/>
      <c r="H152" s="211" t="n"/>
      <c r="I152" s="211" t="n"/>
      <c r="J152" s="209" t="n"/>
      <c r="K152" s="209" t="n"/>
      <c r="L152" s="209" t="n"/>
      <c r="M152" s="209" t="n"/>
      <c r="N152" s="209" t="n"/>
      <c r="O152" s="209" t="n"/>
      <c r="P152" s="209" t="n"/>
      <c r="Q152" s="209" t="n"/>
      <c r="R152" s="209" t="n"/>
      <c r="S152" s="209" t="n"/>
      <c r="T152" s="209" t="n"/>
      <c r="U152" s="209" t="n"/>
      <c r="V152" s="209" t="n"/>
      <c r="W152" s="209" t="n"/>
      <c r="X152" s="209" t="n"/>
      <c r="Y152" s="209" t="n"/>
      <c r="Z152" s="209" t="n"/>
      <c r="AA152" s="209" t="n"/>
    </row>
    <row r="153" ht="15.75" customHeight="1" s="230">
      <c r="A153" s="211" t="n"/>
      <c r="B153" s="211" t="n"/>
      <c r="C153" s="211" t="n"/>
      <c r="D153" s="211" t="n"/>
      <c r="E153" s="211" t="n"/>
      <c r="F153" s="213" t="n"/>
      <c r="G153" s="211" t="n"/>
      <c r="H153" s="211" t="n"/>
      <c r="I153" s="211" t="n"/>
      <c r="J153" s="209" t="n"/>
      <c r="K153" s="209" t="n"/>
      <c r="L153" s="209" t="n"/>
      <c r="M153" s="209" t="n"/>
      <c r="N153" s="209" t="n"/>
      <c r="O153" s="209" t="n"/>
      <c r="P153" s="209" t="n"/>
      <c r="Q153" s="209" t="n"/>
      <c r="R153" s="209" t="n"/>
      <c r="S153" s="209" t="n"/>
      <c r="T153" s="209" t="n"/>
      <c r="U153" s="209" t="n"/>
      <c r="V153" s="209" t="n"/>
      <c r="W153" s="209" t="n"/>
      <c r="X153" s="209" t="n"/>
      <c r="Y153" s="209" t="n"/>
      <c r="Z153" s="209" t="n"/>
      <c r="AA153" s="209" t="n"/>
    </row>
    <row r="154" ht="15.75" customHeight="1" s="230">
      <c r="A154" s="211" t="n"/>
      <c r="B154" s="211" t="n"/>
      <c r="C154" s="211" t="n"/>
      <c r="D154" s="211" t="n"/>
      <c r="E154" s="211" t="n"/>
      <c r="F154" s="213" t="n"/>
      <c r="G154" s="211" t="n"/>
      <c r="H154" s="211" t="n"/>
      <c r="I154" s="211" t="n"/>
      <c r="J154" s="209" t="n"/>
      <c r="K154" s="209" t="n"/>
      <c r="L154" s="209" t="n"/>
      <c r="M154" s="209" t="n"/>
      <c r="N154" s="209" t="n"/>
      <c r="O154" s="209" t="n"/>
      <c r="P154" s="209" t="n"/>
      <c r="Q154" s="209" t="n"/>
      <c r="R154" s="209" t="n"/>
      <c r="S154" s="209" t="n"/>
      <c r="T154" s="209" t="n"/>
      <c r="U154" s="209" t="n"/>
      <c r="V154" s="209" t="n"/>
      <c r="W154" s="209" t="n"/>
      <c r="X154" s="209" t="n"/>
      <c r="Y154" s="209" t="n"/>
      <c r="Z154" s="209" t="n"/>
      <c r="AA154" s="209" t="n"/>
    </row>
    <row r="155" ht="15.75" customHeight="1" s="230">
      <c r="A155" s="211" t="n"/>
      <c r="B155" s="211" t="n"/>
      <c r="C155" s="211" t="n"/>
      <c r="D155" s="211" t="n"/>
      <c r="E155" s="211" t="n"/>
      <c r="F155" s="213" t="n"/>
      <c r="G155" s="211" t="n"/>
      <c r="H155" s="211" t="n"/>
      <c r="I155" s="211" t="n"/>
      <c r="J155" s="209" t="n"/>
      <c r="K155" s="209" t="n"/>
      <c r="L155" s="209" t="n"/>
      <c r="M155" s="209" t="n"/>
      <c r="N155" s="209" t="n"/>
      <c r="O155" s="209" t="n"/>
      <c r="P155" s="209" t="n"/>
      <c r="Q155" s="209" t="n"/>
      <c r="R155" s="209" t="n"/>
      <c r="S155" s="209" t="n"/>
      <c r="T155" s="209" t="n"/>
      <c r="U155" s="209" t="n"/>
      <c r="V155" s="209" t="n"/>
      <c r="W155" s="209" t="n"/>
      <c r="X155" s="209" t="n"/>
      <c r="Y155" s="209" t="n"/>
      <c r="Z155" s="209" t="n"/>
      <c r="AA155" s="209" t="n"/>
    </row>
    <row r="156" ht="15.75" customHeight="1" s="230">
      <c r="A156" s="211" t="n"/>
      <c r="B156" s="211" t="n"/>
      <c r="C156" s="211" t="n"/>
      <c r="D156" s="211" t="n"/>
      <c r="E156" s="211" t="n"/>
      <c r="F156" s="213" t="n"/>
      <c r="G156" s="211" t="n"/>
      <c r="H156" s="211" t="n"/>
      <c r="I156" s="211" t="n"/>
      <c r="J156" s="209" t="n"/>
      <c r="K156" s="209" t="n"/>
      <c r="L156" s="209" t="n"/>
      <c r="M156" s="209" t="n"/>
      <c r="N156" s="209" t="n"/>
      <c r="O156" s="209" t="n"/>
      <c r="P156" s="209" t="n"/>
      <c r="Q156" s="209" t="n"/>
      <c r="R156" s="209" t="n"/>
      <c r="S156" s="209" t="n"/>
      <c r="T156" s="209" t="n"/>
      <c r="U156" s="209" t="n"/>
      <c r="V156" s="209" t="n"/>
      <c r="W156" s="209" t="n"/>
      <c r="X156" s="209" t="n"/>
      <c r="Y156" s="209" t="n"/>
      <c r="Z156" s="209" t="n"/>
      <c r="AA156" s="209" t="n"/>
    </row>
    <row r="157" ht="15.75" customHeight="1" s="230">
      <c r="A157" s="211" t="n"/>
      <c r="B157" s="211" t="n"/>
      <c r="C157" s="211" t="n"/>
      <c r="D157" s="211" t="n"/>
      <c r="E157" s="211" t="n"/>
      <c r="F157" s="213" t="n"/>
      <c r="G157" s="211" t="n"/>
      <c r="H157" s="211" t="n"/>
      <c r="I157" s="211" t="n"/>
      <c r="J157" s="209" t="n"/>
      <c r="K157" s="209" t="n"/>
      <c r="L157" s="209" t="n"/>
      <c r="M157" s="209" t="n"/>
      <c r="N157" s="209" t="n"/>
      <c r="O157" s="209" t="n"/>
      <c r="P157" s="209" t="n"/>
      <c r="Q157" s="209" t="n"/>
      <c r="R157" s="209" t="n"/>
      <c r="S157" s="209" t="n"/>
      <c r="T157" s="209" t="n"/>
      <c r="U157" s="209" t="n"/>
      <c r="V157" s="209" t="n"/>
      <c r="W157" s="209" t="n"/>
      <c r="X157" s="209" t="n"/>
      <c r="Y157" s="209" t="n"/>
      <c r="Z157" s="209" t="n"/>
      <c r="AA157" s="209" t="n"/>
    </row>
    <row r="158" ht="15.75" customHeight="1" s="230">
      <c r="A158" s="211" t="n"/>
      <c r="B158" s="211" t="n"/>
      <c r="C158" s="211" t="n"/>
      <c r="D158" s="211" t="n"/>
      <c r="E158" s="211" t="n"/>
      <c r="F158" s="213" t="n"/>
      <c r="G158" s="211" t="n"/>
      <c r="H158" s="211" t="n"/>
      <c r="I158" s="211" t="n"/>
      <c r="J158" s="209" t="n"/>
      <c r="K158" s="209" t="n"/>
      <c r="L158" s="209" t="n"/>
      <c r="M158" s="209" t="n"/>
      <c r="N158" s="209" t="n"/>
      <c r="O158" s="209" t="n"/>
      <c r="P158" s="209" t="n"/>
      <c r="Q158" s="209" t="n"/>
      <c r="R158" s="209" t="n"/>
      <c r="S158" s="209" t="n"/>
      <c r="T158" s="209" t="n"/>
      <c r="U158" s="209" t="n"/>
      <c r="V158" s="209" t="n"/>
      <c r="W158" s="209" t="n"/>
      <c r="X158" s="209" t="n"/>
      <c r="Y158" s="209" t="n"/>
      <c r="Z158" s="209" t="n"/>
      <c r="AA158" s="209" t="n"/>
    </row>
    <row r="159" ht="15.75" customHeight="1" s="230">
      <c r="A159" s="211" t="n"/>
      <c r="B159" s="211" t="n"/>
      <c r="C159" s="211" t="n"/>
      <c r="D159" s="211" t="n"/>
      <c r="E159" s="211" t="n"/>
      <c r="F159" s="213" t="n"/>
      <c r="G159" s="211" t="n"/>
      <c r="H159" s="211" t="n"/>
      <c r="I159" s="211" t="n"/>
      <c r="J159" s="209" t="n"/>
      <c r="K159" s="209" t="n"/>
      <c r="L159" s="209" t="n"/>
      <c r="M159" s="209" t="n"/>
      <c r="N159" s="209" t="n"/>
      <c r="O159" s="209" t="n"/>
      <c r="P159" s="209" t="n"/>
      <c r="Q159" s="209" t="n"/>
      <c r="R159" s="209" t="n"/>
      <c r="S159" s="209" t="n"/>
      <c r="T159" s="209" t="n"/>
      <c r="U159" s="209" t="n"/>
      <c r="V159" s="209" t="n"/>
      <c r="W159" s="209" t="n"/>
      <c r="X159" s="209" t="n"/>
      <c r="Y159" s="209" t="n"/>
      <c r="Z159" s="209" t="n"/>
      <c r="AA159" s="209" t="n"/>
    </row>
    <row r="160" ht="15.75" customHeight="1" s="230">
      <c r="A160" s="211" t="n"/>
      <c r="B160" s="211" t="n"/>
      <c r="C160" s="211" t="n"/>
      <c r="D160" s="211" t="n"/>
      <c r="E160" s="211" t="n"/>
      <c r="F160" s="213" t="n"/>
      <c r="G160" s="211" t="n"/>
      <c r="H160" s="211" t="n"/>
      <c r="I160" s="211" t="n"/>
      <c r="J160" s="209" t="n"/>
      <c r="K160" s="209" t="n"/>
      <c r="L160" s="209" t="n"/>
      <c r="M160" s="209" t="n"/>
      <c r="N160" s="209" t="n"/>
      <c r="O160" s="209" t="n"/>
      <c r="P160" s="209" t="n"/>
      <c r="Q160" s="209" t="n"/>
      <c r="R160" s="209" t="n"/>
      <c r="S160" s="209" t="n"/>
      <c r="T160" s="209" t="n"/>
      <c r="U160" s="209" t="n"/>
      <c r="V160" s="209" t="n"/>
      <c r="W160" s="209" t="n"/>
      <c r="X160" s="209" t="n"/>
      <c r="Y160" s="209" t="n"/>
      <c r="Z160" s="209" t="n"/>
      <c r="AA160" s="209" t="n"/>
    </row>
    <row r="161" ht="15.75" customHeight="1" s="230">
      <c r="A161" s="211" t="n"/>
      <c r="B161" s="211" t="n"/>
      <c r="C161" s="211" t="n"/>
      <c r="D161" s="211" t="n"/>
      <c r="E161" s="211" t="n"/>
      <c r="F161" s="213" t="n"/>
      <c r="G161" s="211" t="n"/>
      <c r="H161" s="211" t="n"/>
      <c r="I161" s="211" t="n"/>
      <c r="J161" s="209" t="n"/>
      <c r="K161" s="209" t="n"/>
      <c r="L161" s="209" t="n"/>
      <c r="M161" s="209" t="n"/>
      <c r="N161" s="209" t="n"/>
      <c r="O161" s="209" t="n"/>
      <c r="P161" s="209" t="n"/>
      <c r="Q161" s="209" t="n"/>
      <c r="R161" s="209" t="n"/>
      <c r="S161" s="209" t="n"/>
      <c r="T161" s="209" t="n"/>
      <c r="U161" s="209" t="n"/>
      <c r="V161" s="209" t="n"/>
      <c r="W161" s="209" t="n"/>
      <c r="X161" s="209" t="n"/>
      <c r="Y161" s="209" t="n"/>
      <c r="Z161" s="209" t="n"/>
      <c r="AA161" s="209" t="n"/>
    </row>
    <row r="162" ht="15.75" customHeight="1" s="230">
      <c r="A162" s="211" t="n"/>
      <c r="B162" s="211" t="n"/>
      <c r="C162" s="211" t="n"/>
      <c r="D162" s="211" t="n"/>
      <c r="E162" s="211" t="n"/>
      <c r="F162" s="213" t="n"/>
      <c r="G162" s="211" t="n"/>
      <c r="H162" s="211" t="n"/>
      <c r="I162" s="211" t="n"/>
      <c r="J162" s="209" t="n"/>
      <c r="K162" s="209" t="n"/>
      <c r="L162" s="209" t="n"/>
      <c r="M162" s="209" t="n"/>
      <c r="N162" s="209" t="n"/>
      <c r="O162" s="209" t="n"/>
      <c r="P162" s="209" t="n"/>
      <c r="Q162" s="209" t="n"/>
      <c r="R162" s="209" t="n"/>
      <c r="S162" s="209" t="n"/>
      <c r="T162" s="209" t="n"/>
      <c r="U162" s="209" t="n"/>
      <c r="V162" s="209" t="n"/>
      <c r="W162" s="209" t="n"/>
      <c r="X162" s="209" t="n"/>
      <c r="Y162" s="209" t="n"/>
      <c r="Z162" s="209" t="n"/>
      <c r="AA162" s="209" t="n"/>
    </row>
    <row r="163" ht="15.75" customHeight="1" s="230">
      <c r="A163" s="211" t="n"/>
      <c r="B163" s="211" t="n"/>
      <c r="C163" s="211" t="n"/>
      <c r="D163" s="211" t="n"/>
      <c r="E163" s="211" t="n"/>
      <c r="F163" s="213" t="n"/>
      <c r="G163" s="211" t="n"/>
      <c r="H163" s="211" t="n"/>
      <c r="I163" s="211" t="n"/>
      <c r="J163" s="209" t="n"/>
      <c r="K163" s="209" t="n"/>
      <c r="L163" s="209" t="n"/>
      <c r="M163" s="209" t="n"/>
      <c r="N163" s="209" t="n"/>
      <c r="O163" s="209" t="n"/>
      <c r="P163" s="209" t="n"/>
      <c r="Q163" s="209" t="n"/>
      <c r="R163" s="209" t="n"/>
      <c r="S163" s="209" t="n"/>
      <c r="T163" s="209" t="n"/>
      <c r="U163" s="209" t="n"/>
      <c r="V163" s="209" t="n"/>
      <c r="W163" s="209" t="n"/>
      <c r="X163" s="209" t="n"/>
      <c r="Y163" s="209" t="n"/>
      <c r="Z163" s="209" t="n"/>
      <c r="AA163" s="209" t="n"/>
    </row>
    <row r="164" ht="15.75" customHeight="1" s="230">
      <c r="A164" s="211" t="n"/>
      <c r="B164" s="211" t="n"/>
      <c r="C164" s="211" t="n"/>
      <c r="D164" s="211" t="n"/>
      <c r="E164" s="211" t="n"/>
      <c r="F164" s="213" t="n"/>
      <c r="G164" s="211" t="n"/>
      <c r="H164" s="211" t="n"/>
      <c r="I164" s="211" t="n"/>
      <c r="J164" s="209" t="n"/>
      <c r="K164" s="209" t="n"/>
      <c r="L164" s="209" t="n"/>
      <c r="M164" s="209" t="n"/>
      <c r="N164" s="209" t="n"/>
      <c r="O164" s="209" t="n"/>
      <c r="P164" s="209" t="n"/>
      <c r="Q164" s="209" t="n"/>
      <c r="R164" s="209" t="n"/>
      <c r="S164" s="209" t="n"/>
      <c r="T164" s="209" t="n"/>
      <c r="U164" s="209" t="n"/>
      <c r="V164" s="209" t="n"/>
      <c r="W164" s="209" t="n"/>
      <c r="X164" s="209" t="n"/>
      <c r="Y164" s="209" t="n"/>
      <c r="Z164" s="209" t="n"/>
      <c r="AA164" s="209" t="n"/>
    </row>
    <row r="165" ht="15.75" customHeight="1" s="230">
      <c r="A165" s="211" t="n"/>
      <c r="B165" s="211" t="n"/>
      <c r="C165" s="211" t="n"/>
      <c r="D165" s="211" t="n"/>
      <c r="E165" s="211" t="n"/>
      <c r="F165" s="213" t="n"/>
      <c r="G165" s="211" t="n"/>
      <c r="H165" s="211" t="n"/>
      <c r="I165" s="211" t="n"/>
      <c r="J165" s="209" t="n"/>
      <c r="K165" s="209" t="n"/>
      <c r="L165" s="209" t="n"/>
      <c r="M165" s="209" t="n"/>
      <c r="N165" s="209" t="n"/>
      <c r="O165" s="209" t="n"/>
      <c r="P165" s="209" t="n"/>
      <c r="Q165" s="209" t="n"/>
      <c r="R165" s="209" t="n"/>
      <c r="S165" s="209" t="n"/>
      <c r="T165" s="209" t="n"/>
      <c r="U165" s="209" t="n"/>
      <c r="V165" s="209" t="n"/>
      <c r="W165" s="209" t="n"/>
      <c r="X165" s="209" t="n"/>
      <c r="Y165" s="209" t="n"/>
      <c r="Z165" s="209" t="n"/>
      <c r="AA165" s="209" t="n"/>
    </row>
    <row r="166" ht="15.75" customHeight="1" s="230">
      <c r="A166" s="211" t="n"/>
      <c r="B166" s="211" t="n"/>
      <c r="C166" s="211" t="n"/>
      <c r="D166" s="211" t="n"/>
      <c r="E166" s="211" t="n"/>
      <c r="F166" s="213" t="n"/>
      <c r="G166" s="211" t="n"/>
      <c r="H166" s="211" t="n"/>
      <c r="I166" s="211" t="n"/>
      <c r="J166" s="209" t="n"/>
      <c r="K166" s="209" t="n"/>
      <c r="L166" s="209" t="n"/>
      <c r="M166" s="209" t="n"/>
      <c r="N166" s="209" t="n"/>
      <c r="O166" s="209" t="n"/>
      <c r="P166" s="209" t="n"/>
      <c r="Q166" s="209" t="n"/>
      <c r="R166" s="209" t="n"/>
      <c r="S166" s="209" t="n"/>
      <c r="T166" s="209" t="n"/>
      <c r="U166" s="209" t="n"/>
      <c r="V166" s="209" t="n"/>
      <c r="W166" s="209" t="n"/>
      <c r="X166" s="209" t="n"/>
      <c r="Y166" s="209" t="n"/>
      <c r="Z166" s="209" t="n"/>
      <c r="AA166" s="209" t="n"/>
    </row>
    <row r="167" ht="15.75" customHeight="1" s="230">
      <c r="A167" s="211" t="n"/>
      <c r="B167" s="211" t="n"/>
      <c r="C167" s="211" t="n"/>
      <c r="D167" s="211" t="n"/>
      <c r="E167" s="211" t="n"/>
      <c r="F167" s="213" t="n"/>
      <c r="G167" s="211" t="n"/>
      <c r="H167" s="211" t="n"/>
      <c r="I167" s="211" t="n"/>
      <c r="J167" s="209" t="n"/>
      <c r="K167" s="209" t="n"/>
      <c r="L167" s="209" t="n"/>
      <c r="M167" s="209" t="n"/>
      <c r="N167" s="209" t="n"/>
      <c r="O167" s="209" t="n"/>
      <c r="P167" s="209" t="n"/>
      <c r="Q167" s="209" t="n"/>
      <c r="R167" s="209" t="n"/>
      <c r="S167" s="209" t="n"/>
      <c r="T167" s="209" t="n"/>
      <c r="U167" s="209" t="n"/>
      <c r="V167" s="209" t="n"/>
      <c r="W167" s="209" t="n"/>
      <c r="X167" s="209" t="n"/>
      <c r="Y167" s="209" t="n"/>
      <c r="Z167" s="209" t="n"/>
      <c r="AA167" s="209" t="n"/>
    </row>
    <row r="168" ht="15.75" customHeight="1" s="230">
      <c r="A168" s="211" t="n"/>
      <c r="B168" s="211" t="n"/>
      <c r="C168" s="211" t="n"/>
      <c r="D168" s="211" t="n"/>
      <c r="E168" s="211" t="n"/>
      <c r="F168" s="213" t="n"/>
      <c r="G168" s="211" t="n"/>
      <c r="H168" s="211" t="n"/>
      <c r="I168" s="211" t="n"/>
      <c r="J168" s="209" t="n"/>
      <c r="K168" s="209" t="n"/>
      <c r="L168" s="209" t="n"/>
      <c r="M168" s="209" t="n"/>
      <c r="N168" s="209" t="n"/>
      <c r="O168" s="209" t="n"/>
      <c r="P168" s="209" t="n"/>
      <c r="Q168" s="209" t="n"/>
      <c r="R168" s="209" t="n"/>
      <c r="S168" s="209" t="n"/>
      <c r="T168" s="209" t="n"/>
      <c r="U168" s="209" t="n"/>
      <c r="V168" s="209" t="n"/>
      <c r="W168" s="209" t="n"/>
      <c r="X168" s="209" t="n"/>
      <c r="Y168" s="209" t="n"/>
      <c r="Z168" s="209" t="n"/>
      <c r="AA168" s="209" t="n"/>
    </row>
    <row r="169" ht="15.75" customHeight="1" s="230">
      <c r="A169" s="211" t="n"/>
      <c r="B169" s="211" t="n"/>
      <c r="C169" s="211" t="n"/>
      <c r="D169" s="211" t="n"/>
      <c r="E169" s="211" t="n"/>
      <c r="F169" s="213" t="n"/>
      <c r="G169" s="211" t="n"/>
      <c r="H169" s="211" t="n"/>
      <c r="I169" s="211" t="n"/>
      <c r="J169" s="209" t="n"/>
      <c r="K169" s="209" t="n"/>
      <c r="L169" s="209" t="n"/>
      <c r="M169" s="209" t="n"/>
      <c r="N169" s="209" t="n"/>
      <c r="O169" s="209" t="n"/>
      <c r="P169" s="209" t="n"/>
      <c r="Q169" s="209" t="n"/>
      <c r="R169" s="209" t="n"/>
      <c r="S169" s="209" t="n"/>
      <c r="T169" s="209" t="n"/>
      <c r="U169" s="209" t="n"/>
      <c r="V169" s="209" t="n"/>
      <c r="W169" s="209" t="n"/>
      <c r="X169" s="209" t="n"/>
      <c r="Y169" s="209" t="n"/>
      <c r="Z169" s="209" t="n"/>
      <c r="AA169" s="209" t="n"/>
    </row>
    <row r="170" ht="15.75" customHeight="1" s="230">
      <c r="A170" s="211" t="n"/>
      <c r="B170" s="211" t="n"/>
      <c r="C170" s="211" t="n"/>
      <c r="D170" s="211" t="n"/>
      <c r="E170" s="211" t="n"/>
      <c r="F170" s="213" t="n"/>
      <c r="G170" s="211" t="n"/>
      <c r="H170" s="211" t="n"/>
      <c r="I170" s="211" t="n"/>
      <c r="J170" s="209" t="n"/>
      <c r="K170" s="209" t="n"/>
      <c r="L170" s="209" t="n"/>
      <c r="M170" s="209" t="n"/>
      <c r="N170" s="209" t="n"/>
      <c r="O170" s="209" t="n"/>
      <c r="P170" s="209" t="n"/>
      <c r="Q170" s="209" t="n"/>
      <c r="R170" s="209" t="n"/>
      <c r="S170" s="209" t="n"/>
      <c r="T170" s="209" t="n"/>
      <c r="U170" s="209" t="n"/>
      <c r="V170" s="209" t="n"/>
      <c r="W170" s="209" t="n"/>
      <c r="X170" s="209" t="n"/>
      <c r="Y170" s="209" t="n"/>
      <c r="Z170" s="209" t="n"/>
      <c r="AA170" s="209" t="n"/>
    </row>
    <row r="171" ht="15.75" customHeight="1" s="230">
      <c r="A171" s="211" t="n"/>
      <c r="B171" s="211" t="n"/>
      <c r="C171" s="211" t="n"/>
      <c r="D171" s="211" t="n"/>
      <c r="E171" s="211" t="n"/>
      <c r="F171" s="213" t="n"/>
      <c r="G171" s="211" t="n"/>
      <c r="H171" s="211" t="n"/>
      <c r="I171" s="211" t="n"/>
      <c r="J171" s="209" t="n"/>
      <c r="K171" s="209" t="n"/>
      <c r="L171" s="209" t="n"/>
      <c r="M171" s="209" t="n"/>
      <c r="N171" s="209" t="n"/>
      <c r="O171" s="209" t="n"/>
      <c r="P171" s="209" t="n"/>
      <c r="Q171" s="209" t="n"/>
      <c r="R171" s="209" t="n"/>
      <c r="S171" s="209" t="n"/>
      <c r="T171" s="209" t="n"/>
      <c r="U171" s="209" t="n"/>
      <c r="V171" s="209" t="n"/>
      <c r="W171" s="209" t="n"/>
      <c r="X171" s="209" t="n"/>
      <c r="Y171" s="209" t="n"/>
      <c r="Z171" s="209" t="n"/>
      <c r="AA171" s="209" t="n"/>
    </row>
    <row r="172" ht="15.75" customHeight="1" s="230">
      <c r="A172" s="211" t="n"/>
      <c r="B172" s="211" t="n"/>
      <c r="C172" s="211" t="n"/>
      <c r="D172" s="211" t="n"/>
      <c r="E172" s="211" t="n"/>
      <c r="F172" s="213" t="n"/>
      <c r="G172" s="211" t="n"/>
      <c r="H172" s="211" t="n"/>
      <c r="I172" s="211" t="n"/>
      <c r="J172" s="209" t="n"/>
      <c r="K172" s="209" t="n"/>
      <c r="L172" s="209" t="n"/>
      <c r="M172" s="209" t="n"/>
      <c r="N172" s="209" t="n"/>
      <c r="O172" s="209" t="n"/>
      <c r="P172" s="209" t="n"/>
      <c r="Q172" s="209" t="n"/>
      <c r="R172" s="209" t="n"/>
      <c r="S172" s="209" t="n"/>
      <c r="T172" s="209" t="n"/>
      <c r="U172" s="209" t="n"/>
      <c r="V172" s="209" t="n"/>
      <c r="W172" s="209" t="n"/>
      <c r="X172" s="209" t="n"/>
      <c r="Y172" s="209" t="n"/>
      <c r="Z172" s="209" t="n"/>
      <c r="AA172" s="209" t="n"/>
    </row>
    <row r="173" ht="15.75" customHeight="1" s="230">
      <c r="A173" s="211" t="n"/>
      <c r="B173" s="211" t="n"/>
      <c r="C173" s="211" t="n"/>
      <c r="D173" s="211" t="n"/>
      <c r="E173" s="211" t="n"/>
      <c r="F173" s="213" t="n"/>
      <c r="G173" s="211" t="n"/>
      <c r="H173" s="211" t="n"/>
      <c r="I173" s="211" t="n"/>
      <c r="J173" s="209" t="n"/>
      <c r="K173" s="209" t="n"/>
      <c r="L173" s="209" t="n"/>
      <c r="M173" s="209" t="n"/>
      <c r="N173" s="209" t="n"/>
      <c r="O173" s="209" t="n"/>
      <c r="P173" s="209" t="n"/>
      <c r="Q173" s="209" t="n"/>
      <c r="R173" s="209" t="n"/>
      <c r="S173" s="209" t="n"/>
      <c r="T173" s="209" t="n"/>
      <c r="U173" s="209" t="n"/>
      <c r="V173" s="209" t="n"/>
      <c r="W173" s="209" t="n"/>
      <c r="X173" s="209" t="n"/>
      <c r="Y173" s="209" t="n"/>
      <c r="Z173" s="209" t="n"/>
      <c r="AA173" s="209" t="n"/>
    </row>
    <row r="174" ht="15.75" customHeight="1" s="230">
      <c r="A174" s="211" t="n"/>
      <c r="B174" s="211" t="n"/>
      <c r="C174" s="211" t="n"/>
      <c r="D174" s="211" t="n"/>
      <c r="E174" s="211" t="n"/>
      <c r="F174" s="213" t="n"/>
      <c r="G174" s="211" t="n"/>
      <c r="H174" s="211" t="n"/>
      <c r="I174" s="211" t="n"/>
      <c r="J174" s="209" t="n"/>
      <c r="K174" s="209" t="n"/>
      <c r="L174" s="209" t="n"/>
      <c r="M174" s="209" t="n"/>
      <c r="N174" s="209" t="n"/>
      <c r="O174" s="209" t="n"/>
      <c r="P174" s="209" t="n"/>
      <c r="Q174" s="209" t="n"/>
      <c r="R174" s="209" t="n"/>
      <c r="S174" s="209" t="n"/>
      <c r="T174" s="209" t="n"/>
      <c r="U174" s="209" t="n"/>
      <c r="V174" s="209" t="n"/>
      <c r="W174" s="209" t="n"/>
      <c r="X174" s="209" t="n"/>
      <c r="Y174" s="209" t="n"/>
      <c r="Z174" s="209" t="n"/>
      <c r="AA174" s="209" t="n"/>
    </row>
    <row r="175" ht="15.75" customHeight="1" s="230">
      <c r="A175" s="211" t="n"/>
      <c r="B175" s="211" t="n"/>
      <c r="C175" s="211" t="n"/>
      <c r="D175" s="211" t="n"/>
      <c r="E175" s="211" t="n"/>
      <c r="F175" s="213" t="n"/>
      <c r="G175" s="211" t="n"/>
      <c r="H175" s="211" t="n"/>
      <c r="I175" s="211" t="n"/>
      <c r="J175" s="209" t="n"/>
      <c r="K175" s="209" t="n"/>
      <c r="L175" s="209" t="n"/>
      <c r="M175" s="209" t="n"/>
      <c r="N175" s="209" t="n"/>
      <c r="O175" s="209" t="n"/>
      <c r="P175" s="209" t="n"/>
      <c r="Q175" s="209" t="n"/>
      <c r="R175" s="209" t="n"/>
      <c r="S175" s="209" t="n"/>
      <c r="T175" s="209" t="n"/>
      <c r="U175" s="209" t="n"/>
      <c r="V175" s="209" t="n"/>
      <c r="W175" s="209" t="n"/>
      <c r="X175" s="209" t="n"/>
      <c r="Y175" s="209" t="n"/>
      <c r="Z175" s="209" t="n"/>
      <c r="AA175" s="209" t="n"/>
    </row>
    <row r="176" ht="15.75" customHeight="1" s="230">
      <c r="A176" s="211" t="n"/>
      <c r="B176" s="211" t="n"/>
      <c r="C176" s="211" t="n"/>
      <c r="D176" s="211" t="n"/>
      <c r="E176" s="211" t="n"/>
      <c r="F176" s="213" t="n"/>
      <c r="G176" s="211" t="n"/>
      <c r="H176" s="211" t="n"/>
      <c r="I176" s="211" t="n"/>
      <c r="J176" s="209" t="n"/>
      <c r="K176" s="209" t="n"/>
      <c r="L176" s="209" t="n"/>
      <c r="M176" s="209" t="n"/>
      <c r="N176" s="209" t="n"/>
      <c r="O176" s="209" t="n"/>
      <c r="P176" s="209" t="n"/>
      <c r="Q176" s="209" t="n"/>
      <c r="R176" s="209" t="n"/>
      <c r="S176" s="209" t="n"/>
      <c r="T176" s="209" t="n"/>
      <c r="U176" s="209" t="n"/>
      <c r="V176" s="209" t="n"/>
      <c r="W176" s="209" t="n"/>
      <c r="X176" s="209" t="n"/>
      <c r="Y176" s="209" t="n"/>
      <c r="Z176" s="209" t="n"/>
      <c r="AA176" s="209" t="n"/>
    </row>
    <row r="177" ht="15.75" customHeight="1" s="230">
      <c r="A177" s="211" t="n"/>
      <c r="B177" s="211" t="n"/>
      <c r="C177" s="211" t="n"/>
      <c r="D177" s="211" t="n"/>
      <c r="E177" s="211" t="n"/>
      <c r="F177" s="213" t="n"/>
      <c r="G177" s="211" t="n"/>
      <c r="H177" s="211" t="n"/>
      <c r="I177" s="211" t="n"/>
      <c r="J177" s="209" t="n"/>
      <c r="K177" s="209" t="n"/>
      <c r="L177" s="209" t="n"/>
      <c r="M177" s="209" t="n"/>
      <c r="N177" s="209" t="n"/>
      <c r="O177" s="209" t="n"/>
      <c r="P177" s="209" t="n"/>
      <c r="Q177" s="209" t="n"/>
      <c r="R177" s="209" t="n"/>
      <c r="S177" s="209" t="n"/>
      <c r="T177" s="209" t="n"/>
      <c r="U177" s="209" t="n"/>
      <c r="V177" s="209" t="n"/>
      <c r="W177" s="209" t="n"/>
      <c r="X177" s="209" t="n"/>
      <c r="Y177" s="209" t="n"/>
      <c r="Z177" s="209" t="n"/>
      <c r="AA177" s="209" t="n"/>
    </row>
    <row r="178" ht="15.75" customHeight="1" s="230">
      <c r="A178" s="211" t="n"/>
      <c r="B178" s="211" t="n"/>
      <c r="C178" s="211" t="n"/>
      <c r="D178" s="211" t="n"/>
      <c r="E178" s="211" t="n"/>
      <c r="F178" s="213" t="n"/>
      <c r="G178" s="211" t="n"/>
      <c r="H178" s="211" t="n"/>
      <c r="I178" s="211" t="n"/>
      <c r="J178" s="209" t="n"/>
      <c r="K178" s="209" t="n"/>
      <c r="L178" s="209" t="n"/>
      <c r="M178" s="209" t="n"/>
      <c r="N178" s="209" t="n"/>
      <c r="O178" s="209" t="n"/>
      <c r="P178" s="209" t="n"/>
      <c r="Q178" s="209" t="n"/>
      <c r="R178" s="209" t="n"/>
      <c r="S178" s="209" t="n"/>
      <c r="T178" s="209" t="n"/>
      <c r="U178" s="209" t="n"/>
      <c r="V178" s="209" t="n"/>
      <c r="W178" s="209" t="n"/>
      <c r="X178" s="209" t="n"/>
      <c r="Y178" s="209" t="n"/>
      <c r="Z178" s="209" t="n"/>
      <c r="AA178" s="209" t="n"/>
    </row>
    <row r="179" ht="15.75" customHeight="1" s="230">
      <c r="A179" s="211" t="n"/>
      <c r="B179" s="211" t="n"/>
      <c r="C179" s="211" t="n"/>
      <c r="D179" s="211" t="n"/>
      <c r="E179" s="211" t="n"/>
      <c r="F179" s="213" t="n"/>
      <c r="G179" s="211" t="n"/>
      <c r="H179" s="211" t="n"/>
      <c r="I179" s="211" t="n"/>
      <c r="J179" s="209" t="n"/>
      <c r="K179" s="209" t="n"/>
      <c r="L179" s="209" t="n"/>
      <c r="M179" s="209" t="n"/>
      <c r="N179" s="209" t="n"/>
      <c r="O179" s="209" t="n"/>
      <c r="P179" s="209" t="n"/>
      <c r="Q179" s="209" t="n"/>
      <c r="R179" s="209" t="n"/>
      <c r="S179" s="209" t="n"/>
      <c r="T179" s="209" t="n"/>
      <c r="U179" s="209" t="n"/>
      <c r="V179" s="209" t="n"/>
      <c r="W179" s="209" t="n"/>
      <c r="X179" s="209" t="n"/>
      <c r="Y179" s="209" t="n"/>
      <c r="Z179" s="209" t="n"/>
      <c r="AA179" s="209" t="n"/>
    </row>
    <row r="180" ht="15.75" customHeight="1" s="230">
      <c r="A180" s="211" t="n"/>
      <c r="B180" s="211" t="n"/>
      <c r="C180" s="211" t="n"/>
      <c r="D180" s="211" t="n"/>
      <c r="E180" s="211" t="n"/>
      <c r="F180" s="213" t="n"/>
      <c r="G180" s="211" t="n"/>
      <c r="H180" s="211" t="n"/>
      <c r="I180" s="211" t="n"/>
      <c r="J180" s="209" t="n"/>
      <c r="K180" s="209" t="n"/>
      <c r="L180" s="209" t="n"/>
      <c r="M180" s="209" t="n"/>
      <c r="N180" s="209" t="n"/>
      <c r="O180" s="209" t="n"/>
      <c r="P180" s="209" t="n"/>
      <c r="Q180" s="209" t="n"/>
      <c r="R180" s="209" t="n"/>
      <c r="S180" s="209" t="n"/>
      <c r="T180" s="209" t="n"/>
      <c r="U180" s="209" t="n"/>
      <c r="V180" s="209" t="n"/>
      <c r="W180" s="209" t="n"/>
      <c r="X180" s="209" t="n"/>
      <c r="Y180" s="209" t="n"/>
      <c r="Z180" s="209" t="n"/>
      <c r="AA180" s="209" t="n"/>
    </row>
    <row r="181" ht="15.75" customHeight="1" s="230">
      <c r="A181" s="211" t="n"/>
      <c r="B181" s="211" t="n"/>
      <c r="C181" s="211" t="n"/>
      <c r="D181" s="211" t="n"/>
      <c r="E181" s="211" t="n"/>
      <c r="F181" s="213" t="n"/>
      <c r="G181" s="211" t="n"/>
      <c r="H181" s="211" t="n"/>
      <c r="I181" s="211" t="n"/>
      <c r="J181" s="209" t="n"/>
      <c r="K181" s="209" t="n"/>
      <c r="L181" s="209" t="n"/>
      <c r="M181" s="209" t="n"/>
      <c r="N181" s="209" t="n"/>
      <c r="O181" s="209" t="n"/>
      <c r="P181" s="209" t="n"/>
      <c r="Q181" s="209" t="n"/>
      <c r="R181" s="209" t="n"/>
      <c r="S181" s="209" t="n"/>
      <c r="T181" s="209" t="n"/>
      <c r="U181" s="209" t="n"/>
      <c r="V181" s="209" t="n"/>
      <c r="W181" s="209" t="n"/>
      <c r="X181" s="209" t="n"/>
      <c r="Y181" s="209" t="n"/>
      <c r="Z181" s="209" t="n"/>
      <c r="AA181" s="209" t="n"/>
    </row>
    <row r="182" ht="15.75" customHeight="1" s="230">
      <c r="A182" s="211" t="n"/>
      <c r="B182" s="211" t="n"/>
      <c r="C182" s="211" t="n"/>
      <c r="D182" s="211" t="n"/>
      <c r="E182" s="211" t="n"/>
      <c r="F182" s="213" t="n"/>
      <c r="G182" s="211" t="n"/>
      <c r="H182" s="211" t="n"/>
      <c r="I182" s="211" t="n"/>
      <c r="J182" s="209" t="n"/>
      <c r="K182" s="209" t="n"/>
      <c r="L182" s="209" t="n"/>
      <c r="M182" s="209" t="n"/>
      <c r="N182" s="209" t="n"/>
      <c r="O182" s="209" t="n"/>
      <c r="P182" s="209" t="n"/>
      <c r="Q182" s="209" t="n"/>
      <c r="R182" s="209" t="n"/>
      <c r="S182" s="209" t="n"/>
      <c r="T182" s="209" t="n"/>
      <c r="U182" s="209" t="n"/>
      <c r="V182" s="209" t="n"/>
      <c r="W182" s="209" t="n"/>
      <c r="X182" s="209" t="n"/>
      <c r="Y182" s="209" t="n"/>
      <c r="Z182" s="209" t="n"/>
      <c r="AA182" s="209" t="n"/>
    </row>
    <row r="183" ht="15.75" customHeight="1" s="230">
      <c r="A183" s="211" t="n"/>
      <c r="B183" s="211" t="n"/>
      <c r="C183" s="211" t="n"/>
      <c r="D183" s="211" t="n"/>
      <c r="E183" s="211" t="n"/>
      <c r="F183" s="213" t="n"/>
      <c r="G183" s="211" t="n"/>
      <c r="H183" s="211" t="n"/>
      <c r="I183" s="211" t="n"/>
      <c r="J183" s="209" t="n"/>
      <c r="K183" s="209" t="n"/>
      <c r="L183" s="209" t="n"/>
      <c r="M183" s="209" t="n"/>
      <c r="N183" s="209" t="n"/>
      <c r="O183" s="209" t="n"/>
      <c r="P183" s="209" t="n"/>
      <c r="Q183" s="209" t="n"/>
      <c r="R183" s="209" t="n"/>
      <c r="S183" s="209" t="n"/>
      <c r="T183" s="209" t="n"/>
      <c r="U183" s="209" t="n"/>
      <c r="V183" s="209" t="n"/>
      <c r="W183" s="209" t="n"/>
      <c r="X183" s="209" t="n"/>
      <c r="Y183" s="209" t="n"/>
      <c r="Z183" s="209" t="n"/>
      <c r="AA183" s="209" t="n"/>
    </row>
    <row r="184" ht="15.75" customHeight="1" s="230">
      <c r="A184" s="211" t="n"/>
      <c r="B184" s="211" t="n"/>
      <c r="C184" s="211" t="n"/>
      <c r="D184" s="211" t="n"/>
      <c r="E184" s="211" t="n"/>
      <c r="F184" s="213" t="n"/>
      <c r="G184" s="211" t="n"/>
      <c r="H184" s="211" t="n"/>
      <c r="I184" s="211" t="n"/>
      <c r="J184" s="209" t="n"/>
      <c r="K184" s="209" t="n"/>
      <c r="L184" s="209" t="n"/>
      <c r="M184" s="209" t="n"/>
      <c r="N184" s="209" t="n"/>
      <c r="O184" s="209" t="n"/>
      <c r="P184" s="209" t="n"/>
      <c r="Q184" s="209" t="n"/>
      <c r="R184" s="209" t="n"/>
      <c r="S184" s="209" t="n"/>
      <c r="T184" s="209" t="n"/>
      <c r="U184" s="209" t="n"/>
      <c r="V184" s="209" t="n"/>
      <c r="W184" s="209" t="n"/>
      <c r="X184" s="209" t="n"/>
      <c r="Y184" s="209" t="n"/>
      <c r="Z184" s="209" t="n"/>
      <c r="AA184" s="209" t="n"/>
    </row>
    <row r="185" ht="15.75" customHeight="1" s="230">
      <c r="A185" s="211" t="n"/>
      <c r="B185" s="211" t="n"/>
      <c r="C185" s="211" t="n"/>
      <c r="D185" s="211" t="n"/>
      <c r="E185" s="211" t="n"/>
      <c r="F185" s="213" t="n"/>
      <c r="G185" s="211" t="n"/>
      <c r="H185" s="211" t="n"/>
      <c r="I185" s="211" t="n"/>
      <c r="J185" s="209" t="n"/>
      <c r="K185" s="209" t="n"/>
      <c r="L185" s="209" t="n"/>
      <c r="M185" s="209" t="n"/>
      <c r="N185" s="209" t="n"/>
      <c r="O185" s="209" t="n"/>
      <c r="P185" s="209" t="n"/>
      <c r="Q185" s="209" t="n"/>
      <c r="R185" s="209" t="n"/>
      <c r="S185" s="209" t="n"/>
      <c r="T185" s="209" t="n"/>
      <c r="U185" s="209" t="n"/>
      <c r="V185" s="209" t="n"/>
      <c r="W185" s="209" t="n"/>
      <c r="X185" s="209" t="n"/>
      <c r="Y185" s="209" t="n"/>
      <c r="Z185" s="209" t="n"/>
      <c r="AA185" s="209" t="n"/>
    </row>
    <row r="186" ht="15.75" customHeight="1" s="230">
      <c r="A186" s="211" t="n"/>
      <c r="B186" s="211" t="n"/>
      <c r="C186" s="211" t="n"/>
      <c r="D186" s="211" t="n"/>
      <c r="E186" s="211" t="n"/>
      <c r="F186" s="213" t="n"/>
      <c r="G186" s="211" t="n"/>
      <c r="H186" s="211" t="n"/>
      <c r="I186" s="211" t="n"/>
      <c r="J186" s="209" t="n"/>
      <c r="K186" s="209" t="n"/>
      <c r="L186" s="209" t="n"/>
      <c r="M186" s="209" t="n"/>
      <c r="N186" s="209" t="n"/>
      <c r="O186" s="209" t="n"/>
      <c r="P186" s="209" t="n"/>
      <c r="Q186" s="209" t="n"/>
      <c r="R186" s="209" t="n"/>
      <c r="S186" s="209" t="n"/>
      <c r="T186" s="209" t="n"/>
      <c r="U186" s="209" t="n"/>
      <c r="V186" s="209" t="n"/>
      <c r="W186" s="209" t="n"/>
      <c r="X186" s="209" t="n"/>
      <c r="Y186" s="209" t="n"/>
      <c r="Z186" s="209" t="n"/>
      <c r="AA186" s="209" t="n"/>
    </row>
    <row r="187" ht="15.75" customHeight="1" s="230">
      <c r="A187" s="211" t="n"/>
      <c r="B187" s="211" t="n"/>
      <c r="C187" s="211" t="n"/>
      <c r="D187" s="211" t="n"/>
      <c r="E187" s="211" t="n"/>
      <c r="F187" s="213" t="n"/>
      <c r="G187" s="211" t="n"/>
      <c r="H187" s="211" t="n"/>
      <c r="I187" s="211" t="n"/>
      <c r="J187" s="209" t="n"/>
      <c r="K187" s="209" t="n"/>
      <c r="L187" s="209" t="n"/>
      <c r="M187" s="209" t="n"/>
      <c r="N187" s="209" t="n"/>
      <c r="O187" s="209" t="n"/>
      <c r="P187" s="209" t="n"/>
      <c r="Q187" s="209" t="n"/>
      <c r="R187" s="209" t="n"/>
      <c r="S187" s="209" t="n"/>
      <c r="T187" s="209" t="n"/>
      <c r="U187" s="209" t="n"/>
      <c r="V187" s="209" t="n"/>
      <c r="W187" s="209" t="n"/>
      <c r="X187" s="209" t="n"/>
      <c r="Y187" s="209" t="n"/>
      <c r="Z187" s="209" t="n"/>
      <c r="AA187" s="209" t="n"/>
    </row>
    <row r="188" ht="15.75" customHeight="1" s="230">
      <c r="A188" s="211" t="n"/>
      <c r="B188" s="211" t="n"/>
      <c r="C188" s="211" t="n"/>
      <c r="D188" s="211" t="n"/>
      <c r="E188" s="211" t="n"/>
      <c r="F188" s="213" t="n"/>
      <c r="G188" s="211" t="n"/>
      <c r="H188" s="211" t="n"/>
      <c r="I188" s="211" t="n"/>
      <c r="J188" s="209" t="n"/>
      <c r="K188" s="209" t="n"/>
      <c r="L188" s="209" t="n"/>
      <c r="M188" s="209" t="n"/>
      <c r="N188" s="209" t="n"/>
      <c r="O188" s="209" t="n"/>
      <c r="P188" s="209" t="n"/>
      <c r="Q188" s="209" t="n"/>
      <c r="R188" s="209" t="n"/>
      <c r="S188" s="209" t="n"/>
      <c r="T188" s="209" t="n"/>
      <c r="U188" s="209" t="n"/>
      <c r="V188" s="209" t="n"/>
      <c r="W188" s="209" t="n"/>
      <c r="X188" s="209" t="n"/>
      <c r="Y188" s="209" t="n"/>
      <c r="Z188" s="209" t="n"/>
      <c r="AA188" s="209" t="n"/>
    </row>
    <row r="189" ht="15.75" customHeight="1" s="230">
      <c r="A189" s="211" t="n"/>
      <c r="B189" s="211" t="n"/>
      <c r="C189" s="211" t="n"/>
      <c r="D189" s="211" t="n"/>
      <c r="E189" s="211" t="n"/>
      <c r="F189" s="213" t="n"/>
      <c r="G189" s="211" t="n"/>
      <c r="H189" s="211" t="n"/>
      <c r="I189" s="211" t="n"/>
      <c r="J189" s="209" t="n"/>
      <c r="K189" s="209" t="n"/>
      <c r="L189" s="209" t="n"/>
      <c r="M189" s="209" t="n"/>
      <c r="N189" s="209" t="n"/>
      <c r="O189" s="209" t="n"/>
      <c r="P189" s="209" t="n"/>
      <c r="Q189" s="209" t="n"/>
      <c r="R189" s="209" t="n"/>
      <c r="S189" s="209" t="n"/>
      <c r="T189" s="209" t="n"/>
      <c r="U189" s="209" t="n"/>
      <c r="V189" s="209" t="n"/>
      <c r="W189" s="209" t="n"/>
      <c r="X189" s="209" t="n"/>
      <c r="Y189" s="209" t="n"/>
      <c r="Z189" s="209" t="n"/>
      <c r="AA189" s="209" t="n"/>
    </row>
    <row r="190" ht="15.75" customHeight="1" s="230">
      <c r="A190" s="211" t="n"/>
      <c r="B190" s="211" t="n"/>
      <c r="C190" s="211" t="n"/>
      <c r="D190" s="211" t="n"/>
      <c r="E190" s="211" t="n"/>
      <c r="F190" s="213" t="n"/>
      <c r="G190" s="211" t="n"/>
      <c r="H190" s="211" t="n"/>
      <c r="I190" s="211" t="n"/>
      <c r="J190" s="209" t="n"/>
      <c r="K190" s="209" t="n"/>
      <c r="L190" s="209" t="n"/>
      <c r="M190" s="209" t="n"/>
      <c r="N190" s="209" t="n"/>
      <c r="O190" s="209" t="n"/>
      <c r="P190" s="209" t="n"/>
      <c r="Q190" s="209" t="n"/>
      <c r="R190" s="209" t="n"/>
      <c r="S190" s="209" t="n"/>
      <c r="T190" s="209" t="n"/>
      <c r="U190" s="209" t="n"/>
      <c r="V190" s="209" t="n"/>
      <c r="W190" s="209" t="n"/>
      <c r="X190" s="209" t="n"/>
      <c r="Y190" s="209" t="n"/>
      <c r="Z190" s="209" t="n"/>
      <c r="AA190" s="209" t="n"/>
    </row>
    <row r="191" ht="15.75" customHeight="1" s="230">
      <c r="A191" s="211" t="n"/>
      <c r="B191" s="211" t="n"/>
      <c r="C191" s="211" t="n"/>
      <c r="D191" s="211" t="n"/>
      <c r="E191" s="211" t="n"/>
      <c r="F191" s="213" t="n"/>
      <c r="G191" s="211" t="n"/>
      <c r="H191" s="211" t="n"/>
      <c r="I191" s="211" t="n"/>
      <c r="J191" s="209" t="n"/>
      <c r="K191" s="209" t="n"/>
      <c r="L191" s="209" t="n"/>
      <c r="M191" s="209" t="n"/>
      <c r="N191" s="209" t="n"/>
      <c r="O191" s="209" t="n"/>
      <c r="P191" s="209" t="n"/>
      <c r="Q191" s="209" t="n"/>
      <c r="R191" s="209" t="n"/>
      <c r="S191" s="209" t="n"/>
      <c r="T191" s="209" t="n"/>
      <c r="U191" s="209" t="n"/>
      <c r="V191" s="209" t="n"/>
      <c r="W191" s="209" t="n"/>
      <c r="X191" s="209" t="n"/>
      <c r="Y191" s="209" t="n"/>
      <c r="Z191" s="209" t="n"/>
      <c r="AA191" s="209" t="n"/>
    </row>
    <row r="192" ht="15.75" customHeight="1" s="230">
      <c r="A192" s="211" t="n"/>
      <c r="B192" s="211" t="n"/>
      <c r="C192" s="211" t="n"/>
      <c r="D192" s="211" t="n"/>
      <c r="E192" s="211" t="n"/>
      <c r="F192" s="213" t="n"/>
      <c r="G192" s="211" t="n"/>
      <c r="H192" s="211" t="n"/>
      <c r="I192" s="211" t="n"/>
      <c r="J192" s="209" t="n"/>
      <c r="K192" s="209" t="n"/>
      <c r="L192" s="209" t="n"/>
      <c r="M192" s="209" t="n"/>
      <c r="N192" s="209" t="n"/>
      <c r="O192" s="209" t="n"/>
      <c r="P192" s="209" t="n"/>
      <c r="Q192" s="209" t="n"/>
      <c r="R192" s="209" t="n"/>
      <c r="S192" s="209" t="n"/>
      <c r="T192" s="209" t="n"/>
      <c r="U192" s="209" t="n"/>
      <c r="V192" s="209" t="n"/>
      <c r="W192" s="209" t="n"/>
      <c r="X192" s="209" t="n"/>
      <c r="Y192" s="209" t="n"/>
      <c r="Z192" s="209" t="n"/>
      <c r="AA192" s="209" t="n"/>
    </row>
    <row r="193" ht="15.75" customHeight="1" s="230">
      <c r="A193" s="211" t="n"/>
      <c r="B193" s="211" t="n"/>
      <c r="C193" s="211" t="n"/>
      <c r="D193" s="211" t="n"/>
      <c r="E193" s="211" t="n"/>
      <c r="F193" s="213" t="n"/>
      <c r="G193" s="211" t="n"/>
      <c r="H193" s="211" t="n"/>
      <c r="I193" s="211" t="n"/>
      <c r="J193" s="209" t="n"/>
      <c r="K193" s="209" t="n"/>
      <c r="L193" s="209" t="n"/>
      <c r="M193" s="209" t="n"/>
      <c r="N193" s="209" t="n"/>
      <c r="O193" s="209" t="n"/>
      <c r="P193" s="209" t="n"/>
      <c r="Q193" s="209" t="n"/>
      <c r="R193" s="209" t="n"/>
      <c r="S193" s="209" t="n"/>
      <c r="T193" s="209" t="n"/>
      <c r="U193" s="209" t="n"/>
      <c r="V193" s="209" t="n"/>
      <c r="W193" s="209" t="n"/>
      <c r="X193" s="209" t="n"/>
      <c r="Y193" s="209" t="n"/>
      <c r="Z193" s="209" t="n"/>
      <c r="AA193" s="209" t="n"/>
    </row>
    <row r="194" ht="15.75" customHeight="1" s="230">
      <c r="A194" s="211" t="n"/>
      <c r="B194" s="211" t="n"/>
      <c r="C194" s="211" t="n"/>
      <c r="D194" s="211" t="n"/>
      <c r="E194" s="211" t="n"/>
      <c r="F194" s="213" t="n"/>
      <c r="G194" s="211" t="n"/>
      <c r="H194" s="211" t="n"/>
      <c r="I194" s="211" t="n"/>
      <c r="J194" s="209" t="n"/>
      <c r="K194" s="209" t="n"/>
      <c r="L194" s="209" t="n"/>
      <c r="M194" s="209" t="n"/>
      <c r="N194" s="209" t="n"/>
      <c r="O194" s="209" t="n"/>
      <c r="P194" s="209" t="n"/>
      <c r="Q194" s="209" t="n"/>
      <c r="R194" s="209" t="n"/>
      <c r="S194" s="209" t="n"/>
      <c r="T194" s="209" t="n"/>
      <c r="U194" s="209" t="n"/>
      <c r="V194" s="209" t="n"/>
      <c r="W194" s="209" t="n"/>
      <c r="X194" s="209" t="n"/>
      <c r="Y194" s="209" t="n"/>
      <c r="Z194" s="209" t="n"/>
      <c r="AA194" s="209" t="n"/>
    </row>
    <row r="195" ht="15.75" customHeight="1" s="230">
      <c r="A195" s="211" t="n"/>
      <c r="B195" s="211" t="n"/>
      <c r="C195" s="211" t="n"/>
      <c r="D195" s="211" t="n"/>
      <c r="E195" s="211" t="n"/>
      <c r="F195" s="213" t="n"/>
      <c r="G195" s="211" t="n"/>
      <c r="H195" s="211" t="n"/>
      <c r="I195" s="211" t="n"/>
      <c r="J195" s="209" t="n"/>
      <c r="K195" s="209" t="n"/>
      <c r="L195" s="209" t="n"/>
      <c r="M195" s="209" t="n"/>
      <c r="N195" s="209" t="n"/>
      <c r="O195" s="209" t="n"/>
      <c r="P195" s="209" t="n"/>
      <c r="Q195" s="209" t="n"/>
      <c r="R195" s="209" t="n"/>
      <c r="S195" s="209" t="n"/>
      <c r="T195" s="209" t="n"/>
      <c r="U195" s="209" t="n"/>
      <c r="V195" s="209" t="n"/>
      <c r="W195" s="209" t="n"/>
      <c r="X195" s="209" t="n"/>
      <c r="Y195" s="209" t="n"/>
      <c r="Z195" s="209" t="n"/>
      <c r="AA195" s="209" t="n"/>
    </row>
    <row r="196" ht="15.75" customHeight="1" s="230">
      <c r="A196" s="211" t="n"/>
      <c r="B196" s="211" t="n"/>
      <c r="C196" s="211" t="n"/>
      <c r="D196" s="211" t="n"/>
      <c r="E196" s="211" t="n"/>
      <c r="F196" s="213" t="n"/>
      <c r="G196" s="211" t="n"/>
      <c r="H196" s="211" t="n"/>
      <c r="I196" s="211" t="n"/>
      <c r="J196" s="209" t="n"/>
      <c r="K196" s="209" t="n"/>
      <c r="L196" s="209" t="n"/>
      <c r="M196" s="209" t="n"/>
      <c r="N196" s="209" t="n"/>
      <c r="O196" s="209" t="n"/>
      <c r="P196" s="209" t="n"/>
      <c r="Q196" s="209" t="n"/>
      <c r="R196" s="209" t="n"/>
      <c r="S196" s="209" t="n"/>
      <c r="T196" s="209" t="n"/>
      <c r="U196" s="209" t="n"/>
      <c r="V196" s="209" t="n"/>
      <c r="W196" s="209" t="n"/>
      <c r="X196" s="209" t="n"/>
      <c r="Y196" s="209" t="n"/>
      <c r="Z196" s="209" t="n"/>
      <c r="AA196" s="209" t="n"/>
    </row>
    <row r="197" ht="15.75" customHeight="1" s="230">
      <c r="A197" s="211" t="n"/>
      <c r="B197" s="211" t="n"/>
      <c r="C197" s="211" t="n"/>
      <c r="D197" s="211" t="n"/>
      <c r="E197" s="211" t="n"/>
      <c r="F197" s="213" t="n"/>
      <c r="G197" s="211" t="n"/>
      <c r="H197" s="211" t="n"/>
      <c r="I197" s="211" t="n"/>
      <c r="J197" s="209" t="n"/>
      <c r="K197" s="209" t="n"/>
      <c r="L197" s="209" t="n"/>
      <c r="M197" s="209" t="n"/>
      <c r="N197" s="209" t="n"/>
      <c r="O197" s="209" t="n"/>
      <c r="P197" s="209" t="n"/>
      <c r="Q197" s="209" t="n"/>
      <c r="R197" s="209" t="n"/>
      <c r="S197" s="209" t="n"/>
      <c r="T197" s="209" t="n"/>
      <c r="U197" s="209" t="n"/>
      <c r="V197" s="209" t="n"/>
      <c r="W197" s="209" t="n"/>
      <c r="X197" s="209" t="n"/>
      <c r="Y197" s="209" t="n"/>
      <c r="Z197" s="209" t="n"/>
      <c r="AA197" s="209" t="n"/>
    </row>
    <row r="198" ht="15.75" customHeight="1" s="230">
      <c r="A198" s="211" t="n"/>
      <c r="B198" s="211" t="n"/>
      <c r="C198" s="211" t="n"/>
      <c r="D198" s="211" t="n"/>
      <c r="E198" s="211" t="n"/>
      <c r="F198" s="213" t="n"/>
      <c r="G198" s="211" t="n"/>
      <c r="H198" s="211" t="n"/>
      <c r="I198" s="211" t="n"/>
      <c r="J198" s="209" t="n"/>
      <c r="K198" s="209" t="n"/>
      <c r="L198" s="209" t="n"/>
      <c r="M198" s="209" t="n"/>
      <c r="N198" s="209" t="n"/>
      <c r="O198" s="209" t="n"/>
      <c r="P198" s="209" t="n"/>
      <c r="Q198" s="209" t="n"/>
      <c r="R198" s="209" t="n"/>
      <c r="S198" s="209" t="n"/>
      <c r="T198" s="209" t="n"/>
      <c r="U198" s="209" t="n"/>
      <c r="V198" s="209" t="n"/>
      <c r="W198" s="209" t="n"/>
      <c r="X198" s="209" t="n"/>
      <c r="Y198" s="209" t="n"/>
      <c r="Z198" s="209" t="n"/>
      <c r="AA198" s="209" t="n"/>
    </row>
    <row r="199" ht="15.75" customHeight="1" s="230">
      <c r="A199" s="211" t="n"/>
      <c r="B199" s="211" t="n"/>
      <c r="C199" s="211" t="n"/>
      <c r="D199" s="211" t="n"/>
      <c r="E199" s="211" t="n"/>
      <c r="F199" s="213" t="n"/>
      <c r="G199" s="211" t="n"/>
      <c r="H199" s="211" t="n"/>
      <c r="I199" s="211" t="n"/>
      <c r="J199" s="209" t="n"/>
      <c r="K199" s="209" t="n"/>
      <c r="L199" s="209" t="n"/>
      <c r="M199" s="209" t="n"/>
      <c r="N199" s="209" t="n"/>
      <c r="O199" s="209" t="n"/>
      <c r="P199" s="209" t="n"/>
      <c r="Q199" s="209" t="n"/>
      <c r="R199" s="209" t="n"/>
      <c r="S199" s="209" t="n"/>
      <c r="T199" s="209" t="n"/>
      <c r="U199" s="209" t="n"/>
      <c r="V199" s="209" t="n"/>
      <c r="W199" s="209" t="n"/>
      <c r="X199" s="209" t="n"/>
      <c r="Y199" s="209" t="n"/>
      <c r="Z199" s="209" t="n"/>
      <c r="AA199" s="209" t="n"/>
    </row>
    <row r="200" ht="15.75" customHeight="1" s="230">
      <c r="A200" s="211" t="n"/>
      <c r="B200" s="211" t="n"/>
      <c r="C200" s="211" t="n"/>
      <c r="D200" s="211" t="n"/>
      <c r="E200" s="211" t="n"/>
      <c r="F200" s="213" t="n"/>
      <c r="G200" s="211" t="n"/>
      <c r="H200" s="211" t="n"/>
      <c r="I200" s="211" t="n"/>
      <c r="J200" s="209" t="n"/>
      <c r="K200" s="209" t="n"/>
      <c r="L200" s="209" t="n"/>
      <c r="M200" s="209" t="n"/>
      <c r="N200" s="209" t="n"/>
      <c r="O200" s="209" t="n"/>
      <c r="P200" s="209" t="n"/>
      <c r="Q200" s="209" t="n"/>
      <c r="R200" s="209" t="n"/>
      <c r="S200" s="209" t="n"/>
      <c r="T200" s="209" t="n"/>
      <c r="U200" s="209" t="n"/>
      <c r="V200" s="209" t="n"/>
      <c r="W200" s="209" t="n"/>
      <c r="X200" s="209" t="n"/>
      <c r="Y200" s="209" t="n"/>
      <c r="Z200" s="209" t="n"/>
      <c r="AA200" s="209" t="n"/>
    </row>
    <row r="201" ht="15.75" customHeight="1" s="230">
      <c r="A201" s="211" t="n"/>
      <c r="B201" s="211" t="n"/>
      <c r="C201" s="211" t="n"/>
      <c r="D201" s="211" t="n"/>
      <c r="E201" s="211" t="n"/>
      <c r="F201" s="213" t="n"/>
      <c r="G201" s="211" t="n"/>
      <c r="H201" s="211" t="n"/>
      <c r="I201" s="211" t="n"/>
      <c r="J201" s="209" t="n"/>
      <c r="K201" s="209" t="n"/>
      <c r="L201" s="209" t="n"/>
      <c r="M201" s="209" t="n"/>
      <c r="N201" s="209" t="n"/>
      <c r="O201" s="209" t="n"/>
      <c r="P201" s="209" t="n"/>
      <c r="Q201" s="209" t="n"/>
      <c r="R201" s="209" t="n"/>
      <c r="S201" s="209" t="n"/>
      <c r="T201" s="209" t="n"/>
      <c r="U201" s="209" t="n"/>
      <c r="V201" s="209" t="n"/>
      <c r="W201" s="209" t="n"/>
      <c r="X201" s="209" t="n"/>
      <c r="Y201" s="209" t="n"/>
      <c r="Z201" s="209" t="n"/>
      <c r="AA201" s="209" t="n"/>
    </row>
    <row r="202" ht="15.75" customHeight="1" s="230">
      <c r="A202" s="211" t="n"/>
      <c r="B202" s="211" t="n"/>
      <c r="C202" s="211" t="n"/>
      <c r="D202" s="211" t="n"/>
      <c r="E202" s="211" t="n"/>
      <c r="F202" s="213" t="n"/>
      <c r="G202" s="211" t="n"/>
      <c r="H202" s="211" t="n"/>
      <c r="I202" s="211" t="n"/>
      <c r="J202" s="209" t="n"/>
      <c r="K202" s="209" t="n"/>
      <c r="L202" s="209" t="n"/>
      <c r="M202" s="209" t="n"/>
      <c r="N202" s="209" t="n"/>
      <c r="O202" s="209" t="n"/>
      <c r="P202" s="209" t="n"/>
      <c r="Q202" s="209" t="n"/>
      <c r="R202" s="209" t="n"/>
      <c r="S202" s="209" t="n"/>
      <c r="T202" s="209" t="n"/>
      <c r="U202" s="209" t="n"/>
      <c r="V202" s="209" t="n"/>
      <c r="W202" s="209" t="n"/>
      <c r="X202" s="209" t="n"/>
      <c r="Y202" s="209" t="n"/>
      <c r="Z202" s="209" t="n"/>
      <c r="AA202" s="209" t="n"/>
    </row>
    <row r="203" ht="15.75" customHeight="1" s="230">
      <c r="A203" s="211" t="n"/>
      <c r="B203" s="211" t="n"/>
      <c r="C203" s="211" t="n"/>
      <c r="D203" s="211" t="n"/>
      <c r="E203" s="211" t="n"/>
      <c r="F203" s="213" t="n"/>
      <c r="G203" s="211" t="n"/>
      <c r="H203" s="211" t="n"/>
      <c r="I203" s="211" t="n"/>
      <c r="J203" s="209" t="n"/>
      <c r="K203" s="209" t="n"/>
      <c r="L203" s="209" t="n"/>
      <c r="M203" s="209" t="n"/>
      <c r="N203" s="209" t="n"/>
      <c r="O203" s="209" t="n"/>
      <c r="P203" s="209" t="n"/>
      <c r="Q203" s="209" t="n"/>
      <c r="R203" s="209" t="n"/>
      <c r="S203" s="209" t="n"/>
      <c r="T203" s="209" t="n"/>
      <c r="U203" s="209" t="n"/>
      <c r="V203" s="209" t="n"/>
      <c r="W203" s="209" t="n"/>
      <c r="X203" s="209" t="n"/>
      <c r="Y203" s="209" t="n"/>
      <c r="Z203" s="209" t="n"/>
      <c r="AA203" s="209" t="n"/>
    </row>
    <row r="204" ht="15.75" customHeight="1" s="230">
      <c r="A204" s="211" t="n"/>
      <c r="B204" s="211" t="n"/>
      <c r="C204" s="211" t="n"/>
      <c r="D204" s="211" t="n"/>
      <c r="E204" s="211" t="n"/>
      <c r="F204" s="213" t="n"/>
      <c r="G204" s="211" t="n"/>
      <c r="H204" s="211" t="n"/>
      <c r="I204" s="211" t="n"/>
      <c r="J204" s="209" t="n"/>
      <c r="K204" s="209" t="n"/>
      <c r="L204" s="209" t="n"/>
      <c r="M204" s="209" t="n"/>
      <c r="N204" s="209" t="n"/>
      <c r="O204" s="209" t="n"/>
      <c r="P204" s="209" t="n"/>
      <c r="Q204" s="209" t="n"/>
      <c r="R204" s="209" t="n"/>
      <c r="S204" s="209" t="n"/>
      <c r="T204" s="209" t="n"/>
      <c r="U204" s="209" t="n"/>
      <c r="V204" s="209" t="n"/>
      <c r="W204" s="209" t="n"/>
      <c r="X204" s="209" t="n"/>
      <c r="Y204" s="209" t="n"/>
      <c r="Z204" s="209" t="n"/>
      <c r="AA204" s="209" t="n"/>
    </row>
    <row r="205" ht="15.75" customHeight="1" s="230">
      <c r="A205" s="211" t="n"/>
      <c r="B205" s="211" t="n"/>
      <c r="C205" s="211" t="n"/>
      <c r="D205" s="211" t="n"/>
      <c r="E205" s="211" t="n"/>
      <c r="F205" s="213" t="n"/>
      <c r="G205" s="211" t="n"/>
      <c r="H205" s="211" t="n"/>
      <c r="I205" s="211" t="n"/>
      <c r="J205" s="209" t="n"/>
      <c r="K205" s="209" t="n"/>
      <c r="L205" s="209" t="n"/>
      <c r="M205" s="209" t="n"/>
      <c r="N205" s="209" t="n"/>
      <c r="O205" s="209" t="n"/>
      <c r="P205" s="209" t="n"/>
      <c r="Q205" s="209" t="n"/>
      <c r="R205" s="209" t="n"/>
      <c r="S205" s="209" t="n"/>
      <c r="T205" s="209" t="n"/>
      <c r="U205" s="209" t="n"/>
      <c r="V205" s="209" t="n"/>
      <c r="W205" s="209" t="n"/>
      <c r="X205" s="209" t="n"/>
      <c r="Y205" s="209" t="n"/>
      <c r="Z205" s="209" t="n"/>
      <c r="AA205" s="209" t="n"/>
    </row>
    <row r="206" ht="15.75" customHeight="1" s="230">
      <c r="A206" s="211" t="n"/>
      <c r="B206" s="211" t="n"/>
      <c r="C206" s="211" t="n"/>
      <c r="D206" s="211" t="n"/>
      <c r="E206" s="211" t="n"/>
      <c r="F206" s="213" t="n"/>
      <c r="G206" s="211" t="n"/>
      <c r="H206" s="211" t="n"/>
      <c r="I206" s="211" t="n"/>
      <c r="J206" s="209" t="n"/>
      <c r="K206" s="209" t="n"/>
      <c r="L206" s="209" t="n"/>
      <c r="M206" s="209" t="n"/>
      <c r="N206" s="209" t="n"/>
      <c r="O206" s="209" t="n"/>
      <c r="P206" s="209" t="n"/>
      <c r="Q206" s="209" t="n"/>
      <c r="R206" s="209" t="n"/>
      <c r="S206" s="209" t="n"/>
      <c r="T206" s="209" t="n"/>
      <c r="U206" s="209" t="n"/>
      <c r="V206" s="209" t="n"/>
      <c r="W206" s="209" t="n"/>
      <c r="X206" s="209" t="n"/>
      <c r="Y206" s="209" t="n"/>
      <c r="Z206" s="209" t="n"/>
      <c r="AA206" s="209" t="n"/>
    </row>
    <row r="207" ht="15.75" customHeight="1" s="230">
      <c r="A207" s="211" t="n"/>
      <c r="B207" s="211" t="n"/>
      <c r="C207" s="211" t="n"/>
      <c r="D207" s="211" t="n"/>
      <c r="E207" s="211" t="n"/>
      <c r="F207" s="213" t="n"/>
      <c r="G207" s="211" t="n"/>
      <c r="H207" s="211" t="n"/>
      <c r="I207" s="211" t="n"/>
      <c r="J207" s="209" t="n"/>
      <c r="K207" s="209" t="n"/>
      <c r="L207" s="209" t="n"/>
      <c r="M207" s="209" t="n"/>
      <c r="N207" s="209" t="n"/>
      <c r="O207" s="209" t="n"/>
      <c r="P207" s="209" t="n"/>
      <c r="Q207" s="209" t="n"/>
      <c r="R207" s="209" t="n"/>
      <c r="S207" s="209" t="n"/>
      <c r="T207" s="209" t="n"/>
      <c r="U207" s="209" t="n"/>
      <c r="V207" s="209" t="n"/>
      <c r="W207" s="209" t="n"/>
      <c r="X207" s="209" t="n"/>
      <c r="Y207" s="209" t="n"/>
      <c r="Z207" s="209" t="n"/>
      <c r="AA207" s="209" t="n"/>
    </row>
    <row r="208" ht="15.75" customHeight="1" s="230">
      <c r="A208" s="211" t="n"/>
      <c r="B208" s="211" t="n"/>
      <c r="C208" s="211" t="n"/>
      <c r="D208" s="211" t="n"/>
      <c r="E208" s="211" t="n"/>
      <c r="F208" s="213" t="n"/>
      <c r="G208" s="211" t="n"/>
      <c r="H208" s="211" t="n"/>
      <c r="I208" s="211" t="n"/>
      <c r="J208" s="209" t="n"/>
      <c r="K208" s="209" t="n"/>
      <c r="L208" s="209" t="n"/>
      <c r="M208" s="209" t="n"/>
      <c r="N208" s="209" t="n"/>
      <c r="O208" s="209" t="n"/>
      <c r="P208" s="209" t="n"/>
      <c r="Q208" s="209" t="n"/>
      <c r="R208" s="209" t="n"/>
      <c r="S208" s="209" t="n"/>
      <c r="T208" s="209" t="n"/>
      <c r="U208" s="209" t="n"/>
      <c r="V208" s="209" t="n"/>
      <c r="W208" s="209" t="n"/>
      <c r="X208" s="209" t="n"/>
      <c r="Y208" s="209" t="n"/>
      <c r="Z208" s="209" t="n"/>
      <c r="AA208" s="209" t="n"/>
    </row>
    <row r="209" ht="15.75" customHeight="1" s="230">
      <c r="A209" s="211" t="n"/>
      <c r="B209" s="211" t="n"/>
      <c r="C209" s="211" t="n"/>
      <c r="D209" s="211" t="n"/>
      <c r="E209" s="211" t="n"/>
      <c r="F209" s="213" t="n"/>
      <c r="G209" s="211" t="n"/>
      <c r="H209" s="211" t="n"/>
      <c r="I209" s="211" t="n"/>
      <c r="J209" s="209" t="n"/>
      <c r="K209" s="209" t="n"/>
      <c r="L209" s="209" t="n"/>
      <c r="M209" s="209" t="n"/>
      <c r="N209" s="209" t="n"/>
      <c r="O209" s="209" t="n"/>
      <c r="P209" s="209" t="n"/>
      <c r="Q209" s="209" t="n"/>
      <c r="R209" s="209" t="n"/>
      <c r="S209" s="209" t="n"/>
      <c r="T209" s="209" t="n"/>
      <c r="U209" s="209" t="n"/>
      <c r="V209" s="209" t="n"/>
      <c r="W209" s="209" t="n"/>
      <c r="X209" s="209" t="n"/>
      <c r="Y209" s="209" t="n"/>
      <c r="Z209" s="209" t="n"/>
      <c r="AA209" s="209" t="n"/>
    </row>
    <row r="210" ht="15.75" customHeight="1" s="230">
      <c r="A210" s="211" t="n"/>
      <c r="B210" s="211" t="n"/>
      <c r="C210" s="211" t="n"/>
      <c r="D210" s="211" t="n"/>
      <c r="E210" s="211" t="n"/>
      <c r="F210" s="213" t="n"/>
      <c r="G210" s="211" t="n"/>
      <c r="H210" s="211" t="n"/>
      <c r="I210" s="211" t="n"/>
      <c r="J210" s="209" t="n"/>
      <c r="K210" s="209" t="n"/>
      <c r="L210" s="209" t="n"/>
      <c r="M210" s="209" t="n"/>
      <c r="N210" s="209" t="n"/>
      <c r="O210" s="209" t="n"/>
      <c r="P210" s="209" t="n"/>
      <c r="Q210" s="209" t="n"/>
      <c r="R210" s="209" t="n"/>
      <c r="S210" s="209" t="n"/>
      <c r="T210" s="209" t="n"/>
      <c r="U210" s="209" t="n"/>
      <c r="V210" s="209" t="n"/>
      <c r="W210" s="209" t="n"/>
      <c r="X210" s="209" t="n"/>
      <c r="Y210" s="209" t="n"/>
      <c r="Z210" s="209" t="n"/>
      <c r="AA210" s="209" t="n"/>
    </row>
    <row r="211" ht="15.75" customHeight="1" s="230">
      <c r="A211" s="211" t="n"/>
      <c r="B211" s="211" t="n"/>
      <c r="C211" s="211" t="n"/>
      <c r="D211" s="211" t="n"/>
      <c r="E211" s="211" t="n"/>
      <c r="F211" s="213" t="n"/>
      <c r="G211" s="211" t="n"/>
      <c r="H211" s="211" t="n"/>
      <c r="I211" s="211" t="n"/>
      <c r="J211" s="209" t="n"/>
      <c r="K211" s="209" t="n"/>
      <c r="L211" s="209" t="n"/>
      <c r="M211" s="209" t="n"/>
      <c r="N211" s="209" t="n"/>
      <c r="O211" s="209" t="n"/>
      <c r="P211" s="209" t="n"/>
      <c r="Q211" s="209" t="n"/>
      <c r="R211" s="209" t="n"/>
      <c r="S211" s="209" t="n"/>
      <c r="T211" s="209" t="n"/>
      <c r="U211" s="209" t="n"/>
      <c r="V211" s="209" t="n"/>
      <c r="W211" s="209" t="n"/>
      <c r="X211" s="209" t="n"/>
      <c r="Y211" s="209" t="n"/>
      <c r="Z211" s="209" t="n"/>
      <c r="AA211" s="209" t="n"/>
    </row>
    <row r="212" ht="15.75" customHeight="1" s="230">
      <c r="A212" s="211" t="n"/>
      <c r="B212" s="211" t="n"/>
      <c r="C212" s="211" t="n"/>
      <c r="D212" s="211" t="n"/>
      <c r="E212" s="211" t="n"/>
      <c r="F212" s="213" t="n"/>
      <c r="G212" s="211" t="n"/>
      <c r="H212" s="211" t="n"/>
      <c r="I212" s="211" t="n"/>
      <c r="J212" s="209" t="n"/>
      <c r="K212" s="209" t="n"/>
      <c r="L212" s="209" t="n"/>
      <c r="M212" s="209" t="n"/>
      <c r="N212" s="209" t="n"/>
      <c r="O212" s="209" t="n"/>
      <c r="P212" s="209" t="n"/>
      <c r="Q212" s="209" t="n"/>
      <c r="R212" s="209" t="n"/>
      <c r="S212" s="209" t="n"/>
      <c r="T212" s="209" t="n"/>
      <c r="U212" s="209" t="n"/>
      <c r="V212" s="209" t="n"/>
      <c r="W212" s="209" t="n"/>
      <c r="X212" s="209" t="n"/>
      <c r="Y212" s="209" t="n"/>
      <c r="Z212" s="209" t="n"/>
      <c r="AA212" s="209" t="n"/>
    </row>
    <row r="213" ht="15.75" customHeight="1" s="230">
      <c r="A213" s="211" t="n"/>
      <c r="B213" s="211" t="n"/>
      <c r="C213" s="211" t="n"/>
      <c r="D213" s="211" t="n"/>
      <c r="E213" s="211" t="n"/>
      <c r="F213" s="213" t="n"/>
      <c r="G213" s="211" t="n"/>
      <c r="H213" s="211" t="n"/>
      <c r="I213" s="211" t="n"/>
      <c r="J213" s="209" t="n"/>
      <c r="K213" s="209" t="n"/>
      <c r="L213" s="209" t="n"/>
      <c r="M213" s="209" t="n"/>
      <c r="N213" s="209" t="n"/>
      <c r="O213" s="209" t="n"/>
      <c r="P213" s="209" t="n"/>
      <c r="Q213" s="209" t="n"/>
      <c r="R213" s="209" t="n"/>
      <c r="S213" s="209" t="n"/>
      <c r="T213" s="209" t="n"/>
      <c r="U213" s="209" t="n"/>
      <c r="V213" s="209" t="n"/>
      <c r="W213" s="209" t="n"/>
      <c r="X213" s="209" t="n"/>
      <c r="Y213" s="209" t="n"/>
      <c r="Z213" s="209" t="n"/>
      <c r="AA213" s="209" t="n"/>
    </row>
    <row r="214" ht="15.75" customHeight="1" s="230">
      <c r="A214" s="211" t="n"/>
      <c r="B214" s="211" t="n"/>
      <c r="C214" s="211" t="n"/>
      <c r="D214" s="211" t="n"/>
      <c r="E214" s="211" t="n"/>
      <c r="F214" s="213" t="n"/>
      <c r="G214" s="211" t="n"/>
      <c r="H214" s="211" t="n"/>
      <c r="I214" s="211" t="n"/>
      <c r="J214" s="209" t="n"/>
      <c r="K214" s="209" t="n"/>
      <c r="L214" s="209" t="n"/>
      <c r="M214" s="209" t="n"/>
      <c r="N214" s="209" t="n"/>
      <c r="O214" s="209" t="n"/>
      <c r="P214" s="209" t="n"/>
      <c r="Q214" s="209" t="n"/>
      <c r="R214" s="209" t="n"/>
      <c r="S214" s="209" t="n"/>
      <c r="T214" s="209" t="n"/>
      <c r="U214" s="209" t="n"/>
      <c r="V214" s="209" t="n"/>
      <c r="W214" s="209" t="n"/>
      <c r="X214" s="209" t="n"/>
      <c r="Y214" s="209" t="n"/>
      <c r="Z214" s="209" t="n"/>
      <c r="AA214" s="209" t="n"/>
    </row>
    <row r="215" ht="15.75" customHeight="1" s="230">
      <c r="A215" s="211" t="n"/>
      <c r="B215" s="211" t="n"/>
      <c r="C215" s="211" t="n"/>
      <c r="D215" s="211" t="n"/>
      <c r="E215" s="211" t="n"/>
      <c r="F215" s="213" t="n"/>
      <c r="G215" s="211" t="n"/>
      <c r="H215" s="211" t="n"/>
      <c r="I215" s="211" t="n"/>
      <c r="J215" s="209" t="n"/>
      <c r="K215" s="209" t="n"/>
      <c r="L215" s="209" t="n"/>
      <c r="M215" s="209" t="n"/>
      <c r="N215" s="209" t="n"/>
      <c r="O215" s="209" t="n"/>
      <c r="P215" s="209" t="n"/>
      <c r="Q215" s="209" t="n"/>
      <c r="R215" s="209" t="n"/>
      <c r="S215" s="209" t="n"/>
      <c r="T215" s="209" t="n"/>
      <c r="U215" s="209" t="n"/>
      <c r="V215" s="209" t="n"/>
      <c r="W215" s="209" t="n"/>
      <c r="X215" s="209" t="n"/>
      <c r="Y215" s="209" t="n"/>
      <c r="Z215" s="209" t="n"/>
      <c r="AA215" s="209" t="n"/>
    </row>
    <row r="216" ht="15.75" customHeight="1" s="230">
      <c r="A216" s="211" t="n"/>
      <c r="B216" s="211" t="n"/>
      <c r="C216" s="211" t="n"/>
      <c r="D216" s="211" t="n"/>
      <c r="E216" s="211" t="n"/>
      <c r="F216" s="213" t="n"/>
      <c r="G216" s="211" t="n"/>
      <c r="H216" s="211" t="n"/>
      <c r="I216" s="211" t="n"/>
      <c r="J216" s="209" t="n"/>
      <c r="K216" s="209" t="n"/>
      <c r="L216" s="209" t="n"/>
      <c r="M216" s="209" t="n"/>
      <c r="N216" s="209" t="n"/>
      <c r="O216" s="209" t="n"/>
      <c r="P216" s="209" t="n"/>
      <c r="Q216" s="209" t="n"/>
      <c r="R216" s="209" t="n"/>
      <c r="S216" s="209" t="n"/>
      <c r="T216" s="209" t="n"/>
      <c r="U216" s="209" t="n"/>
      <c r="V216" s="209" t="n"/>
      <c r="W216" s="209" t="n"/>
      <c r="X216" s="209" t="n"/>
      <c r="Y216" s="209" t="n"/>
      <c r="Z216" s="209" t="n"/>
      <c r="AA216" s="209" t="n"/>
    </row>
    <row r="217" ht="15.75" customHeight="1" s="230">
      <c r="A217" s="211" t="n"/>
      <c r="B217" s="211" t="n"/>
      <c r="C217" s="211" t="n"/>
      <c r="D217" s="211" t="n"/>
      <c r="E217" s="211" t="n"/>
      <c r="F217" s="213" t="n"/>
      <c r="G217" s="211" t="n"/>
      <c r="H217" s="211" t="n"/>
      <c r="I217" s="211" t="n"/>
      <c r="J217" s="209" t="n"/>
      <c r="K217" s="209" t="n"/>
      <c r="L217" s="209" t="n"/>
      <c r="M217" s="209" t="n"/>
      <c r="N217" s="209" t="n"/>
      <c r="O217" s="209" t="n"/>
      <c r="P217" s="209" t="n"/>
      <c r="Q217" s="209" t="n"/>
      <c r="R217" s="209" t="n"/>
      <c r="S217" s="209" t="n"/>
      <c r="T217" s="209" t="n"/>
      <c r="U217" s="209" t="n"/>
      <c r="V217" s="209" t="n"/>
      <c r="W217" s="209" t="n"/>
      <c r="X217" s="209" t="n"/>
      <c r="Y217" s="209" t="n"/>
      <c r="Z217" s="209" t="n"/>
      <c r="AA217" s="209" t="n"/>
    </row>
    <row r="218" ht="15.75" customHeight="1" s="230">
      <c r="A218" s="211" t="n"/>
      <c r="B218" s="211" t="n"/>
      <c r="C218" s="211" t="n"/>
      <c r="D218" s="211" t="n"/>
      <c r="E218" s="211" t="n"/>
      <c r="F218" s="213" t="n"/>
      <c r="G218" s="211" t="n"/>
      <c r="H218" s="211" t="n"/>
      <c r="I218" s="211" t="n"/>
      <c r="J218" s="209" t="n"/>
      <c r="K218" s="209" t="n"/>
      <c r="L218" s="209" t="n"/>
      <c r="M218" s="209" t="n"/>
      <c r="N218" s="209" t="n"/>
      <c r="O218" s="209" t="n"/>
      <c r="P218" s="209" t="n"/>
      <c r="Q218" s="209" t="n"/>
      <c r="R218" s="209" t="n"/>
      <c r="S218" s="209" t="n"/>
      <c r="T218" s="209" t="n"/>
      <c r="U218" s="209" t="n"/>
      <c r="V218" s="209" t="n"/>
      <c r="W218" s="209" t="n"/>
      <c r="X218" s="209" t="n"/>
      <c r="Y218" s="209" t="n"/>
      <c r="Z218" s="209" t="n"/>
      <c r="AA218" s="209" t="n"/>
    </row>
    <row r="219" ht="15.75" customHeight="1" s="230">
      <c r="A219" s="211" t="n"/>
      <c r="B219" s="211" t="n"/>
      <c r="C219" s="211" t="n"/>
      <c r="D219" s="211" t="n"/>
      <c r="E219" s="211" t="n"/>
      <c r="F219" s="213" t="n"/>
      <c r="G219" s="211" t="n"/>
      <c r="H219" s="211" t="n"/>
      <c r="I219" s="211" t="n"/>
      <c r="J219" s="209" t="n"/>
      <c r="K219" s="209" t="n"/>
      <c r="L219" s="209" t="n"/>
      <c r="M219" s="209" t="n"/>
      <c r="N219" s="209" t="n"/>
      <c r="O219" s="209" t="n"/>
      <c r="P219" s="209" t="n"/>
      <c r="Q219" s="209" t="n"/>
      <c r="R219" s="209" t="n"/>
      <c r="S219" s="209" t="n"/>
      <c r="T219" s="209" t="n"/>
      <c r="U219" s="209" t="n"/>
      <c r="V219" s="209" t="n"/>
      <c r="W219" s="209" t="n"/>
      <c r="X219" s="209" t="n"/>
      <c r="Y219" s="209" t="n"/>
      <c r="Z219" s="209" t="n"/>
      <c r="AA219" s="209" t="n"/>
    </row>
    <row r="220" ht="15.75" customHeight="1" s="230">
      <c r="A220" s="211" t="n"/>
      <c r="B220" s="211" t="n"/>
      <c r="C220" s="211" t="n"/>
      <c r="D220" s="211" t="n"/>
      <c r="E220" s="211" t="n"/>
      <c r="F220" s="213" t="n"/>
      <c r="G220" s="211" t="n"/>
      <c r="H220" s="211" t="n"/>
      <c r="I220" s="211" t="n"/>
      <c r="J220" s="209" t="n"/>
      <c r="K220" s="209" t="n"/>
      <c r="L220" s="209" t="n"/>
      <c r="M220" s="209" t="n"/>
      <c r="N220" s="209" t="n"/>
      <c r="O220" s="209" t="n"/>
      <c r="P220" s="209" t="n"/>
      <c r="Q220" s="209" t="n"/>
      <c r="R220" s="209" t="n"/>
      <c r="S220" s="209" t="n"/>
      <c r="T220" s="209" t="n"/>
      <c r="U220" s="209" t="n"/>
      <c r="V220" s="209" t="n"/>
      <c r="W220" s="209" t="n"/>
      <c r="X220" s="209" t="n"/>
      <c r="Y220" s="209" t="n"/>
      <c r="Z220" s="209" t="n"/>
      <c r="AA220" s="209" t="n"/>
    </row>
    <row r="221" ht="15.75" customHeight="1" s="230">
      <c r="A221" s="211" t="n"/>
      <c r="B221" s="211" t="n"/>
      <c r="C221" s="211" t="n"/>
      <c r="D221" s="211" t="n"/>
      <c r="E221" s="211" t="n"/>
      <c r="F221" s="213" t="n"/>
      <c r="G221" s="211" t="n"/>
      <c r="H221" s="211" t="n"/>
      <c r="I221" s="211" t="n"/>
      <c r="J221" s="209" t="n"/>
      <c r="K221" s="209" t="n"/>
      <c r="L221" s="209" t="n"/>
      <c r="M221" s="209" t="n"/>
      <c r="N221" s="209" t="n"/>
      <c r="O221" s="209" t="n"/>
      <c r="P221" s="209" t="n"/>
      <c r="Q221" s="209" t="n"/>
      <c r="R221" s="209" t="n"/>
      <c r="S221" s="209" t="n"/>
      <c r="T221" s="209" t="n"/>
      <c r="U221" s="209" t="n"/>
      <c r="V221" s="209" t="n"/>
      <c r="W221" s="209" t="n"/>
      <c r="X221" s="209" t="n"/>
      <c r="Y221" s="209" t="n"/>
      <c r="Z221" s="209" t="n"/>
      <c r="AA221" s="209" t="n"/>
    </row>
    <row r="222" ht="15.75" customHeight="1" s="230">
      <c r="A222" s="211" t="n"/>
      <c r="B222" s="211" t="n"/>
      <c r="C222" s="211" t="n"/>
      <c r="D222" s="211" t="n"/>
      <c r="E222" s="211" t="n"/>
      <c r="F222" s="213" t="n"/>
      <c r="G222" s="211" t="n"/>
      <c r="H222" s="211" t="n"/>
      <c r="I222" s="211" t="n"/>
      <c r="J222" s="209" t="n"/>
      <c r="K222" s="209" t="n"/>
      <c r="L222" s="209" t="n"/>
      <c r="M222" s="209" t="n"/>
      <c r="N222" s="209" t="n"/>
      <c r="O222" s="209" t="n"/>
      <c r="P222" s="209" t="n"/>
      <c r="Q222" s="209" t="n"/>
      <c r="R222" s="209" t="n"/>
      <c r="S222" s="209" t="n"/>
      <c r="T222" s="209" t="n"/>
      <c r="U222" s="209" t="n"/>
      <c r="V222" s="209" t="n"/>
      <c r="W222" s="209" t="n"/>
      <c r="X222" s="209" t="n"/>
      <c r="Y222" s="209" t="n"/>
      <c r="Z222" s="209" t="n"/>
      <c r="AA222" s="209" t="n"/>
    </row>
    <row r="223" ht="15.75" customHeight="1" s="230">
      <c r="A223" s="211" t="n"/>
      <c r="B223" s="211" t="n"/>
      <c r="C223" s="211" t="n"/>
      <c r="D223" s="211" t="n"/>
      <c r="E223" s="211" t="n"/>
      <c r="F223" s="213" t="n"/>
      <c r="G223" s="211" t="n"/>
      <c r="H223" s="211" t="n"/>
      <c r="I223" s="211" t="n"/>
      <c r="J223" s="209" t="n"/>
      <c r="K223" s="209" t="n"/>
      <c r="L223" s="209" t="n"/>
      <c r="M223" s="209" t="n"/>
      <c r="N223" s="209" t="n"/>
      <c r="O223" s="209" t="n"/>
      <c r="P223" s="209" t="n"/>
      <c r="Q223" s="209" t="n"/>
      <c r="R223" s="209" t="n"/>
      <c r="S223" s="209" t="n"/>
      <c r="T223" s="209" t="n"/>
      <c r="U223" s="209" t="n"/>
      <c r="V223" s="209" t="n"/>
      <c r="W223" s="209" t="n"/>
      <c r="X223" s="209" t="n"/>
      <c r="Y223" s="209" t="n"/>
      <c r="Z223" s="209" t="n"/>
      <c r="AA223" s="209" t="n"/>
    </row>
    <row r="224" ht="15.75" customHeight="1" s="230">
      <c r="A224" s="211" t="n"/>
      <c r="B224" s="211" t="n"/>
      <c r="C224" s="211" t="n"/>
      <c r="D224" s="211" t="n"/>
      <c r="E224" s="211" t="n"/>
      <c r="F224" s="213" t="n"/>
      <c r="G224" s="211" t="n"/>
      <c r="H224" s="211" t="n"/>
      <c r="I224" s="211" t="n"/>
      <c r="J224" s="209" t="n"/>
      <c r="K224" s="209" t="n"/>
      <c r="L224" s="209" t="n"/>
      <c r="M224" s="209" t="n"/>
      <c r="N224" s="209" t="n"/>
      <c r="O224" s="209" t="n"/>
      <c r="P224" s="209" t="n"/>
      <c r="Q224" s="209" t="n"/>
      <c r="R224" s="209" t="n"/>
      <c r="S224" s="209" t="n"/>
      <c r="T224" s="209" t="n"/>
      <c r="U224" s="209" t="n"/>
      <c r="V224" s="209" t="n"/>
      <c r="W224" s="209" t="n"/>
      <c r="X224" s="209" t="n"/>
      <c r="Y224" s="209" t="n"/>
      <c r="Z224" s="209" t="n"/>
      <c r="AA224" s="209" t="n"/>
    </row>
    <row r="225" ht="15.75" customHeight="1" s="230">
      <c r="A225" s="211" t="n"/>
      <c r="B225" s="211" t="n"/>
      <c r="C225" s="211" t="n"/>
      <c r="D225" s="211" t="n"/>
      <c r="E225" s="211" t="n"/>
      <c r="F225" s="213" t="n"/>
      <c r="G225" s="211" t="n"/>
      <c r="H225" s="211" t="n"/>
      <c r="I225" s="211" t="n"/>
      <c r="J225" s="209" t="n"/>
      <c r="K225" s="209" t="n"/>
      <c r="L225" s="209" t="n"/>
      <c r="M225" s="209" t="n"/>
      <c r="N225" s="209" t="n"/>
      <c r="O225" s="209" t="n"/>
      <c r="P225" s="209" t="n"/>
      <c r="Q225" s="209" t="n"/>
      <c r="R225" s="209" t="n"/>
      <c r="S225" s="209" t="n"/>
      <c r="T225" s="209" t="n"/>
      <c r="U225" s="209" t="n"/>
      <c r="V225" s="209" t="n"/>
      <c r="W225" s="209" t="n"/>
      <c r="X225" s="209" t="n"/>
      <c r="Y225" s="209" t="n"/>
      <c r="Z225" s="209" t="n"/>
      <c r="AA225" s="209" t="n"/>
    </row>
    <row r="226" ht="15.75" customHeight="1" s="230">
      <c r="A226" s="211" t="n"/>
      <c r="B226" s="211" t="n"/>
      <c r="C226" s="211" t="n"/>
      <c r="D226" s="211" t="n"/>
      <c r="E226" s="211" t="n"/>
      <c r="F226" s="213" t="n"/>
      <c r="G226" s="211" t="n"/>
      <c r="H226" s="211" t="n"/>
      <c r="I226" s="211" t="n"/>
      <c r="J226" s="209" t="n"/>
      <c r="K226" s="209" t="n"/>
      <c r="L226" s="209" t="n"/>
      <c r="M226" s="209" t="n"/>
      <c r="N226" s="209" t="n"/>
      <c r="O226" s="209" t="n"/>
      <c r="P226" s="209" t="n"/>
      <c r="Q226" s="209" t="n"/>
      <c r="R226" s="209" t="n"/>
      <c r="S226" s="209" t="n"/>
      <c r="T226" s="209" t="n"/>
      <c r="U226" s="209" t="n"/>
      <c r="V226" s="209" t="n"/>
      <c r="W226" s="209" t="n"/>
      <c r="X226" s="209" t="n"/>
      <c r="Y226" s="209" t="n"/>
      <c r="Z226" s="209" t="n"/>
      <c r="AA226" s="209" t="n"/>
    </row>
    <row r="227" ht="15.75" customHeight="1" s="230">
      <c r="A227" s="211" t="n"/>
      <c r="B227" s="211" t="n"/>
      <c r="C227" s="211" t="n"/>
      <c r="D227" s="211" t="n"/>
      <c r="E227" s="211" t="n"/>
      <c r="F227" s="213" t="n"/>
      <c r="G227" s="211" t="n"/>
      <c r="H227" s="211" t="n"/>
      <c r="I227" s="211" t="n"/>
      <c r="J227" s="209" t="n"/>
      <c r="K227" s="209" t="n"/>
      <c r="L227" s="209" t="n"/>
      <c r="M227" s="209" t="n"/>
      <c r="N227" s="209" t="n"/>
      <c r="O227" s="209" t="n"/>
      <c r="P227" s="209" t="n"/>
      <c r="Q227" s="209" t="n"/>
      <c r="R227" s="209" t="n"/>
      <c r="S227" s="209" t="n"/>
      <c r="T227" s="209" t="n"/>
      <c r="U227" s="209" t="n"/>
      <c r="V227" s="209" t="n"/>
      <c r="W227" s="209" t="n"/>
      <c r="X227" s="209" t="n"/>
      <c r="Y227" s="209" t="n"/>
      <c r="Z227" s="209" t="n"/>
      <c r="AA227" s="209" t="n"/>
    </row>
    <row r="228" ht="15.75" customHeight="1" s="230">
      <c r="A228" s="211" t="n"/>
      <c r="B228" s="211" t="n"/>
      <c r="C228" s="211" t="n"/>
      <c r="D228" s="211" t="n"/>
      <c r="E228" s="211" t="n"/>
      <c r="F228" s="213" t="n"/>
      <c r="G228" s="211" t="n"/>
      <c r="H228" s="211" t="n"/>
      <c r="I228" s="211" t="n"/>
      <c r="J228" s="209" t="n"/>
      <c r="K228" s="209" t="n"/>
      <c r="L228" s="209" t="n"/>
      <c r="M228" s="209" t="n"/>
      <c r="N228" s="209" t="n"/>
      <c r="O228" s="209" t="n"/>
      <c r="P228" s="209" t="n"/>
      <c r="Q228" s="209" t="n"/>
      <c r="R228" s="209" t="n"/>
      <c r="S228" s="209" t="n"/>
      <c r="T228" s="209" t="n"/>
      <c r="U228" s="209" t="n"/>
      <c r="V228" s="209" t="n"/>
      <c r="W228" s="209" t="n"/>
      <c r="X228" s="209" t="n"/>
      <c r="Y228" s="209" t="n"/>
      <c r="Z228" s="209" t="n"/>
      <c r="AA228" s="209" t="n"/>
    </row>
    <row r="229" ht="15.75" customHeight="1" s="230">
      <c r="A229" s="211" t="n"/>
      <c r="B229" s="211" t="n"/>
      <c r="C229" s="211" t="n"/>
      <c r="D229" s="211" t="n"/>
      <c r="E229" s="211" t="n"/>
      <c r="F229" s="213" t="n"/>
      <c r="G229" s="211" t="n"/>
      <c r="H229" s="211" t="n"/>
      <c r="I229" s="211" t="n"/>
      <c r="J229" s="209" t="n"/>
      <c r="K229" s="209" t="n"/>
      <c r="L229" s="209" t="n"/>
      <c r="M229" s="209" t="n"/>
      <c r="N229" s="209" t="n"/>
      <c r="O229" s="209" t="n"/>
      <c r="P229" s="209" t="n"/>
      <c r="Q229" s="209" t="n"/>
      <c r="R229" s="209" t="n"/>
      <c r="S229" s="209" t="n"/>
      <c r="T229" s="209" t="n"/>
      <c r="U229" s="209" t="n"/>
      <c r="V229" s="209" t="n"/>
      <c r="W229" s="209" t="n"/>
      <c r="X229" s="209" t="n"/>
      <c r="Y229" s="209" t="n"/>
      <c r="Z229" s="209" t="n"/>
      <c r="AA229" s="209" t="n"/>
    </row>
    <row r="230" ht="15.75" customHeight="1" s="230">
      <c r="A230" s="211" t="n"/>
      <c r="B230" s="211" t="n"/>
      <c r="C230" s="211" t="n"/>
      <c r="D230" s="211" t="n"/>
      <c r="E230" s="211" t="n"/>
      <c r="F230" s="213" t="n"/>
      <c r="G230" s="211" t="n"/>
      <c r="H230" s="211" t="n"/>
      <c r="I230" s="211" t="n"/>
      <c r="J230" s="209" t="n"/>
      <c r="K230" s="209" t="n"/>
      <c r="L230" s="209" t="n"/>
      <c r="M230" s="209" t="n"/>
      <c r="N230" s="209" t="n"/>
      <c r="O230" s="209" t="n"/>
      <c r="P230" s="209" t="n"/>
      <c r="Q230" s="209" t="n"/>
      <c r="R230" s="209" t="n"/>
      <c r="S230" s="209" t="n"/>
      <c r="T230" s="209" t="n"/>
      <c r="U230" s="209" t="n"/>
      <c r="V230" s="209" t="n"/>
      <c r="W230" s="209" t="n"/>
      <c r="X230" s="209" t="n"/>
      <c r="Y230" s="209" t="n"/>
      <c r="Z230" s="209" t="n"/>
      <c r="AA230" s="209" t="n"/>
    </row>
    <row r="231" ht="15.75" customHeight="1" s="230">
      <c r="A231" s="211" t="n"/>
      <c r="B231" s="211" t="n"/>
      <c r="C231" s="211" t="n"/>
      <c r="D231" s="211" t="n"/>
      <c r="E231" s="211" t="n"/>
      <c r="F231" s="213" t="n"/>
      <c r="G231" s="211" t="n"/>
      <c r="H231" s="211" t="n"/>
      <c r="I231" s="211" t="n"/>
      <c r="J231" s="209" t="n"/>
      <c r="K231" s="209" t="n"/>
      <c r="L231" s="209" t="n"/>
      <c r="M231" s="209" t="n"/>
      <c r="N231" s="209" t="n"/>
      <c r="O231" s="209" t="n"/>
      <c r="P231" s="209" t="n"/>
      <c r="Q231" s="209" t="n"/>
      <c r="R231" s="209" t="n"/>
      <c r="S231" s="209" t="n"/>
      <c r="T231" s="209" t="n"/>
      <c r="U231" s="209" t="n"/>
      <c r="V231" s="209" t="n"/>
      <c r="W231" s="209" t="n"/>
      <c r="X231" s="209" t="n"/>
      <c r="Y231" s="209" t="n"/>
      <c r="Z231" s="209" t="n"/>
      <c r="AA231" s="209" t="n"/>
    </row>
    <row r="232" ht="15.75" customHeight="1" s="230">
      <c r="A232" s="211" t="n"/>
      <c r="B232" s="211" t="n"/>
      <c r="C232" s="211" t="n"/>
      <c r="D232" s="211" t="n"/>
      <c r="E232" s="211" t="n"/>
      <c r="F232" s="213" t="n"/>
      <c r="G232" s="211" t="n"/>
      <c r="H232" s="211" t="n"/>
      <c r="I232" s="211" t="n"/>
      <c r="J232" s="209" t="n"/>
      <c r="K232" s="209" t="n"/>
      <c r="L232" s="209" t="n"/>
      <c r="M232" s="209" t="n"/>
      <c r="N232" s="209" t="n"/>
      <c r="O232" s="209" t="n"/>
      <c r="P232" s="209" t="n"/>
      <c r="Q232" s="209" t="n"/>
      <c r="R232" s="209" t="n"/>
      <c r="S232" s="209" t="n"/>
      <c r="T232" s="209" t="n"/>
      <c r="U232" s="209" t="n"/>
      <c r="V232" s="209" t="n"/>
      <c r="W232" s="209" t="n"/>
      <c r="X232" s="209" t="n"/>
      <c r="Y232" s="209" t="n"/>
      <c r="Z232" s="209" t="n"/>
      <c r="AA232" s="209" t="n"/>
    </row>
    <row r="233" ht="15.75" customHeight="1" s="230">
      <c r="A233" s="211" t="n"/>
      <c r="B233" s="211" t="n"/>
      <c r="C233" s="211" t="n"/>
      <c r="D233" s="211" t="n"/>
      <c r="E233" s="211" t="n"/>
      <c r="F233" s="213" t="n"/>
      <c r="G233" s="211" t="n"/>
      <c r="H233" s="211" t="n"/>
      <c r="I233" s="211" t="n"/>
      <c r="J233" s="209" t="n"/>
      <c r="K233" s="209" t="n"/>
      <c r="L233" s="209" t="n"/>
      <c r="M233" s="209" t="n"/>
      <c r="N233" s="209" t="n"/>
      <c r="O233" s="209" t="n"/>
      <c r="P233" s="209" t="n"/>
      <c r="Q233" s="209" t="n"/>
      <c r="R233" s="209" t="n"/>
      <c r="S233" s="209" t="n"/>
      <c r="T233" s="209" t="n"/>
      <c r="U233" s="209" t="n"/>
      <c r="V233" s="209" t="n"/>
      <c r="W233" s="209" t="n"/>
      <c r="X233" s="209" t="n"/>
      <c r="Y233" s="209" t="n"/>
      <c r="Z233" s="209" t="n"/>
      <c r="AA233" s="209" t="n"/>
    </row>
    <row r="234" ht="15.75" customHeight="1" s="230">
      <c r="A234" s="211" t="n"/>
      <c r="B234" s="211" t="n"/>
      <c r="C234" s="211" t="n"/>
      <c r="D234" s="211" t="n"/>
      <c r="E234" s="211" t="n"/>
      <c r="F234" s="213" t="n"/>
      <c r="G234" s="211" t="n"/>
      <c r="H234" s="211" t="n"/>
      <c r="I234" s="211" t="n"/>
      <c r="J234" s="209" t="n"/>
      <c r="K234" s="209" t="n"/>
      <c r="L234" s="209" t="n"/>
      <c r="M234" s="209" t="n"/>
      <c r="N234" s="209" t="n"/>
      <c r="O234" s="209" t="n"/>
      <c r="P234" s="209" t="n"/>
      <c r="Q234" s="209" t="n"/>
      <c r="R234" s="209" t="n"/>
      <c r="S234" s="209" t="n"/>
      <c r="T234" s="209" t="n"/>
      <c r="U234" s="209" t="n"/>
      <c r="V234" s="209" t="n"/>
      <c r="W234" s="209" t="n"/>
      <c r="X234" s="209" t="n"/>
      <c r="Y234" s="209" t="n"/>
      <c r="Z234" s="209" t="n"/>
      <c r="AA234" s="209" t="n"/>
    </row>
    <row r="235" ht="15.75" customHeight="1" s="230">
      <c r="A235" s="211" t="n"/>
      <c r="B235" s="211" t="n"/>
      <c r="C235" s="211" t="n"/>
      <c r="D235" s="211" t="n"/>
      <c r="E235" s="211" t="n"/>
      <c r="F235" s="213" t="n"/>
      <c r="G235" s="211" t="n"/>
      <c r="H235" s="211" t="n"/>
      <c r="I235" s="211" t="n"/>
      <c r="J235" s="209" t="n"/>
      <c r="K235" s="209" t="n"/>
      <c r="L235" s="209" t="n"/>
      <c r="M235" s="209" t="n"/>
      <c r="N235" s="209" t="n"/>
      <c r="O235" s="209" t="n"/>
      <c r="P235" s="209" t="n"/>
      <c r="Q235" s="209" t="n"/>
      <c r="R235" s="209" t="n"/>
      <c r="S235" s="209" t="n"/>
      <c r="T235" s="209" t="n"/>
      <c r="U235" s="209" t="n"/>
      <c r="V235" s="209" t="n"/>
      <c r="W235" s="209" t="n"/>
      <c r="X235" s="209" t="n"/>
      <c r="Y235" s="209" t="n"/>
      <c r="Z235" s="209" t="n"/>
      <c r="AA235" s="209" t="n"/>
    </row>
    <row r="236" ht="15.75" customHeight="1" s="230">
      <c r="A236" s="211" t="n"/>
      <c r="B236" s="211" t="n"/>
      <c r="C236" s="211" t="n"/>
      <c r="D236" s="211" t="n"/>
      <c r="E236" s="211" t="n"/>
      <c r="F236" s="213" t="n"/>
      <c r="G236" s="211" t="n"/>
      <c r="H236" s="211" t="n"/>
      <c r="I236" s="211" t="n"/>
      <c r="J236" s="209" t="n"/>
      <c r="K236" s="209" t="n"/>
      <c r="L236" s="209" t="n"/>
      <c r="M236" s="209" t="n"/>
      <c r="N236" s="209" t="n"/>
      <c r="O236" s="209" t="n"/>
      <c r="P236" s="209" t="n"/>
      <c r="Q236" s="209" t="n"/>
      <c r="R236" s="209" t="n"/>
      <c r="S236" s="209" t="n"/>
      <c r="T236" s="209" t="n"/>
      <c r="U236" s="209" t="n"/>
      <c r="V236" s="209" t="n"/>
      <c r="W236" s="209" t="n"/>
      <c r="X236" s="209" t="n"/>
      <c r="Y236" s="209" t="n"/>
      <c r="Z236" s="209" t="n"/>
      <c r="AA236" s="209" t="n"/>
    </row>
    <row r="237" ht="15.75" customHeight="1" s="230">
      <c r="A237" s="211" t="n"/>
      <c r="B237" s="211" t="n"/>
      <c r="C237" s="211" t="n"/>
      <c r="D237" s="211" t="n"/>
      <c r="E237" s="211" t="n"/>
      <c r="F237" s="213" t="n"/>
      <c r="G237" s="211" t="n"/>
      <c r="H237" s="211" t="n"/>
      <c r="I237" s="211" t="n"/>
      <c r="J237" s="209" t="n"/>
      <c r="K237" s="209" t="n"/>
      <c r="L237" s="209" t="n"/>
      <c r="M237" s="209" t="n"/>
      <c r="N237" s="209" t="n"/>
      <c r="O237" s="209" t="n"/>
      <c r="P237" s="209" t="n"/>
      <c r="Q237" s="209" t="n"/>
      <c r="R237" s="209" t="n"/>
      <c r="S237" s="209" t="n"/>
      <c r="T237" s="209" t="n"/>
      <c r="U237" s="209" t="n"/>
      <c r="V237" s="209" t="n"/>
      <c r="W237" s="209" t="n"/>
      <c r="X237" s="209" t="n"/>
      <c r="Y237" s="209" t="n"/>
      <c r="Z237" s="209" t="n"/>
      <c r="AA237" s="209" t="n"/>
    </row>
    <row r="238" ht="15.75" customHeight="1" s="230">
      <c r="A238" s="211" t="n"/>
      <c r="B238" s="211" t="n"/>
      <c r="C238" s="211" t="n"/>
      <c r="D238" s="211" t="n"/>
      <c r="E238" s="211" t="n"/>
      <c r="F238" s="213" t="n"/>
      <c r="G238" s="211" t="n"/>
      <c r="H238" s="211" t="n"/>
      <c r="I238" s="211" t="n"/>
      <c r="J238" s="209" t="n"/>
      <c r="K238" s="209" t="n"/>
      <c r="L238" s="209" t="n"/>
      <c r="M238" s="209" t="n"/>
      <c r="N238" s="209" t="n"/>
      <c r="O238" s="209" t="n"/>
      <c r="P238" s="209" t="n"/>
      <c r="Q238" s="209" t="n"/>
      <c r="R238" s="209" t="n"/>
      <c r="S238" s="209" t="n"/>
      <c r="T238" s="209" t="n"/>
      <c r="U238" s="209" t="n"/>
      <c r="V238" s="209" t="n"/>
      <c r="W238" s="209" t="n"/>
      <c r="X238" s="209" t="n"/>
      <c r="Y238" s="209" t="n"/>
      <c r="Z238" s="209" t="n"/>
      <c r="AA238" s="209" t="n"/>
    </row>
    <row r="239" ht="15.75" customHeight="1" s="230">
      <c r="A239" s="211" t="n"/>
      <c r="B239" s="211" t="n"/>
      <c r="C239" s="211" t="n"/>
      <c r="D239" s="211" t="n"/>
      <c r="E239" s="211" t="n"/>
      <c r="F239" s="213" t="n"/>
      <c r="G239" s="211" t="n"/>
      <c r="H239" s="211" t="n"/>
      <c r="I239" s="211" t="n"/>
      <c r="J239" s="209" t="n"/>
      <c r="K239" s="209" t="n"/>
      <c r="L239" s="209" t="n"/>
      <c r="M239" s="209" t="n"/>
      <c r="N239" s="209" t="n"/>
      <c r="O239" s="209" t="n"/>
      <c r="P239" s="209" t="n"/>
      <c r="Q239" s="209" t="n"/>
      <c r="R239" s="209" t="n"/>
      <c r="S239" s="209" t="n"/>
      <c r="T239" s="209" t="n"/>
      <c r="U239" s="209" t="n"/>
      <c r="V239" s="209" t="n"/>
      <c r="W239" s="209" t="n"/>
      <c r="X239" s="209" t="n"/>
      <c r="Y239" s="209" t="n"/>
      <c r="Z239" s="209" t="n"/>
      <c r="AA239" s="209" t="n"/>
    </row>
    <row r="240" ht="15.75" customHeight="1" s="230">
      <c r="A240" s="211" t="n"/>
      <c r="B240" s="211" t="n"/>
      <c r="C240" s="211" t="n"/>
      <c r="D240" s="211" t="n"/>
      <c r="E240" s="211" t="n"/>
      <c r="F240" s="213" t="n"/>
      <c r="G240" s="211" t="n"/>
      <c r="H240" s="211" t="n"/>
      <c r="I240" s="211" t="n"/>
      <c r="J240" s="209" t="n"/>
      <c r="K240" s="209" t="n"/>
      <c r="L240" s="209" t="n"/>
      <c r="M240" s="209" t="n"/>
      <c r="N240" s="209" t="n"/>
      <c r="O240" s="209" t="n"/>
      <c r="P240" s="209" t="n"/>
      <c r="Q240" s="209" t="n"/>
      <c r="R240" s="209" t="n"/>
      <c r="S240" s="209" t="n"/>
      <c r="T240" s="209" t="n"/>
      <c r="U240" s="209" t="n"/>
      <c r="V240" s="209" t="n"/>
      <c r="W240" s="209" t="n"/>
      <c r="X240" s="209" t="n"/>
      <c r="Y240" s="209" t="n"/>
      <c r="Z240" s="209" t="n"/>
      <c r="AA240" s="209" t="n"/>
    </row>
    <row r="241" ht="15.75" customHeight="1" s="230">
      <c r="A241" s="211" t="n"/>
      <c r="B241" s="211" t="n"/>
      <c r="C241" s="211" t="n"/>
      <c r="D241" s="211" t="n"/>
      <c r="E241" s="211" t="n"/>
      <c r="F241" s="213" t="n"/>
      <c r="G241" s="211" t="n"/>
      <c r="H241" s="211" t="n"/>
      <c r="I241" s="211" t="n"/>
      <c r="J241" s="209" t="n"/>
      <c r="K241" s="209" t="n"/>
      <c r="L241" s="209" t="n"/>
      <c r="M241" s="209" t="n"/>
      <c r="N241" s="209" t="n"/>
      <c r="O241" s="209" t="n"/>
      <c r="P241" s="209" t="n"/>
      <c r="Q241" s="209" t="n"/>
      <c r="R241" s="209" t="n"/>
      <c r="S241" s="209" t="n"/>
      <c r="T241" s="209" t="n"/>
      <c r="U241" s="209" t="n"/>
      <c r="V241" s="209" t="n"/>
      <c r="W241" s="209" t="n"/>
      <c r="X241" s="209" t="n"/>
      <c r="Y241" s="209" t="n"/>
      <c r="Z241" s="209" t="n"/>
      <c r="AA241" s="209" t="n"/>
    </row>
    <row r="242" ht="15.75" customHeight="1" s="230">
      <c r="A242" s="211" t="n"/>
      <c r="B242" s="211" t="n"/>
      <c r="C242" s="211" t="n"/>
      <c r="D242" s="211" t="n"/>
      <c r="E242" s="211" t="n"/>
      <c r="F242" s="213" t="n"/>
      <c r="G242" s="211" t="n"/>
      <c r="H242" s="211" t="n"/>
      <c r="I242" s="211" t="n"/>
      <c r="J242" s="209" t="n"/>
      <c r="K242" s="209" t="n"/>
      <c r="L242" s="209" t="n"/>
      <c r="M242" s="209" t="n"/>
      <c r="N242" s="209" t="n"/>
      <c r="O242" s="209" t="n"/>
      <c r="P242" s="209" t="n"/>
      <c r="Q242" s="209" t="n"/>
      <c r="R242" s="209" t="n"/>
      <c r="S242" s="209" t="n"/>
      <c r="T242" s="209" t="n"/>
      <c r="U242" s="209" t="n"/>
      <c r="V242" s="209" t="n"/>
      <c r="W242" s="209" t="n"/>
      <c r="X242" s="209" t="n"/>
      <c r="Y242" s="209" t="n"/>
      <c r="Z242" s="209" t="n"/>
      <c r="AA242" s="209" t="n"/>
    </row>
    <row r="243" ht="15.75" customHeight="1" s="230">
      <c r="A243" s="211" t="n"/>
      <c r="B243" s="211" t="n"/>
      <c r="C243" s="211" t="n"/>
      <c r="D243" s="211" t="n"/>
      <c r="E243" s="211" t="n"/>
      <c r="F243" s="213" t="n"/>
      <c r="G243" s="211" t="n"/>
      <c r="H243" s="211" t="n"/>
      <c r="I243" s="211" t="n"/>
      <c r="J243" s="209" t="n"/>
      <c r="K243" s="209" t="n"/>
      <c r="L243" s="209" t="n"/>
      <c r="M243" s="209" t="n"/>
      <c r="N243" s="209" t="n"/>
      <c r="O243" s="209" t="n"/>
      <c r="P243" s="209" t="n"/>
      <c r="Q243" s="209" t="n"/>
      <c r="R243" s="209" t="n"/>
      <c r="S243" s="209" t="n"/>
      <c r="T243" s="209" t="n"/>
      <c r="U243" s="209" t="n"/>
      <c r="V243" s="209" t="n"/>
      <c r="W243" s="209" t="n"/>
      <c r="X243" s="209" t="n"/>
      <c r="Y243" s="209" t="n"/>
      <c r="Z243" s="209" t="n"/>
      <c r="AA243" s="209" t="n"/>
    </row>
    <row r="244" ht="15.75" customHeight="1" s="230">
      <c r="A244" s="211" t="n"/>
      <c r="B244" s="211" t="n"/>
      <c r="C244" s="211" t="n"/>
      <c r="D244" s="211" t="n"/>
      <c r="E244" s="211" t="n"/>
      <c r="F244" s="213" t="n"/>
      <c r="G244" s="211" t="n"/>
      <c r="H244" s="211" t="n"/>
      <c r="I244" s="211" t="n"/>
      <c r="J244" s="209" t="n"/>
      <c r="K244" s="209" t="n"/>
      <c r="L244" s="209" t="n"/>
      <c r="M244" s="209" t="n"/>
      <c r="N244" s="209" t="n"/>
      <c r="O244" s="209" t="n"/>
      <c r="P244" s="209" t="n"/>
      <c r="Q244" s="209" t="n"/>
      <c r="R244" s="209" t="n"/>
      <c r="S244" s="209" t="n"/>
      <c r="T244" s="209" t="n"/>
      <c r="U244" s="209" t="n"/>
      <c r="V244" s="209" t="n"/>
      <c r="W244" s="209" t="n"/>
      <c r="X244" s="209" t="n"/>
      <c r="Y244" s="209" t="n"/>
      <c r="Z244" s="209" t="n"/>
      <c r="AA244" s="209" t="n"/>
    </row>
    <row r="245" ht="15.75" customHeight="1" s="230">
      <c r="A245" s="211" t="n"/>
      <c r="B245" s="211" t="n"/>
      <c r="C245" s="211" t="n"/>
      <c r="D245" s="211" t="n"/>
      <c r="E245" s="211" t="n"/>
      <c r="F245" s="213" t="n"/>
      <c r="G245" s="211" t="n"/>
      <c r="H245" s="211" t="n"/>
      <c r="I245" s="211" t="n"/>
      <c r="J245" s="209" t="n"/>
      <c r="K245" s="209" t="n"/>
      <c r="L245" s="209" t="n"/>
      <c r="M245" s="209" t="n"/>
      <c r="N245" s="209" t="n"/>
      <c r="O245" s="209" t="n"/>
      <c r="P245" s="209" t="n"/>
      <c r="Q245" s="209" t="n"/>
      <c r="R245" s="209" t="n"/>
      <c r="S245" s="209" t="n"/>
      <c r="T245" s="209" t="n"/>
      <c r="U245" s="209" t="n"/>
      <c r="V245" s="209" t="n"/>
      <c r="W245" s="209" t="n"/>
      <c r="X245" s="209" t="n"/>
      <c r="Y245" s="209" t="n"/>
      <c r="Z245" s="209" t="n"/>
      <c r="AA245" s="209" t="n"/>
    </row>
    <row r="246" ht="15.75" customHeight="1" s="230">
      <c r="A246" s="211" t="n"/>
      <c r="B246" s="211" t="n"/>
      <c r="C246" s="211" t="n"/>
      <c r="D246" s="211" t="n"/>
      <c r="E246" s="211" t="n"/>
      <c r="F246" s="213" t="n"/>
      <c r="G246" s="211" t="n"/>
      <c r="H246" s="211" t="n"/>
      <c r="I246" s="211" t="n"/>
      <c r="J246" s="209" t="n"/>
      <c r="K246" s="209" t="n"/>
      <c r="L246" s="209" t="n"/>
      <c r="M246" s="209" t="n"/>
      <c r="N246" s="209" t="n"/>
      <c r="O246" s="209" t="n"/>
      <c r="P246" s="209" t="n"/>
      <c r="Q246" s="209" t="n"/>
      <c r="R246" s="209" t="n"/>
      <c r="S246" s="209" t="n"/>
      <c r="T246" s="209" t="n"/>
      <c r="U246" s="209" t="n"/>
      <c r="V246" s="209" t="n"/>
      <c r="W246" s="209" t="n"/>
      <c r="X246" s="209" t="n"/>
      <c r="Y246" s="209" t="n"/>
      <c r="Z246" s="209" t="n"/>
      <c r="AA246" s="209" t="n"/>
    </row>
    <row r="247" ht="15.75" customHeight="1" s="230">
      <c r="A247" s="211" t="n"/>
      <c r="B247" s="211" t="n"/>
      <c r="C247" s="211" t="n"/>
      <c r="D247" s="211" t="n"/>
      <c r="E247" s="211" t="n"/>
      <c r="F247" s="213" t="n"/>
      <c r="G247" s="211" t="n"/>
      <c r="H247" s="211" t="n"/>
      <c r="I247" s="211" t="n"/>
      <c r="J247" s="209" t="n"/>
      <c r="K247" s="209" t="n"/>
      <c r="L247" s="209" t="n"/>
      <c r="M247" s="209" t="n"/>
      <c r="N247" s="209" t="n"/>
      <c r="O247" s="209" t="n"/>
      <c r="P247" s="209" t="n"/>
      <c r="Q247" s="209" t="n"/>
      <c r="R247" s="209" t="n"/>
      <c r="S247" s="209" t="n"/>
      <c r="T247" s="209" t="n"/>
      <c r="U247" s="209" t="n"/>
      <c r="V247" s="209" t="n"/>
      <c r="W247" s="209" t="n"/>
      <c r="X247" s="209" t="n"/>
      <c r="Y247" s="209" t="n"/>
      <c r="Z247" s="209" t="n"/>
      <c r="AA247" s="209" t="n"/>
    </row>
    <row r="248" ht="15.75" customHeight="1" s="230">
      <c r="A248" s="211" t="n"/>
      <c r="B248" s="211" t="n"/>
      <c r="C248" s="211" t="n"/>
      <c r="D248" s="211" t="n"/>
      <c r="E248" s="211" t="n"/>
      <c r="F248" s="213" t="n"/>
      <c r="G248" s="211" t="n"/>
      <c r="H248" s="211" t="n"/>
      <c r="I248" s="211" t="n"/>
      <c r="J248" s="209" t="n"/>
      <c r="K248" s="209" t="n"/>
      <c r="L248" s="209" t="n"/>
      <c r="M248" s="209" t="n"/>
      <c r="N248" s="209" t="n"/>
      <c r="O248" s="209" t="n"/>
      <c r="P248" s="209" t="n"/>
      <c r="Q248" s="209" t="n"/>
      <c r="R248" s="209" t="n"/>
      <c r="S248" s="209" t="n"/>
      <c r="T248" s="209" t="n"/>
      <c r="U248" s="209" t="n"/>
      <c r="V248" s="209" t="n"/>
      <c r="W248" s="209" t="n"/>
      <c r="X248" s="209" t="n"/>
      <c r="Y248" s="209" t="n"/>
      <c r="Z248" s="209" t="n"/>
      <c r="AA248" s="209" t="n"/>
    </row>
    <row r="249" ht="15.75" customHeight="1" s="230">
      <c r="A249" s="211" t="n"/>
      <c r="B249" s="211" t="n"/>
      <c r="C249" s="211" t="n"/>
      <c r="D249" s="211" t="n"/>
      <c r="E249" s="211" t="n"/>
      <c r="F249" s="213" t="n"/>
      <c r="G249" s="211" t="n"/>
      <c r="H249" s="211" t="n"/>
      <c r="I249" s="211" t="n"/>
      <c r="J249" s="209" t="n"/>
      <c r="K249" s="209" t="n"/>
      <c r="L249" s="209" t="n"/>
      <c r="M249" s="209" t="n"/>
      <c r="N249" s="209" t="n"/>
      <c r="O249" s="209" t="n"/>
      <c r="P249" s="209" t="n"/>
      <c r="Q249" s="209" t="n"/>
      <c r="R249" s="209" t="n"/>
      <c r="S249" s="209" t="n"/>
      <c r="T249" s="209" t="n"/>
      <c r="U249" s="209" t="n"/>
      <c r="V249" s="209" t="n"/>
      <c r="W249" s="209" t="n"/>
      <c r="X249" s="209" t="n"/>
      <c r="Y249" s="209" t="n"/>
      <c r="Z249" s="209" t="n"/>
      <c r="AA249" s="209" t="n"/>
    </row>
    <row r="250" ht="15.75" customHeight="1" s="230">
      <c r="A250" s="211" t="n"/>
      <c r="B250" s="211" t="n"/>
      <c r="C250" s="211" t="n"/>
      <c r="D250" s="211" t="n"/>
      <c r="E250" s="211" t="n"/>
      <c r="F250" s="213" t="n"/>
      <c r="G250" s="211" t="n"/>
      <c r="H250" s="211" t="n"/>
      <c r="I250" s="211" t="n"/>
      <c r="J250" s="209" t="n"/>
      <c r="K250" s="209" t="n"/>
      <c r="L250" s="209" t="n"/>
      <c r="M250" s="209" t="n"/>
      <c r="N250" s="209" t="n"/>
      <c r="O250" s="209" t="n"/>
      <c r="P250" s="209" t="n"/>
      <c r="Q250" s="209" t="n"/>
      <c r="R250" s="209" t="n"/>
      <c r="S250" s="209" t="n"/>
      <c r="T250" s="209" t="n"/>
      <c r="U250" s="209" t="n"/>
      <c r="V250" s="209" t="n"/>
      <c r="W250" s="209" t="n"/>
      <c r="X250" s="209" t="n"/>
      <c r="Y250" s="209" t="n"/>
      <c r="Z250" s="209" t="n"/>
      <c r="AA250" s="209" t="n"/>
    </row>
    <row r="251" ht="15.75" customHeight="1" s="230">
      <c r="A251" s="211" t="n"/>
      <c r="B251" s="211" t="n"/>
      <c r="C251" s="211" t="n"/>
      <c r="D251" s="211" t="n"/>
      <c r="E251" s="211" t="n"/>
      <c r="F251" s="213" t="n"/>
      <c r="G251" s="211" t="n"/>
      <c r="H251" s="211" t="n"/>
      <c r="I251" s="211" t="n"/>
      <c r="J251" s="209" t="n"/>
      <c r="K251" s="209" t="n"/>
      <c r="L251" s="209" t="n"/>
      <c r="M251" s="209" t="n"/>
      <c r="N251" s="209" t="n"/>
      <c r="O251" s="209" t="n"/>
      <c r="P251" s="209" t="n"/>
      <c r="Q251" s="209" t="n"/>
      <c r="R251" s="209" t="n"/>
      <c r="S251" s="209" t="n"/>
      <c r="T251" s="209" t="n"/>
      <c r="U251" s="209" t="n"/>
      <c r="V251" s="209" t="n"/>
      <c r="W251" s="209" t="n"/>
      <c r="X251" s="209" t="n"/>
      <c r="Y251" s="209" t="n"/>
      <c r="Z251" s="209" t="n"/>
      <c r="AA251" s="209" t="n"/>
    </row>
    <row r="252" ht="15.75" customHeight="1" s="230">
      <c r="A252" s="211" t="n"/>
      <c r="B252" s="211" t="n"/>
      <c r="C252" s="211" t="n"/>
      <c r="D252" s="211" t="n"/>
      <c r="E252" s="211" t="n"/>
      <c r="F252" s="213" t="n"/>
      <c r="G252" s="211" t="n"/>
      <c r="H252" s="211" t="n"/>
      <c r="I252" s="211" t="n"/>
      <c r="J252" s="209" t="n"/>
      <c r="K252" s="209" t="n"/>
      <c r="L252" s="209" t="n"/>
      <c r="M252" s="209" t="n"/>
      <c r="N252" s="209" t="n"/>
      <c r="O252" s="209" t="n"/>
      <c r="P252" s="209" t="n"/>
      <c r="Q252" s="209" t="n"/>
      <c r="R252" s="209" t="n"/>
      <c r="S252" s="209" t="n"/>
      <c r="T252" s="209" t="n"/>
      <c r="U252" s="209" t="n"/>
      <c r="V252" s="209" t="n"/>
      <c r="W252" s="209" t="n"/>
      <c r="X252" s="209" t="n"/>
      <c r="Y252" s="209" t="n"/>
      <c r="Z252" s="209" t="n"/>
      <c r="AA252" s="209" t="n"/>
    </row>
    <row r="253" ht="15.75" customHeight="1" s="230">
      <c r="A253" s="211" t="n"/>
      <c r="B253" s="211" t="n"/>
      <c r="C253" s="211" t="n"/>
      <c r="D253" s="211" t="n"/>
      <c r="E253" s="211" t="n"/>
      <c r="F253" s="213" t="n"/>
      <c r="G253" s="211" t="n"/>
      <c r="H253" s="211" t="n"/>
      <c r="I253" s="211" t="n"/>
      <c r="J253" s="209" t="n"/>
      <c r="K253" s="209" t="n"/>
      <c r="L253" s="209" t="n"/>
      <c r="M253" s="209" t="n"/>
      <c r="N253" s="209" t="n"/>
      <c r="O253" s="209" t="n"/>
      <c r="P253" s="209" t="n"/>
      <c r="Q253" s="209" t="n"/>
      <c r="R253" s="209" t="n"/>
      <c r="S253" s="209" t="n"/>
      <c r="T253" s="209" t="n"/>
      <c r="U253" s="209" t="n"/>
      <c r="V253" s="209" t="n"/>
      <c r="W253" s="209" t="n"/>
      <c r="X253" s="209" t="n"/>
      <c r="Y253" s="209" t="n"/>
      <c r="Z253" s="209" t="n"/>
      <c r="AA253" s="209" t="n"/>
    </row>
    <row r="254" ht="15.75" customHeight="1" s="230">
      <c r="A254" s="211" t="n"/>
      <c r="B254" s="211" t="n"/>
      <c r="C254" s="211" t="n"/>
      <c r="D254" s="211" t="n"/>
      <c r="E254" s="211" t="n"/>
      <c r="F254" s="213" t="n"/>
      <c r="G254" s="211" t="n"/>
      <c r="H254" s="211" t="n"/>
      <c r="I254" s="211" t="n"/>
      <c r="J254" s="209" t="n"/>
      <c r="K254" s="209" t="n"/>
      <c r="L254" s="209" t="n"/>
      <c r="M254" s="209" t="n"/>
      <c r="N254" s="209" t="n"/>
      <c r="O254" s="209" t="n"/>
      <c r="P254" s="209" t="n"/>
      <c r="Q254" s="209" t="n"/>
      <c r="R254" s="209" t="n"/>
      <c r="S254" s="209" t="n"/>
      <c r="T254" s="209" t="n"/>
      <c r="U254" s="209" t="n"/>
      <c r="V254" s="209" t="n"/>
      <c r="W254" s="209" t="n"/>
      <c r="X254" s="209" t="n"/>
      <c r="Y254" s="209" t="n"/>
      <c r="Z254" s="209" t="n"/>
      <c r="AA254" s="209" t="n"/>
    </row>
    <row r="255" ht="15.75" customHeight="1" s="230">
      <c r="A255" s="211" t="n"/>
      <c r="B255" s="211" t="n"/>
      <c r="C255" s="211" t="n"/>
      <c r="D255" s="211" t="n"/>
      <c r="E255" s="211" t="n"/>
      <c r="F255" s="213" t="n"/>
      <c r="G255" s="211" t="n"/>
      <c r="H255" s="211" t="n"/>
      <c r="I255" s="211" t="n"/>
      <c r="J255" s="209" t="n"/>
      <c r="K255" s="209" t="n"/>
      <c r="L255" s="209" t="n"/>
      <c r="M255" s="209" t="n"/>
      <c r="N255" s="209" t="n"/>
      <c r="O255" s="209" t="n"/>
      <c r="P255" s="209" t="n"/>
      <c r="Q255" s="209" t="n"/>
      <c r="R255" s="209" t="n"/>
      <c r="S255" s="209" t="n"/>
      <c r="T255" s="209" t="n"/>
      <c r="U255" s="209" t="n"/>
      <c r="V255" s="209" t="n"/>
      <c r="W255" s="209" t="n"/>
      <c r="X255" s="209" t="n"/>
      <c r="Y255" s="209" t="n"/>
      <c r="Z255" s="209" t="n"/>
      <c r="AA255" s="209" t="n"/>
    </row>
    <row r="256" ht="15.75" customHeight="1" s="230">
      <c r="A256" s="211" t="n"/>
      <c r="B256" s="211" t="n"/>
      <c r="C256" s="211" t="n"/>
      <c r="D256" s="211" t="n"/>
      <c r="E256" s="211" t="n"/>
      <c r="F256" s="213" t="n"/>
      <c r="G256" s="211" t="n"/>
      <c r="H256" s="211" t="n"/>
      <c r="I256" s="211" t="n"/>
      <c r="J256" s="209" t="n"/>
      <c r="K256" s="209" t="n"/>
      <c r="L256" s="209" t="n"/>
      <c r="M256" s="209" t="n"/>
      <c r="N256" s="209" t="n"/>
      <c r="O256" s="209" t="n"/>
      <c r="P256" s="209" t="n"/>
      <c r="Q256" s="209" t="n"/>
      <c r="R256" s="209" t="n"/>
      <c r="S256" s="209" t="n"/>
      <c r="T256" s="209" t="n"/>
      <c r="U256" s="209" t="n"/>
      <c r="V256" s="209" t="n"/>
      <c r="W256" s="209" t="n"/>
      <c r="X256" s="209" t="n"/>
      <c r="Y256" s="209" t="n"/>
      <c r="Z256" s="209" t="n"/>
      <c r="AA256" s="209" t="n"/>
    </row>
    <row r="257" ht="15.75" customHeight="1" s="230">
      <c r="A257" s="211" t="n"/>
      <c r="B257" s="211" t="n"/>
      <c r="C257" s="211" t="n"/>
      <c r="D257" s="211" t="n"/>
      <c r="E257" s="211" t="n"/>
      <c r="F257" s="213" t="n"/>
      <c r="G257" s="211" t="n"/>
      <c r="H257" s="211" t="n"/>
      <c r="I257" s="211" t="n"/>
      <c r="J257" s="209" t="n"/>
      <c r="K257" s="209" t="n"/>
      <c r="L257" s="209" t="n"/>
      <c r="M257" s="209" t="n"/>
      <c r="N257" s="209" t="n"/>
      <c r="O257" s="209" t="n"/>
      <c r="P257" s="209" t="n"/>
      <c r="Q257" s="209" t="n"/>
      <c r="R257" s="209" t="n"/>
      <c r="S257" s="209" t="n"/>
      <c r="T257" s="209" t="n"/>
      <c r="U257" s="209" t="n"/>
      <c r="V257" s="209" t="n"/>
      <c r="W257" s="209" t="n"/>
      <c r="X257" s="209" t="n"/>
      <c r="Y257" s="209" t="n"/>
      <c r="Z257" s="209" t="n"/>
      <c r="AA257" s="209" t="n"/>
    </row>
    <row r="258" ht="15.75" customHeight="1" s="230">
      <c r="A258" s="211" t="n"/>
      <c r="B258" s="211" t="n"/>
      <c r="C258" s="211" t="n"/>
      <c r="D258" s="211" t="n"/>
      <c r="E258" s="211" t="n"/>
      <c r="F258" s="213" t="n"/>
      <c r="G258" s="211" t="n"/>
      <c r="H258" s="211" t="n"/>
      <c r="I258" s="211" t="n"/>
      <c r="J258" s="209" t="n"/>
      <c r="K258" s="209" t="n"/>
      <c r="L258" s="209" t="n"/>
      <c r="M258" s="209" t="n"/>
      <c r="N258" s="209" t="n"/>
      <c r="O258" s="209" t="n"/>
      <c r="P258" s="209" t="n"/>
      <c r="Q258" s="209" t="n"/>
      <c r="R258" s="209" t="n"/>
      <c r="S258" s="209" t="n"/>
      <c r="T258" s="209" t="n"/>
      <c r="U258" s="209" t="n"/>
      <c r="V258" s="209" t="n"/>
      <c r="W258" s="209" t="n"/>
      <c r="X258" s="209" t="n"/>
      <c r="Y258" s="209" t="n"/>
      <c r="Z258" s="209" t="n"/>
      <c r="AA258" s="209" t="n"/>
    </row>
    <row r="259" ht="15.75" customHeight="1" s="230">
      <c r="A259" s="211" t="n"/>
      <c r="B259" s="211" t="n"/>
      <c r="C259" s="211" t="n"/>
      <c r="D259" s="211" t="n"/>
      <c r="E259" s="211" t="n"/>
      <c r="F259" s="213" t="n"/>
      <c r="G259" s="211" t="n"/>
      <c r="H259" s="211" t="n"/>
      <c r="I259" s="211" t="n"/>
      <c r="J259" s="209" t="n"/>
      <c r="K259" s="209" t="n"/>
      <c r="L259" s="209" t="n"/>
      <c r="M259" s="209" t="n"/>
      <c r="N259" s="209" t="n"/>
      <c r="O259" s="209" t="n"/>
      <c r="P259" s="209" t="n"/>
      <c r="Q259" s="209" t="n"/>
      <c r="R259" s="209" t="n"/>
      <c r="S259" s="209" t="n"/>
      <c r="T259" s="209" t="n"/>
      <c r="U259" s="209" t="n"/>
      <c r="V259" s="209" t="n"/>
      <c r="W259" s="209" t="n"/>
      <c r="X259" s="209" t="n"/>
      <c r="Y259" s="209" t="n"/>
      <c r="Z259" s="209" t="n"/>
      <c r="AA259" s="209" t="n"/>
    </row>
    <row r="260" ht="15.75" customHeight="1" s="230">
      <c r="A260" s="211" t="n"/>
      <c r="B260" s="211" t="n"/>
      <c r="C260" s="211" t="n"/>
      <c r="D260" s="211" t="n"/>
      <c r="E260" s="211" t="n"/>
      <c r="F260" s="213" t="n"/>
      <c r="G260" s="211" t="n"/>
      <c r="H260" s="211" t="n"/>
      <c r="I260" s="211" t="n"/>
      <c r="J260" s="209" t="n"/>
      <c r="K260" s="209" t="n"/>
      <c r="L260" s="209" t="n"/>
      <c r="M260" s="209" t="n"/>
      <c r="N260" s="209" t="n"/>
      <c r="O260" s="209" t="n"/>
      <c r="P260" s="209" t="n"/>
      <c r="Q260" s="209" t="n"/>
      <c r="R260" s="209" t="n"/>
      <c r="S260" s="209" t="n"/>
      <c r="T260" s="209" t="n"/>
      <c r="U260" s="209" t="n"/>
      <c r="V260" s="209" t="n"/>
      <c r="W260" s="209" t="n"/>
      <c r="X260" s="209" t="n"/>
      <c r="Y260" s="209" t="n"/>
      <c r="Z260" s="209" t="n"/>
      <c r="AA260" s="209" t="n"/>
    </row>
    <row r="261" ht="15.75" customHeight="1" s="230">
      <c r="A261" s="211" t="n"/>
      <c r="B261" s="211" t="n"/>
      <c r="C261" s="211" t="n"/>
      <c r="D261" s="211" t="n"/>
      <c r="E261" s="211" t="n"/>
      <c r="F261" s="213" t="n"/>
      <c r="G261" s="211" t="n"/>
      <c r="H261" s="211" t="n"/>
      <c r="I261" s="211" t="n"/>
      <c r="J261" s="209" t="n"/>
      <c r="K261" s="209" t="n"/>
      <c r="L261" s="209" t="n"/>
      <c r="M261" s="209" t="n"/>
      <c r="N261" s="209" t="n"/>
      <c r="O261" s="209" t="n"/>
      <c r="P261" s="209" t="n"/>
      <c r="Q261" s="209" t="n"/>
      <c r="R261" s="209" t="n"/>
      <c r="S261" s="209" t="n"/>
      <c r="T261" s="209" t="n"/>
      <c r="U261" s="209" t="n"/>
      <c r="V261" s="209" t="n"/>
      <c r="W261" s="209" t="n"/>
      <c r="X261" s="209" t="n"/>
      <c r="Y261" s="209" t="n"/>
      <c r="Z261" s="209" t="n"/>
      <c r="AA261" s="209" t="n"/>
    </row>
    <row r="262" ht="15.75" customHeight="1" s="230">
      <c r="A262" s="211" t="n"/>
      <c r="B262" s="211" t="n"/>
      <c r="C262" s="211" t="n"/>
      <c r="D262" s="211" t="n"/>
      <c r="E262" s="211" t="n"/>
      <c r="F262" s="213" t="n"/>
      <c r="G262" s="211" t="n"/>
      <c r="H262" s="211" t="n"/>
      <c r="I262" s="211" t="n"/>
      <c r="J262" s="209" t="n"/>
      <c r="K262" s="209" t="n"/>
      <c r="L262" s="209" t="n"/>
      <c r="M262" s="209" t="n"/>
      <c r="N262" s="209" t="n"/>
      <c r="O262" s="209" t="n"/>
      <c r="P262" s="209" t="n"/>
      <c r="Q262" s="209" t="n"/>
      <c r="R262" s="209" t="n"/>
      <c r="S262" s="209" t="n"/>
      <c r="T262" s="209" t="n"/>
      <c r="U262" s="209" t="n"/>
      <c r="V262" s="209" t="n"/>
      <c r="W262" s="209" t="n"/>
      <c r="X262" s="209" t="n"/>
      <c r="Y262" s="209" t="n"/>
      <c r="Z262" s="209" t="n"/>
      <c r="AA262" s="209" t="n"/>
    </row>
    <row r="263" ht="15.75" customHeight="1" s="230">
      <c r="A263" s="211" t="n"/>
      <c r="B263" s="211" t="n"/>
      <c r="C263" s="211" t="n"/>
      <c r="D263" s="211" t="n"/>
      <c r="E263" s="211" t="n"/>
      <c r="F263" s="213" t="n"/>
      <c r="G263" s="211" t="n"/>
      <c r="H263" s="211" t="n"/>
      <c r="I263" s="211" t="n"/>
      <c r="J263" s="209" t="n"/>
      <c r="K263" s="209" t="n"/>
      <c r="L263" s="209" t="n"/>
      <c r="M263" s="209" t="n"/>
      <c r="N263" s="209" t="n"/>
      <c r="O263" s="209" t="n"/>
      <c r="P263" s="209" t="n"/>
      <c r="Q263" s="209" t="n"/>
      <c r="R263" s="209" t="n"/>
      <c r="S263" s="209" t="n"/>
      <c r="T263" s="209" t="n"/>
      <c r="U263" s="209" t="n"/>
      <c r="V263" s="209" t="n"/>
      <c r="W263" s="209" t="n"/>
      <c r="X263" s="209" t="n"/>
      <c r="Y263" s="209" t="n"/>
      <c r="Z263" s="209" t="n"/>
      <c r="AA263" s="209" t="n"/>
    </row>
    <row r="264" ht="15.75" customHeight="1" s="230">
      <c r="A264" s="211" t="n"/>
      <c r="B264" s="211" t="n"/>
      <c r="C264" s="211" t="n"/>
      <c r="D264" s="211" t="n"/>
      <c r="E264" s="211" t="n"/>
      <c r="F264" s="213" t="n"/>
      <c r="G264" s="211" t="n"/>
      <c r="H264" s="211" t="n"/>
      <c r="I264" s="211" t="n"/>
      <c r="J264" s="209" t="n"/>
      <c r="K264" s="209" t="n"/>
      <c r="L264" s="209" t="n"/>
      <c r="M264" s="209" t="n"/>
      <c r="N264" s="209" t="n"/>
      <c r="O264" s="209" t="n"/>
      <c r="P264" s="209" t="n"/>
      <c r="Q264" s="209" t="n"/>
      <c r="R264" s="209" t="n"/>
      <c r="S264" s="209" t="n"/>
      <c r="T264" s="209" t="n"/>
      <c r="U264" s="209" t="n"/>
      <c r="V264" s="209" t="n"/>
      <c r="W264" s="209" t="n"/>
      <c r="X264" s="209" t="n"/>
      <c r="Y264" s="209" t="n"/>
      <c r="Z264" s="209" t="n"/>
      <c r="AA264" s="209" t="n"/>
    </row>
    <row r="265" ht="15.75" customHeight="1" s="230">
      <c r="A265" s="211" t="n"/>
      <c r="B265" s="211" t="n"/>
      <c r="C265" s="211" t="n"/>
      <c r="D265" s="211" t="n"/>
      <c r="E265" s="211" t="n"/>
      <c r="F265" s="213" t="n"/>
      <c r="G265" s="211" t="n"/>
      <c r="H265" s="211" t="n"/>
      <c r="I265" s="211" t="n"/>
      <c r="J265" s="209" t="n"/>
      <c r="K265" s="209" t="n"/>
      <c r="L265" s="209" t="n"/>
      <c r="M265" s="209" t="n"/>
      <c r="N265" s="209" t="n"/>
      <c r="O265" s="209" t="n"/>
      <c r="P265" s="209" t="n"/>
      <c r="Q265" s="209" t="n"/>
      <c r="R265" s="209" t="n"/>
      <c r="S265" s="209" t="n"/>
      <c r="T265" s="209" t="n"/>
      <c r="U265" s="209" t="n"/>
      <c r="V265" s="209" t="n"/>
      <c r="W265" s="209" t="n"/>
      <c r="X265" s="209" t="n"/>
      <c r="Y265" s="209" t="n"/>
      <c r="Z265" s="209" t="n"/>
      <c r="AA265" s="209" t="n"/>
    </row>
    <row r="266" ht="15.75" customHeight="1" s="230">
      <c r="A266" s="211" t="n"/>
      <c r="B266" s="211" t="n"/>
      <c r="C266" s="211" t="n"/>
      <c r="D266" s="211" t="n"/>
      <c r="E266" s="211" t="n"/>
      <c r="F266" s="213" t="n"/>
      <c r="G266" s="211" t="n"/>
      <c r="H266" s="211" t="n"/>
      <c r="I266" s="211" t="n"/>
      <c r="J266" s="209" t="n"/>
      <c r="K266" s="209" t="n"/>
      <c r="L266" s="209" t="n"/>
      <c r="M266" s="209" t="n"/>
      <c r="N266" s="209" t="n"/>
      <c r="O266" s="209" t="n"/>
      <c r="P266" s="209" t="n"/>
      <c r="Q266" s="209" t="n"/>
      <c r="R266" s="209" t="n"/>
      <c r="S266" s="209" t="n"/>
      <c r="T266" s="209" t="n"/>
      <c r="U266" s="209" t="n"/>
      <c r="V266" s="209" t="n"/>
      <c r="W266" s="209" t="n"/>
      <c r="X266" s="209" t="n"/>
      <c r="Y266" s="209" t="n"/>
      <c r="Z266" s="209" t="n"/>
      <c r="AA266" s="209" t="n"/>
    </row>
    <row r="267" ht="15.75" customHeight="1" s="230">
      <c r="A267" s="211" t="n"/>
      <c r="B267" s="211" t="n"/>
      <c r="C267" s="211" t="n"/>
      <c r="D267" s="211" t="n"/>
      <c r="E267" s="211" t="n"/>
      <c r="F267" s="213" t="n"/>
      <c r="G267" s="211" t="n"/>
      <c r="H267" s="211" t="n"/>
      <c r="I267" s="211" t="n"/>
      <c r="J267" s="209" t="n"/>
      <c r="K267" s="209" t="n"/>
      <c r="L267" s="209" t="n"/>
      <c r="M267" s="209" t="n"/>
      <c r="N267" s="209" t="n"/>
      <c r="O267" s="209" t="n"/>
      <c r="P267" s="209" t="n"/>
      <c r="Q267" s="209" t="n"/>
      <c r="R267" s="209" t="n"/>
      <c r="S267" s="209" t="n"/>
      <c r="T267" s="209" t="n"/>
      <c r="U267" s="209" t="n"/>
      <c r="V267" s="209" t="n"/>
      <c r="W267" s="209" t="n"/>
      <c r="X267" s="209" t="n"/>
      <c r="Y267" s="209" t="n"/>
      <c r="Z267" s="209" t="n"/>
      <c r="AA267" s="209" t="n"/>
    </row>
    <row r="268" ht="15.75" customHeight="1" s="230">
      <c r="A268" s="211" t="n"/>
      <c r="B268" s="211" t="n"/>
      <c r="C268" s="211" t="n"/>
      <c r="D268" s="211" t="n"/>
      <c r="E268" s="211" t="n"/>
      <c r="F268" s="213" t="n"/>
      <c r="G268" s="211" t="n"/>
      <c r="H268" s="211" t="n"/>
      <c r="I268" s="211" t="n"/>
      <c r="J268" s="209" t="n"/>
      <c r="K268" s="209" t="n"/>
      <c r="L268" s="209" t="n"/>
      <c r="M268" s="209" t="n"/>
      <c r="N268" s="209" t="n"/>
      <c r="O268" s="209" t="n"/>
      <c r="P268" s="209" t="n"/>
      <c r="Q268" s="209" t="n"/>
      <c r="R268" s="209" t="n"/>
      <c r="S268" s="209" t="n"/>
      <c r="T268" s="209" t="n"/>
      <c r="U268" s="209" t="n"/>
      <c r="V268" s="209" t="n"/>
      <c r="W268" s="209" t="n"/>
      <c r="X268" s="209" t="n"/>
      <c r="Y268" s="209" t="n"/>
      <c r="Z268" s="209" t="n"/>
      <c r="AA268" s="209" t="n"/>
    </row>
    <row r="269" ht="15.75" customHeight="1" s="230">
      <c r="A269" s="211" t="n"/>
      <c r="B269" s="211" t="n"/>
      <c r="C269" s="211" t="n"/>
      <c r="D269" s="211" t="n"/>
      <c r="E269" s="211" t="n"/>
      <c r="F269" s="213" t="n"/>
      <c r="G269" s="211" t="n"/>
      <c r="H269" s="211" t="n"/>
      <c r="I269" s="211" t="n"/>
      <c r="J269" s="209" t="n"/>
      <c r="K269" s="209" t="n"/>
      <c r="L269" s="209" t="n"/>
      <c r="M269" s="209" t="n"/>
      <c r="N269" s="209" t="n"/>
      <c r="O269" s="209" t="n"/>
      <c r="P269" s="209" t="n"/>
      <c r="Q269" s="209" t="n"/>
      <c r="R269" s="209" t="n"/>
      <c r="S269" s="209" t="n"/>
      <c r="T269" s="209" t="n"/>
      <c r="U269" s="209" t="n"/>
      <c r="V269" s="209" t="n"/>
      <c r="W269" s="209" t="n"/>
      <c r="X269" s="209" t="n"/>
      <c r="Y269" s="209" t="n"/>
      <c r="Z269" s="209" t="n"/>
      <c r="AA269" s="209" t="n"/>
    </row>
    <row r="270" ht="15.75" customHeight="1" s="230">
      <c r="A270" s="211" t="n"/>
      <c r="B270" s="211" t="n"/>
      <c r="C270" s="211" t="n"/>
      <c r="D270" s="211" t="n"/>
      <c r="E270" s="211" t="n"/>
      <c r="F270" s="213" t="n"/>
      <c r="G270" s="211" t="n"/>
      <c r="H270" s="211" t="n"/>
      <c r="I270" s="211" t="n"/>
      <c r="J270" s="209" t="n"/>
      <c r="K270" s="209" t="n"/>
      <c r="L270" s="209" t="n"/>
      <c r="M270" s="209" t="n"/>
      <c r="N270" s="209" t="n"/>
      <c r="O270" s="209" t="n"/>
      <c r="P270" s="209" t="n"/>
      <c r="Q270" s="209" t="n"/>
      <c r="R270" s="209" t="n"/>
      <c r="S270" s="209" t="n"/>
      <c r="T270" s="209" t="n"/>
      <c r="U270" s="209" t="n"/>
      <c r="V270" s="209" t="n"/>
      <c r="W270" s="209" t="n"/>
      <c r="X270" s="209" t="n"/>
      <c r="Y270" s="209" t="n"/>
      <c r="Z270" s="209" t="n"/>
      <c r="AA270" s="209" t="n"/>
    </row>
    <row r="271" ht="15.75" customHeight="1" s="230">
      <c r="A271" s="211" t="n"/>
      <c r="B271" s="211" t="n"/>
      <c r="C271" s="211" t="n"/>
      <c r="D271" s="211" t="n"/>
      <c r="E271" s="211" t="n"/>
      <c r="F271" s="213" t="n"/>
      <c r="G271" s="211" t="n"/>
      <c r="H271" s="211" t="n"/>
      <c r="I271" s="211" t="n"/>
      <c r="J271" s="209" t="n"/>
      <c r="K271" s="209" t="n"/>
      <c r="L271" s="209" t="n"/>
      <c r="M271" s="209" t="n"/>
      <c r="N271" s="209" t="n"/>
      <c r="O271" s="209" t="n"/>
      <c r="P271" s="209" t="n"/>
      <c r="Q271" s="209" t="n"/>
      <c r="R271" s="209" t="n"/>
      <c r="S271" s="209" t="n"/>
      <c r="T271" s="209" t="n"/>
      <c r="U271" s="209" t="n"/>
      <c r="V271" s="209" t="n"/>
      <c r="W271" s="209" t="n"/>
      <c r="X271" s="209" t="n"/>
      <c r="Y271" s="209" t="n"/>
      <c r="Z271" s="209" t="n"/>
      <c r="AA271" s="209" t="n"/>
    </row>
    <row r="272" ht="15.75" customHeight="1" s="230">
      <c r="A272" s="211" t="n"/>
      <c r="B272" s="211" t="n"/>
      <c r="C272" s="211" t="n"/>
      <c r="D272" s="211" t="n"/>
      <c r="E272" s="211" t="n"/>
      <c r="F272" s="213" t="n"/>
      <c r="G272" s="211" t="n"/>
      <c r="H272" s="211" t="n"/>
      <c r="I272" s="211" t="n"/>
      <c r="J272" s="209" t="n"/>
      <c r="K272" s="209" t="n"/>
      <c r="L272" s="209" t="n"/>
      <c r="M272" s="209" t="n"/>
      <c r="N272" s="209" t="n"/>
      <c r="O272" s="209" t="n"/>
      <c r="P272" s="209" t="n"/>
      <c r="Q272" s="209" t="n"/>
      <c r="R272" s="209" t="n"/>
      <c r="S272" s="209" t="n"/>
      <c r="T272" s="209" t="n"/>
      <c r="U272" s="209" t="n"/>
      <c r="V272" s="209" t="n"/>
      <c r="W272" s="209" t="n"/>
      <c r="X272" s="209" t="n"/>
      <c r="Y272" s="209" t="n"/>
      <c r="Z272" s="209" t="n"/>
      <c r="AA272" s="209" t="n"/>
    </row>
    <row r="273" ht="15.75" customHeight="1" s="230">
      <c r="A273" s="211" t="n"/>
      <c r="B273" s="211" t="n"/>
      <c r="C273" s="211" t="n"/>
      <c r="D273" s="211" t="n"/>
      <c r="E273" s="211" t="n"/>
      <c r="F273" s="213" t="n"/>
      <c r="G273" s="211" t="n"/>
      <c r="H273" s="211" t="n"/>
      <c r="I273" s="211" t="n"/>
      <c r="J273" s="209" t="n"/>
      <c r="K273" s="209" t="n"/>
      <c r="L273" s="209" t="n"/>
      <c r="M273" s="209" t="n"/>
      <c r="N273" s="209" t="n"/>
      <c r="O273" s="209" t="n"/>
      <c r="P273" s="209" t="n"/>
      <c r="Q273" s="209" t="n"/>
      <c r="R273" s="209" t="n"/>
      <c r="S273" s="209" t="n"/>
      <c r="T273" s="209" t="n"/>
      <c r="U273" s="209" t="n"/>
      <c r="V273" s="209" t="n"/>
      <c r="W273" s="209" t="n"/>
      <c r="X273" s="209" t="n"/>
      <c r="Y273" s="209" t="n"/>
      <c r="Z273" s="209" t="n"/>
      <c r="AA273" s="209" t="n"/>
    </row>
    <row r="274" ht="15.75" customHeight="1" s="230">
      <c r="A274" s="211" t="n"/>
      <c r="B274" s="211" t="n"/>
      <c r="C274" s="211" t="n"/>
      <c r="D274" s="211" t="n"/>
      <c r="E274" s="211" t="n"/>
      <c r="F274" s="213" t="n"/>
      <c r="G274" s="211" t="n"/>
      <c r="H274" s="211" t="n"/>
      <c r="I274" s="211" t="n"/>
      <c r="J274" s="209" t="n"/>
      <c r="K274" s="209" t="n"/>
      <c r="L274" s="209" t="n"/>
      <c r="M274" s="209" t="n"/>
      <c r="N274" s="209" t="n"/>
      <c r="O274" s="209" t="n"/>
      <c r="P274" s="209" t="n"/>
      <c r="Q274" s="209" t="n"/>
      <c r="R274" s="209" t="n"/>
      <c r="S274" s="209" t="n"/>
      <c r="T274" s="209" t="n"/>
      <c r="U274" s="209" t="n"/>
      <c r="V274" s="209" t="n"/>
      <c r="W274" s="209" t="n"/>
      <c r="X274" s="209" t="n"/>
      <c r="Y274" s="209" t="n"/>
      <c r="Z274" s="209" t="n"/>
      <c r="AA274" s="209" t="n"/>
    </row>
    <row r="275" ht="15.75" customHeight="1" s="230">
      <c r="A275" s="211" t="n"/>
      <c r="B275" s="211" t="n"/>
      <c r="C275" s="211" t="n"/>
      <c r="D275" s="211" t="n"/>
      <c r="E275" s="211" t="n"/>
      <c r="F275" s="213" t="n"/>
      <c r="G275" s="211" t="n"/>
      <c r="H275" s="211" t="n"/>
      <c r="I275" s="211" t="n"/>
      <c r="J275" s="209" t="n"/>
      <c r="K275" s="209" t="n"/>
      <c r="L275" s="209" t="n"/>
      <c r="M275" s="209" t="n"/>
      <c r="N275" s="209" t="n"/>
      <c r="O275" s="209" t="n"/>
      <c r="P275" s="209" t="n"/>
      <c r="Q275" s="209" t="n"/>
      <c r="R275" s="209" t="n"/>
      <c r="S275" s="209" t="n"/>
      <c r="T275" s="209" t="n"/>
      <c r="U275" s="209" t="n"/>
      <c r="V275" s="209" t="n"/>
      <c r="W275" s="209" t="n"/>
      <c r="X275" s="209" t="n"/>
      <c r="Y275" s="209" t="n"/>
      <c r="Z275" s="209" t="n"/>
      <c r="AA275" s="209" t="n"/>
    </row>
    <row r="276" ht="15.75" customHeight="1" s="230">
      <c r="A276" s="211" t="n"/>
      <c r="B276" s="211" t="n"/>
      <c r="C276" s="211" t="n"/>
      <c r="D276" s="211" t="n"/>
      <c r="E276" s="211" t="n"/>
      <c r="F276" s="213" t="n"/>
      <c r="G276" s="211" t="n"/>
      <c r="H276" s="211" t="n"/>
      <c r="I276" s="211" t="n"/>
      <c r="J276" s="209" t="n"/>
      <c r="K276" s="209" t="n"/>
      <c r="L276" s="209" t="n"/>
      <c r="M276" s="209" t="n"/>
      <c r="N276" s="209" t="n"/>
      <c r="O276" s="209" t="n"/>
      <c r="P276" s="209" t="n"/>
      <c r="Q276" s="209" t="n"/>
      <c r="R276" s="209" t="n"/>
      <c r="S276" s="209" t="n"/>
      <c r="T276" s="209" t="n"/>
      <c r="U276" s="209" t="n"/>
      <c r="V276" s="209" t="n"/>
      <c r="W276" s="209" t="n"/>
      <c r="X276" s="209" t="n"/>
      <c r="Y276" s="209" t="n"/>
      <c r="Z276" s="209" t="n"/>
      <c r="AA276" s="209" t="n"/>
    </row>
    <row r="277" ht="15.75" customHeight="1" s="230">
      <c r="A277" s="211" t="n"/>
      <c r="B277" s="211" t="n"/>
      <c r="C277" s="211" t="n"/>
      <c r="D277" s="211" t="n"/>
      <c r="E277" s="211" t="n"/>
      <c r="F277" s="213" t="n"/>
      <c r="G277" s="211" t="n"/>
      <c r="H277" s="211" t="n"/>
      <c r="I277" s="211" t="n"/>
      <c r="J277" s="209" t="n"/>
      <c r="K277" s="209" t="n"/>
      <c r="L277" s="209" t="n"/>
      <c r="M277" s="209" t="n"/>
      <c r="N277" s="209" t="n"/>
      <c r="O277" s="209" t="n"/>
      <c r="P277" s="209" t="n"/>
      <c r="Q277" s="209" t="n"/>
      <c r="R277" s="209" t="n"/>
      <c r="S277" s="209" t="n"/>
      <c r="T277" s="209" t="n"/>
      <c r="U277" s="209" t="n"/>
      <c r="V277" s="209" t="n"/>
      <c r="W277" s="209" t="n"/>
      <c r="X277" s="209" t="n"/>
      <c r="Y277" s="209" t="n"/>
      <c r="Z277" s="209" t="n"/>
      <c r="AA277" s="209" t="n"/>
    </row>
    <row r="278" ht="15.75" customHeight="1" s="230">
      <c r="A278" s="211" t="n"/>
      <c r="B278" s="211" t="n"/>
      <c r="C278" s="211" t="n"/>
      <c r="D278" s="211" t="n"/>
      <c r="E278" s="211" t="n"/>
      <c r="F278" s="213" t="n"/>
      <c r="G278" s="211" t="n"/>
      <c r="H278" s="211" t="n"/>
      <c r="I278" s="211" t="n"/>
      <c r="J278" s="209" t="n"/>
      <c r="K278" s="209" t="n"/>
      <c r="L278" s="209" t="n"/>
      <c r="M278" s="209" t="n"/>
      <c r="N278" s="209" t="n"/>
      <c r="O278" s="209" t="n"/>
      <c r="P278" s="209" t="n"/>
      <c r="Q278" s="209" t="n"/>
      <c r="R278" s="209" t="n"/>
      <c r="S278" s="209" t="n"/>
      <c r="T278" s="209" t="n"/>
      <c r="U278" s="209" t="n"/>
      <c r="V278" s="209" t="n"/>
      <c r="W278" s="209" t="n"/>
      <c r="X278" s="209" t="n"/>
      <c r="Y278" s="209" t="n"/>
      <c r="Z278" s="209" t="n"/>
      <c r="AA278" s="209" t="n"/>
    </row>
    <row r="279" ht="15.75" customHeight="1" s="230">
      <c r="A279" s="211" t="n"/>
      <c r="B279" s="211" t="n"/>
      <c r="C279" s="211" t="n"/>
      <c r="D279" s="211" t="n"/>
      <c r="E279" s="211" t="n"/>
      <c r="F279" s="213" t="n"/>
      <c r="G279" s="211" t="n"/>
      <c r="H279" s="211" t="n"/>
      <c r="I279" s="211" t="n"/>
      <c r="J279" s="209" t="n"/>
      <c r="K279" s="209" t="n"/>
      <c r="L279" s="209" t="n"/>
      <c r="M279" s="209" t="n"/>
      <c r="N279" s="209" t="n"/>
      <c r="O279" s="209" t="n"/>
      <c r="P279" s="209" t="n"/>
      <c r="Q279" s="209" t="n"/>
      <c r="R279" s="209" t="n"/>
      <c r="S279" s="209" t="n"/>
      <c r="T279" s="209" t="n"/>
      <c r="U279" s="209" t="n"/>
      <c r="V279" s="209" t="n"/>
      <c r="W279" s="209" t="n"/>
      <c r="X279" s="209" t="n"/>
      <c r="Y279" s="209" t="n"/>
      <c r="Z279" s="209" t="n"/>
      <c r="AA279" s="209" t="n"/>
    </row>
    <row r="280" ht="15.75" customHeight="1" s="230">
      <c r="A280" s="211" t="n"/>
      <c r="B280" s="211" t="n"/>
      <c r="C280" s="211" t="n"/>
      <c r="D280" s="211" t="n"/>
      <c r="E280" s="211" t="n"/>
      <c r="F280" s="213" t="n"/>
      <c r="G280" s="211" t="n"/>
      <c r="H280" s="211" t="n"/>
      <c r="I280" s="211" t="n"/>
      <c r="J280" s="209" t="n"/>
      <c r="K280" s="209" t="n"/>
      <c r="L280" s="209" t="n"/>
      <c r="M280" s="209" t="n"/>
      <c r="N280" s="209" t="n"/>
      <c r="O280" s="209" t="n"/>
      <c r="P280" s="209" t="n"/>
      <c r="Q280" s="209" t="n"/>
      <c r="R280" s="209" t="n"/>
      <c r="S280" s="209" t="n"/>
      <c r="T280" s="209" t="n"/>
      <c r="U280" s="209" t="n"/>
      <c r="V280" s="209" t="n"/>
      <c r="W280" s="209" t="n"/>
      <c r="X280" s="209" t="n"/>
      <c r="Y280" s="209" t="n"/>
      <c r="Z280" s="209" t="n"/>
      <c r="AA280" s="209" t="n"/>
    </row>
    <row r="281" ht="15.75" customHeight="1" s="230">
      <c r="A281" s="211" t="n"/>
      <c r="B281" s="211" t="n"/>
      <c r="C281" s="211" t="n"/>
      <c r="D281" s="211" t="n"/>
      <c r="E281" s="211" t="n"/>
      <c r="F281" s="213" t="n"/>
      <c r="G281" s="211" t="n"/>
      <c r="H281" s="211" t="n"/>
      <c r="I281" s="211" t="n"/>
      <c r="J281" s="209" t="n"/>
      <c r="K281" s="209" t="n"/>
      <c r="L281" s="209" t="n"/>
      <c r="M281" s="209" t="n"/>
      <c r="N281" s="209" t="n"/>
      <c r="O281" s="209" t="n"/>
      <c r="P281" s="209" t="n"/>
      <c r="Q281" s="209" t="n"/>
      <c r="R281" s="209" t="n"/>
      <c r="S281" s="209" t="n"/>
      <c r="T281" s="209" t="n"/>
      <c r="U281" s="209" t="n"/>
      <c r="V281" s="209" t="n"/>
      <c r="W281" s="209" t="n"/>
      <c r="X281" s="209" t="n"/>
      <c r="Y281" s="209" t="n"/>
      <c r="Z281" s="209" t="n"/>
      <c r="AA281" s="209" t="n"/>
    </row>
    <row r="282" ht="15.75" customHeight="1" s="230">
      <c r="A282" s="211" t="n"/>
      <c r="B282" s="211" t="n"/>
      <c r="C282" s="211" t="n"/>
      <c r="D282" s="211" t="n"/>
      <c r="E282" s="211" t="n"/>
      <c r="F282" s="213" t="n"/>
      <c r="G282" s="211" t="n"/>
      <c r="H282" s="211" t="n"/>
      <c r="I282" s="211" t="n"/>
      <c r="J282" s="209" t="n"/>
      <c r="K282" s="209" t="n"/>
      <c r="L282" s="209" t="n"/>
      <c r="M282" s="209" t="n"/>
      <c r="N282" s="209" t="n"/>
      <c r="O282" s="209" t="n"/>
      <c r="P282" s="209" t="n"/>
      <c r="Q282" s="209" t="n"/>
      <c r="R282" s="209" t="n"/>
      <c r="S282" s="209" t="n"/>
      <c r="T282" s="209" t="n"/>
      <c r="U282" s="209" t="n"/>
      <c r="V282" s="209" t="n"/>
      <c r="W282" s="209" t="n"/>
      <c r="X282" s="209" t="n"/>
      <c r="Y282" s="209" t="n"/>
      <c r="Z282" s="209" t="n"/>
      <c r="AA282" s="209" t="n"/>
    </row>
    <row r="283" ht="15.75" customHeight="1" s="230">
      <c r="A283" s="211" t="n"/>
      <c r="B283" s="211" t="n"/>
      <c r="C283" s="211" t="n"/>
      <c r="D283" s="211" t="n"/>
      <c r="E283" s="211" t="n"/>
      <c r="F283" s="213" t="n"/>
      <c r="G283" s="211" t="n"/>
      <c r="H283" s="211" t="n"/>
      <c r="I283" s="211" t="n"/>
      <c r="J283" s="209" t="n"/>
      <c r="K283" s="209" t="n"/>
      <c r="L283" s="209" t="n"/>
      <c r="M283" s="209" t="n"/>
      <c r="N283" s="209" t="n"/>
      <c r="O283" s="209" t="n"/>
      <c r="P283" s="209" t="n"/>
      <c r="Q283" s="209" t="n"/>
      <c r="R283" s="209" t="n"/>
      <c r="S283" s="209" t="n"/>
      <c r="T283" s="209" t="n"/>
      <c r="U283" s="209" t="n"/>
      <c r="V283" s="209" t="n"/>
      <c r="W283" s="209" t="n"/>
      <c r="X283" s="209" t="n"/>
      <c r="Y283" s="209" t="n"/>
      <c r="Z283" s="209" t="n"/>
      <c r="AA283" s="209" t="n"/>
    </row>
    <row r="284" ht="15.75" customHeight="1" s="230">
      <c r="A284" s="211" t="n"/>
      <c r="B284" s="211" t="n"/>
      <c r="C284" s="211" t="n"/>
      <c r="D284" s="211" t="n"/>
      <c r="E284" s="211" t="n"/>
      <c r="F284" s="213" t="n"/>
      <c r="G284" s="211" t="n"/>
      <c r="H284" s="211" t="n"/>
      <c r="I284" s="211" t="n"/>
      <c r="J284" s="209" t="n"/>
      <c r="K284" s="209" t="n"/>
      <c r="L284" s="209" t="n"/>
      <c r="M284" s="209" t="n"/>
      <c r="N284" s="209" t="n"/>
      <c r="O284" s="209" t="n"/>
      <c r="P284" s="209" t="n"/>
      <c r="Q284" s="209" t="n"/>
      <c r="R284" s="209" t="n"/>
      <c r="S284" s="209" t="n"/>
      <c r="T284" s="209" t="n"/>
      <c r="U284" s="209" t="n"/>
      <c r="V284" s="209" t="n"/>
      <c r="W284" s="209" t="n"/>
      <c r="X284" s="209" t="n"/>
      <c r="Y284" s="209" t="n"/>
      <c r="Z284" s="209" t="n"/>
      <c r="AA284" s="209" t="n"/>
    </row>
    <row r="285" ht="15.75" customHeight="1" s="230">
      <c r="A285" s="211" t="n"/>
      <c r="B285" s="211" t="n"/>
      <c r="C285" s="211" t="n"/>
      <c r="D285" s="211" t="n"/>
      <c r="E285" s="211" t="n"/>
      <c r="F285" s="213" t="n"/>
      <c r="G285" s="211" t="n"/>
      <c r="H285" s="211" t="n"/>
      <c r="I285" s="211" t="n"/>
      <c r="J285" s="209" t="n"/>
      <c r="K285" s="209" t="n"/>
      <c r="L285" s="209" t="n"/>
      <c r="M285" s="209" t="n"/>
      <c r="N285" s="209" t="n"/>
      <c r="O285" s="209" t="n"/>
      <c r="P285" s="209" t="n"/>
      <c r="Q285" s="209" t="n"/>
      <c r="R285" s="209" t="n"/>
      <c r="S285" s="209" t="n"/>
      <c r="T285" s="209" t="n"/>
      <c r="U285" s="209" t="n"/>
      <c r="V285" s="209" t="n"/>
      <c r="W285" s="209" t="n"/>
      <c r="X285" s="209" t="n"/>
      <c r="Y285" s="209" t="n"/>
      <c r="Z285" s="209" t="n"/>
      <c r="AA285" s="209" t="n"/>
    </row>
    <row r="286" ht="15.75" customHeight="1" s="230">
      <c r="A286" s="211" t="n"/>
      <c r="B286" s="211" t="n"/>
      <c r="C286" s="211" t="n"/>
      <c r="D286" s="211" t="n"/>
      <c r="E286" s="211" t="n"/>
      <c r="F286" s="213" t="n"/>
      <c r="G286" s="211" t="n"/>
      <c r="H286" s="211" t="n"/>
      <c r="I286" s="211" t="n"/>
      <c r="J286" s="209" t="n"/>
      <c r="K286" s="209" t="n"/>
      <c r="L286" s="209" t="n"/>
      <c r="M286" s="209" t="n"/>
      <c r="N286" s="209" t="n"/>
      <c r="O286" s="209" t="n"/>
      <c r="P286" s="209" t="n"/>
      <c r="Q286" s="209" t="n"/>
      <c r="R286" s="209" t="n"/>
      <c r="S286" s="209" t="n"/>
      <c r="T286" s="209" t="n"/>
      <c r="U286" s="209" t="n"/>
      <c r="V286" s="209" t="n"/>
      <c r="W286" s="209" t="n"/>
      <c r="X286" s="209" t="n"/>
      <c r="Y286" s="209" t="n"/>
      <c r="Z286" s="209" t="n"/>
      <c r="AA286" s="209" t="n"/>
    </row>
    <row r="287" ht="15.75" customHeight="1" s="230">
      <c r="A287" s="211" t="n"/>
      <c r="B287" s="211" t="n"/>
      <c r="C287" s="211" t="n"/>
      <c r="D287" s="211" t="n"/>
      <c r="E287" s="211" t="n"/>
      <c r="F287" s="213" t="n"/>
      <c r="G287" s="211" t="n"/>
      <c r="H287" s="211" t="n"/>
      <c r="I287" s="211" t="n"/>
      <c r="J287" s="209" t="n"/>
      <c r="K287" s="209" t="n"/>
      <c r="L287" s="209" t="n"/>
      <c r="M287" s="209" t="n"/>
      <c r="N287" s="209" t="n"/>
      <c r="O287" s="209" t="n"/>
      <c r="P287" s="209" t="n"/>
      <c r="Q287" s="209" t="n"/>
      <c r="R287" s="209" t="n"/>
      <c r="S287" s="209" t="n"/>
      <c r="T287" s="209" t="n"/>
      <c r="U287" s="209" t="n"/>
      <c r="V287" s="209" t="n"/>
      <c r="W287" s="209" t="n"/>
      <c r="X287" s="209" t="n"/>
      <c r="Y287" s="209" t="n"/>
      <c r="Z287" s="209" t="n"/>
      <c r="AA287" s="209" t="n"/>
    </row>
    <row r="288" ht="15.75" customHeight="1" s="230">
      <c r="A288" s="211" t="n"/>
      <c r="B288" s="211" t="n"/>
      <c r="C288" s="211" t="n"/>
      <c r="D288" s="211" t="n"/>
      <c r="E288" s="211" t="n"/>
      <c r="F288" s="213" t="n"/>
      <c r="G288" s="211" t="n"/>
      <c r="H288" s="211" t="n"/>
      <c r="I288" s="211" t="n"/>
      <c r="J288" s="209" t="n"/>
      <c r="K288" s="209" t="n"/>
      <c r="L288" s="209" t="n"/>
      <c r="M288" s="209" t="n"/>
      <c r="N288" s="209" t="n"/>
      <c r="O288" s="209" t="n"/>
      <c r="P288" s="209" t="n"/>
      <c r="Q288" s="209" t="n"/>
      <c r="R288" s="209" t="n"/>
      <c r="S288" s="209" t="n"/>
      <c r="T288" s="209" t="n"/>
      <c r="U288" s="209" t="n"/>
      <c r="V288" s="209" t="n"/>
      <c r="W288" s="209" t="n"/>
      <c r="X288" s="209" t="n"/>
      <c r="Y288" s="209" t="n"/>
      <c r="Z288" s="209" t="n"/>
      <c r="AA288" s="209" t="n"/>
    </row>
    <row r="289" ht="15.75" customHeight="1" s="230">
      <c r="A289" s="211" t="n"/>
      <c r="B289" s="211" t="n"/>
      <c r="C289" s="211" t="n"/>
      <c r="D289" s="211" t="n"/>
      <c r="E289" s="211" t="n"/>
      <c r="F289" s="213" t="n"/>
      <c r="G289" s="211" t="n"/>
      <c r="H289" s="211" t="n"/>
      <c r="I289" s="211" t="n"/>
      <c r="J289" s="209" t="n"/>
      <c r="K289" s="209" t="n"/>
      <c r="L289" s="209" t="n"/>
      <c r="M289" s="209" t="n"/>
      <c r="N289" s="209" t="n"/>
      <c r="O289" s="209" t="n"/>
      <c r="P289" s="209" t="n"/>
      <c r="Q289" s="209" t="n"/>
      <c r="R289" s="209" t="n"/>
      <c r="S289" s="209" t="n"/>
      <c r="T289" s="209" t="n"/>
      <c r="U289" s="209" t="n"/>
      <c r="V289" s="209" t="n"/>
      <c r="W289" s="209" t="n"/>
      <c r="X289" s="209" t="n"/>
      <c r="Y289" s="209" t="n"/>
      <c r="Z289" s="209" t="n"/>
      <c r="AA289" s="209" t="n"/>
    </row>
    <row r="290" ht="15.75" customHeight="1" s="230">
      <c r="A290" s="211" t="n"/>
      <c r="B290" s="211" t="n"/>
      <c r="C290" s="211" t="n"/>
      <c r="D290" s="211" t="n"/>
      <c r="E290" s="211" t="n"/>
      <c r="F290" s="213" t="n"/>
      <c r="G290" s="211" t="n"/>
      <c r="H290" s="211" t="n"/>
      <c r="I290" s="211" t="n"/>
      <c r="J290" s="209" t="n"/>
      <c r="K290" s="209" t="n"/>
      <c r="L290" s="209" t="n"/>
      <c r="M290" s="209" t="n"/>
      <c r="N290" s="209" t="n"/>
      <c r="O290" s="209" t="n"/>
      <c r="P290" s="209" t="n"/>
      <c r="Q290" s="209" t="n"/>
      <c r="R290" s="209" t="n"/>
      <c r="S290" s="209" t="n"/>
      <c r="T290" s="209" t="n"/>
      <c r="U290" s="209" t="n"/>
      <c r="V290" s="209" t="n"/>
      <c r="W290" s="209" t="n"/>
      <c r="X290" s="209" t="n"/>
      <c r="Y290" s="209" t="n"/>
      <c r="Z290" s="209" t="n"/>
      <c r="AA290" s="209" t="n"/>
    </row>
    <row r="291" ht="15.75" customHeight="1" s="230">
      <c r="A291" s="211" t="n"/>
      <c r="B291" s="211" t="n"/>
      <c r="C291" s="211" t="n"/>
      <c r="D291" s="211" t="n"/>
      <c r="E291" s="211" t="n"/>
      <c r="F291" s="213" t="n"/>
      <c r="G291" s="211" t="n"/>
      <c r="H291" s="211" t="n"/>
      <c r="I291" s="211" t="n"/>
      <c r="J291" s="209" t="n"/>
      <c r="K291" s="209" t="n"/>
      <c r="L291" s="209" t="n"/>
      <c r="M291" s="209" t="n"/>
      <c r="N291" s="209" t="n"/>
      <c r="O291" s="209" t="n"/>
      <c r="P291" s="209" t="n"/>
      <c r="Q291" s="209" t="n"/>
      <c r="R291" s="209" t="n"/>
      <c r="S291" s="209" t="n"/>
      <c r="T291" s="209" t="n"/>
      <c r="U291" s="209" t="n"/>
      <c r="V291" s="209" t="n"/>
      <c r="W291" s="209" t="n"/>
      <c r="X291" s="209" t="n"/>
      <c r="Y291" s="209" t="n"/>
      <c r="Z291" s="209" t="n"/>
      <c r="AA291" s="209" t="n"/>
    </row>
    <row r="292" ht="15.75" customHeight="1" s="230">
      <c r="A292" s="211" t="n"/>
      <c r="B292" s="211" t="n"/>
      <c r="C292" s="211" t="n"/>
      <c r="D292" s="211" t="n"/>
      <c r="E292" s="211" t="n"/>
      <c r="F292" s="213" t="n"/>
      <c r="G292" s="211" t="n"/>
      <c r="H292" s="211" t="n"/>
      <c r="I292" s="211" t="n"/>
      <c r="J292" s="209" t="n"/>
      <c r="K292" s="209" t="n"/>
      <c r="L292" s="209" t="n"/>
      <c r="M292" s="209" t="n"/>
      <c r="N292" s="209" t="n"/>
      <c r="O292" s="209" t="n"/>
      <c r="P292" s="209" t="n"/>
      <c r="Q292" s="209" t="n"/>
      <c r="R292" s="209" t="n"/>
      <c r="S292" s="209" t="n"/>
      <c r="T292" s="209" t="n"/>
      <c r="U292" s="209" t="n"/>
      <c r="V292" s="209" t="n"/>
      <c r="W292" s="209" t="n"/>
      <c r="X292" s="209" t="n"/>
      <c r="Y292" s="209" t="n"/>
      <c r="Z292" s="209" t="n"/>
      <c r="AA292" s="209" t="n"/>
    </row>
    <row r="293" ht="15.75" customHeight="1" s="230">
      <c r="A293" s="211" t="n"/>
      <c r="B293" s="211" t="n"/>
      <c r="C293" s="211" t="n"/>
      <c r="D293" s="211" t="n"/>
      <c r="E293" s="211" t="n"/>
      <c r="F293" s="213" t="n"/>
      <c r="G293" s="211" t="n"/>
      <c r="H293" s="211" t="n"/>
      <c r="I293" s="211" t="n"/>
      <c r="J293" s="209" t="n"/>
      <c r="K293" s="209" t="n"/>
      <c r="L293" s="209" t="n"/>
      <c r="M293" s="209" t="n"/>
      <c r="N293" s="209" t="n"/>
      <c r="O293" s="209" t="n"/>
      <c r="P293" s="209" t="n"/>
      <c r="Q293" s="209" t="n"/>
      <c r="R293" s="209" t="n"/>
      <c r="S293" s="209" t="n"/>
      <c r="T293" s="209" t="n"/>
      <c r="U293" s="209" t="n"/>
      <c r="V293" s="209" t="n"/>
      <c r="W293" s="209" t="n"/>
      <c r="X293" s="209" t="n"/>
      <c r="Y293" s="209" t="n"/>
      <c r="Z293" s="209" t="n"/>
      <c r="AA293" s="209" t="n"/>
    </row>
    <row r="294" ht="15.75" customHeight="1" s="230">
      <c r="A294" s="211" t="n"/>
      <c r="B294" s="211" t="n"/>
      <c r="C294" s="211" t="n"/>
      <c r="D294" s="211" t="n"/>
      <c r="E294" s="211" t="n"/>
      <c r="F294" s="213" t="n"/>
      <c r="G294" s="211" t="n"/>
      <c r="H294" s="211" t="n"/>
      <c r="I294" s="211" t="n"/>
      <c r="J294" s="209" t="n"/>
      <c r="K294" s="209" t="n"/>
      <c r="L294" s="209" t="n"/>
      <c r="M294" s="209" t="n"/>
      <c r="N294" s="209" t="n"/>
      <c r="O294" s="209" t="n"/>
      <c r="P294" s="209" t="n"/>
      <c r="Q294" s="209" t="n"/>
      <c r="R294" s="209" t="n"/>
      <c r="S294" s="209" t="n"/>
      <c r="T294" s="209" t="n"/>
      <c r="U294" s="209" t="n"/>
      <c r="V294" s="209" t="n"/>
      <c r="W294" s="209" t="n"/>
      <c r="X294" s="209" t="n"/>
      <c r="Y294" s="209" t="n"/>
      <c r="Z294" s="209" t="n"/>
      <c r="AA294" s="209" t="n"/>
    </row>
    <row r="295" ht="15.75" customHeight="1" s="230">
      <c r="A295" s="211" t="n"/>
      <c r="B295" s="211" t="n"/>
      <c r="C295" s="211" t="n"/>
      <c r="D295" s="211" t="n"/>
      <c r="E295" s="211" t="n"/>
      <c r="F295" s="213" t="n"/>
      <c r="G295" s="211" t="n"/>
      <c r="H295" s="211" t="n"/>
      <c r="I295" s="211" t="n"/>
      <c r="J295" s="209" t="n"/>
      <c r="K295" s="209" t="n"/>
      <c r="L295" s="209" t="n"/>
      <c r="M295" s="209" t="n"/>
      <c r="N295" s="209" t="n"/>
      <c r="O295" s="209" t="n"/>
      <c r="P295" s="209" t="n"/>
      <c r="Q295" s="209" t="n"/>
      <c r="R295" s="209" t="n"/>
      <c r="S295" s="209" t="n"/>
      <c r="T295" s="209" t="n"/>
      <c r="U295" s="209" t="n"/>
      <c r="V295" s="209" t="n"/>
      <c r="W295" s="209" t="n"/>
      <c r="X295" s="209" t="n"/>
      <c r="Y295" s="209" t="n"/>
      <c r="Z295" s="209" t="n"/>
      <c r="AA295" s="209" t="n"/>
    </row>
    <row r="296" ht="15.75" customHeight="1" s="230">
      <c r="A296" s="211" t="n"/>
      <c r="B296" s="211" t="n"/>
      <c r="C296" s="211" t="n"/>
      <c r="D296" s="211" t="n"/>
      <c r="E296" s="211" t="n"/>
      <c r="F296" s="213" t="n"/>
      <c r="G296" s="211" t="n"/>
      <c r="H296" s="211" t="n"/>
      <c r="I296" s="211" t="n"/>
      <c r="J296" s="209" t="n"/>
      <c r="K296" s="209" t="n"/>
      <c r="L296" s="209" t="n"/>
      <c r="M296" s="209" t="n"/>
      <c r="N296" s="209" t="n"/>
      <c r="O296" s="209" t="n"/>
      <c r="P296" s="209" t="n"/>
      <c r="Q296" s="209" t="n"/>
      <c r="R296" s="209" t="n"/>
      <c r="S296" s="209" t="n"/>
      <c r="T296" s="209" t="n"/>
      <c r="U296" s="209" t="n"/>
      <c r="V296" s="209" t="n"/>
      <c r="W296" s="209" t="n"/>
      <c r="X296" s="209" t="n"/>
      <c r="Y296" s="209" t="n"/>
      <c r="Z296" s="209" t="n"/>
      <c r="AA296" s="209" t="n"/>
    </row>
    <row r="297" ht="15.75" customHeight="1" s="230">
      <c r="A297" s="211" t="n"/>
      <c r="B297" s="211" t="n"/>
      <c r="C297" s="211" t="n"/>
      <c r="D297" s="211" t="n"/>
      <c r="E297" s="211" t="n"/>
      <c r="F297" s="213" t="n"/>
      <c r="G297" s="211" t="n"/>
      <c r="H297" s="211" t="n"/>
      <c r="I297" s="211" t="n"/>
      <c r="J297" s="209" t="n"/>
      <c r="K297" s="209" t="n"/>
      <c r="L297" s="209" t="n"/>
      <c r="M297" s="209" t="n"/>
      <c r="N297" s="209" t="n"/>
      <c r="O297" s="209" t="n"/>
      <c r="P297" s="209" t="n"/>
      <c r="Q297" s="209" t="n"/>
      <c r="R297" s="209" t="n"/>
      <c r="S297" s="209" t="n"/>
      <c r="T297" s="209" t="n"/>
      <c r="U297" s="209" t="n"/>
      <c r="V297" s="209" t="n"/>
      <c r="W297" s="209" t="n"/>
      <c r="X297" s="209" t="n"/>
      <c r="Y297" s="209" t="n"/>
      <c r="Z297" s="209" t="n"/>
      <c r="AA297" s="209" t="n"/>
    </row>
    <row r="298" ht="15.75" customHeight="1" s="230">
      <c r="A298" s="211" t="n"/>
      <c r="B298" s="211" t="n"/>
      <c r="C298" s="211" t="n"/>
      <c r="D298" s="211" t="n"/>
      <c r="E298" s="211" t="n"/>
      <c r="F298" s="213" t="n"/>
      <c r="G298" s="211" t="n"/>
      <c r="H298" s="211" t="n"/>
      <c r="I298" s="211" t="n"/>
      <c r="J298" s="209" t="n"/>
      <c r="K298" s="209" t="n"/>
      <c r="L298" s="209" t="n"/>
      <c r="M298" s="209" t="n"/>
      <c r="N298" s="209" t="n"/>
      <c r="O298" s="209" t="n"/>
      <c r="P298" s="209" t="n"/>
      <c r="Q298" s="209" t="n"/>
      <c r="R298" s="209" t="n"/>
      <c r="S298" s="209" t="n"/>
      <c r="T298" s="209" t="n"/>
      <c r="U298" s="209" t="n"/>
      <c r="V298" s="209" t="n"/>
      <c r="W298" s="209" t="n"/>
      <c r="X298" s="209" t="n"/>
      <c r="Y298" s="209" t="n"/>
      <c r="Z298" s="209" t="n"/>
      <c r="AA298" s="209" t="n"/>
    </row>
    <row r="299" ht="15.75" customHeight="1" s="230">
      <c r="A299" s="211" t="n"/>
      <c r="B299" s="211" t="n"/>
      <c r="C299" s="211" t="n"/>
      <c r="D299" s="211" t="n"/>
      <c r="E299" s="211" t="n"/>
      <c r="F299" s="213" t="n"/>
      <c r="G299" s="211" t="n"/>
      <c r="H299" s="211" t="n"/>
      <c r="I299" s="211" t="n"/>
      <c r="J299" s="209" t="n"/>
      <c r="K299" s="209" t="n"/>
      <c r="L299" s="209" t="n"/>
      <c r="M299" s="209" t="n"/>
      <c r="N299" s="209" t="n"/>
      <c r="O299" s="209" t="n"/>
      <c r="P299" s="209" t="n"/>
      <c r="Q299" s="209" t="n"/>
      <c r="R299" s="209" t="n"/>
      <c r="S299" s="209" t="n"/>
      <c r="T299" s="209" t="n"/>
      <c r="U299" s="209" t="n"/>
      <c r="V299" s="209" t="n"/>
      <c r="W299" s="209" t="n"/>
      <c r="X299" s="209" t="n"/>
      <c r="Y299" s="209" t="n"/>
      <c r="Z299" s="209" t="n"/>
      <c r="AA299" s="209" t="n"/>
    </row>
    <row r="300" ht="15.75" customHeight="1" s="230">
      <c r="A300" s="211" t="n"/>
      <c r="B300" s="211" t="n"/>
      <c r="C300" s="211" t="n"/>
      <c r="D300" s="211" t="n"/>
      <c r="E300" s="211" t="n"/>
      <c r="F300" s="213" t="n"/>
      <c r="G300" s="211" t="n"/>
      <c r="H300" s="211" t="n"/>
      <c r="I300" s="211" t="n"/>
      <c r="J300" s="209" t="n"/>
      <c r="K300" s="209" t="n"/>
      <c r="L300" s="209" t="n"/>
      <c r="M300" s="209" t="n"/>
      <c r="N300" s="209" t="n"/>
      <c r="O300" s="209" t="n"/>
      <c r="P300" s="209" t="n"/>
      <c r="Q300" s="209" t="n"/>
      <c r="R300" s="209" t="n"/>
      <c r="S300" s="209" t="n"/>
      <c r="T300" s="209" t="n"/>
      <c r="U300" s="209" t="n"/>
      <c r="V300" s="209" t="n"/>
      <c r="W300" s="209" t="n"/>
      <c r="X300" s="209" t="n"/>
      <c r="Y300" s="209" t="n"/>
      <c r="Z300" s="209" t="n"/>
      <c r="AA300" s="209" t="n"/>
    </row>
    <row r="301" ht="15.75" customHeight="1" s="230">
      <c r="A301" s="211" t="n"/>
      <c r="B301" s="211" t="n"/>
      <c r="C301" s="211" t="n"/>
      <c r="D301" s="211" t="n"/>
      <c r="E301" s="211" t="n"/>
      <c r="F301" s="213" t="n"/>
      <c r="G301" s="211" t="n"/>
      <c r="H301" s="211" t="n"/>
      <c r="I301" s="211" t="n"/>
      <c r="J301" s="209" t="n"/>
      <c r="K301" s="209" t="n"/>
      <c r="L301" s="209" t="n"/>
      <c r="M301" s="209" t="n"/>
      <c r="N301" s="209" t="n"/>
      <c r="O301" s="209" t="n"/>
      <c r="P301" s="209" t="n"/>
      <c r="Q301" s="209" t="n"/>
      <c r="R301" s="209" t="n"/>
      <c r="S301" s="209" t="n"/>
      <c r="T301" s="209" t="n"/>
      <c r="U301" s="209" t="n"/>
      <c r="V301" s="209" t="n"/>
      <c r="W301" s="209" t="n"/>
      <c r="X301" s="209" t="n"/>
      <c r="Y301" s="209" t="n"/>
      <c r="Z301" s="209" t="n"/>
      <c r="AA301" s="209" t="n"/>
    </row>
    <row r="302" ht="15.75" customHeight="1" s="230">
      <c r="A302" s="211" t="n"/>
      <c r="B302" s="211" t="n"/>
      <c r="C302" s="211" t="n"/>
      <c r="D302" s="211" t="n"/>
      <c r="E302" s="211" t="n"/>
      <c r="F302" s="213" t="n"/>
      <c r="G302" s="211" t="n"/>
      <c r="H302" s="211" t="n"/>
      <c r="I302" s="211" t="n"/>
      <c r="J302" s="209" t="n"/>
      <c r="K302" s="209" t="n"/>
      <c r="L302" s="209" t="n"/>
      <c r="M302" s="209" t="n"/>
      <c r="N302" s="209" t="n"/>
      <c r="O302" s="209" t="n"/>
      <c r="P302" s="209" t="n"/>
      <c r="Q302" s="209" t="n"/>
      <c r="R302" s="209" t="n"/>
      <c r="S302" s="209" t="n"/>
      <c r="T302" s="209" t="n"/>
      <c r="U302" s="209" t="n"/>
      <c r="V302" s="209" t="n"/>
      <c r="W302" s="209" t="n"/>
      <c r="X302" s="209" t="n"/>
      <c r="Y302" s="209" t="n"/>
      <c r="Z302" s="209" t="n"/>
      <c r="AA302" s="209" t="n"/>
    </row>
    <row r="303" ht="15.75" customHeight="1" s="230">
      <c r="A303" s="211" t="n"/>
      <c r="B303" s="211" t="n"/>
      <c r="C303" s="211" t="n"/>
      <c r="D303" s="211" t="n"/>
      <c r="E303" s="211" t="n"/>
      <c r="F303" s="213" t="n"/>
      <c r="G303" s="211" t="n"/>
      <c r="H303" s="211" t="n"/>
      <c r="I303" s="211" t="n"/>
      <c r="J303" s="209" t="n"/>
      <c r="K303" s="209" t="n"/>
      <c r="L303" s="209" t="n"/>
      <c r="M303" s="209" t="n"/>
      <c r="N303" s="209" t="n"/>
      <c r="O303" s="209" t="n"/>
      <c r="P303" s="209" t="n"/>
      <c r="Q303" s="209" t="n"/>
      <c r="R303" s="209" t="n"/>
      <c r="S303" s="209" t="n"/>
      <c r="T303" s="209" t="n"/>
      <c r="U303" s="209" t="n"/>
      <c r="V303" s="209" t="n"/>
      <c r="W303" s="209" t="n"/>
      <c r="X303" s="209" t="n"/>
      <c r="Y303" s="209" t="n"/>
      <c r="Z303" s="209" t="n"/>
      <c r="AA303" s="209" t="n"/>
    </row>
    <row r="304" ht="15.75" customHeight="1" s="230">
      <c r="A304" s="211" t="n"/>
      <c r="B304" s="211" t="n"/>
      <c r="C304" s="211" t="n"/>
      <c r="D304" s="211" t="n"/>
      <c r="E304" s="211" t="n"/>
      <c r="F304" s="213" t="n"/>
      <c r="G304" s="211" t="n"/>
      <c r="H304" s="211" t="n"/>
      <c r="I304" s="211" t="n"/>
      <c r="J304" s="209" t="n"/>
      <c r="K304" s="209" t="n"/>
      <c r="L304" s="209" t="n"/>
      <c r="M304" s="209" t="n"/>
      <c r="N304" s="209" t="n"/>
      <c r="O304" s="209" t="n"/>
      <c r="P304" s="209" t="n"/>
      <c r="Q304" s="209" t="n"/>
      <c r="R304" s="209" t="n"/>
      <c r="S304" s="209" t="n"/>
      <c r="T304" s="209" t="n"/>
      <c r="U304" s="209" t="n"/>
      <c r="V304" s="209" t="n"/>
      <c r="W304" s="209" t="n"/>
      <c r="X304" s="209" t="n"/>
      <c r="Y304" s="209" t="n"/>
      <c r="Z304" s="209" t="n"/>
      <c r="AA304" s="209" t="n"/>
    </row>
    <row r="305" ht="15.75" customHeight="1" s="230">
      <c r="A305" s="211" t="n"/>
      <c r="B305" s="211" t="n"/>
      <c r="C305" s="211" t="n"/>
      <c r="D305" s="211" t="n"/>
      <c r="E305" s="211" t="n"/>
      <c r="F305" s="213" t="n"/>
      <c r="G305" s="211" t="n"/>
      <c r="H305" s="211" t="n"/>
      <c r="I305" s="211" t="n"/>
      <c r="J305" s="209" t="n"/>
      <c r="K305" s="209" t="n"/>
      <c r="L305" s="209" t="n"/>
      <c r="M305" s="209" t="n"/>
      <c r="N305" s="209" t="n"/>
      <c r="O305" s="209" t="n"/>
      <c r="P305" s="209" t="n"/>
      <c r="Q305" s="209" t="n"/>
      <c r="R305" s="209" t="n"/>
      <c r="S305" s="209" t="n"/>
      <c r="T305" s="209" t="n"/>
      <c r="U305" s="209" t="n"/>
      <c r="V305" s="209" t="n"/>
      <c r="W305" s="209" t="n"/>
      <c r="X305" s="209" t="n"/>
      <c r="Y305" s="209" t="n"/>
      <c r="Z305" s="209" t="n"/>
      <c r="AA305" s="209" t="n"/>
    </row>
    <row r="306" ht="15.75" customHeight="1" s="230">
      <c r="A306" s="211" t="n"/>
      <c r="B306" s="211" t="n"/>
      <c r="C306" s="211" t="n"/>
      <c r="D306" s="211" t="n"/>
      <c r="E306" s="211" t="n"/>
      <c r="F306" s="213" t="n"/>
      <c r="G306" s="211" t="n"/>
      <c r="H306" s="211" t="n"/>
      <c r="I306" s="211" t="n"/>
      <c r="J306" s="209" t="n"/>
      <c r="K306" s="209" t="n"/>
      <c r="L306" s="209" t="n"/>
      <c r="M306" s="209" t="n"/>
      <c r="N306" s="209" t="n"/>
      <c r="O306" s="209" t="n"/>
      <c r="P306" s="209" t="n"/>
      <c r="Q306" s="209" t="n"/>
      <c r="R306" s="209" t="n"/>
      <c r="S306" s="209" t="n"/>
      <c r="T306" s="209" t="n"/>
      <c r="U306" s="209" t="n"/>
      <c r="V306" s="209" t="n"/>
      <c r="W306" s="209" t="n"/>
      <c r="X306" s="209" t="n"/>
      <c r="Y306" s="209" t="n"/>
      <c r="Z306" s="209" t="n"/>
      <c r="AA306" s="209" t="n"/>
    </row>
  </sheetData>
  <autoFilter ref="$A$2:$I$106"/>
  <mergeCells count="1">
    <mergeCell ref="A1:I1"/>
  </mergeCells>
  <dataValidations count="1">
    <dataValidation sqref="A2 D2" showDropDown="0" showInputMessage="1" showErrorMessage="1" allowBlank="1" prompt="Date Entry - Select a date from the calendar." type="date">
      <formula1>DATE(2000,1,1)</formula1>
      <formula2>DATE(2100,12,31)</formula2>
    </dataValidation>
  </dataValidation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0.5" customWidth="1" style="230" min="1" max="1"/>
    <col width="12.25" customWidth="1" style="230" min="2" max="2"/>
    <col width="11.38" customWidth="1" style="230" min="3" max="3"/>
    <col width="10.5" customWidth="1" style="230" min="4" max="4"/>
    <col width="12.25" customWidth="1" style="230" min="5" max="5"/>
    <col width="14" customWidth="1" style="230" min="6" max="6"/>
  </cols>
  <sheetData>
    <row r="1" ht="27.75" customHeight="1" s="230">
      <c r="A1" s="226" t="inlineStr">
        <is>
          <t>Shed No.</t>
        </is>
      </c>
      <c r="B1" s="226" t="inlineStr">
        <is>
          <t>Total Stacks</t>
        </is>
      </c>
      <c r="C1" s="226" t="inlineStr">
        <is>
          <t>Occupied</t>
        </is>
      </c>
      <c r="D1" s="226" t="inlineStr">
        <is>
          <t>Empty</t>
        </is>
      </c>
      <c r="E1" s="226" t="inlineStr">
        <is>
          <t>Total Bags</t>
        </is>
      </c>
      <c r="F1" s="227" t="inlineStr">
        <is>
          <t>Total Qty (MT)</t>
        </is>
      </c>
    </row>
    <row r="2" ht="15" customHeight="1" s="230">
      <c r="A2" s="228" t="n">
        <v>9</v>
      </c>
      <c r="B2" s="228">
        <f>COUNTIF('Master Stock'!C:C,A2)</f>
        <v/>
      </c>
      <c r="C2" s="228">
        <f>COUNTIFS('Master Stock'!C:C,A2,'Master Stock'!H:H,"OCCUPIED")</f>
        <v/>
      </c>
      <c r="D2" s="228">
        <f>COUNTIFS('Master Stock'!C:C,A2,'Master Stock'!H:H,"EMPTY")</f>
        <v/>
      </c>
      <c r="E2" s="228">
        <f>SUMIF('Master Stock'!C:C,A2,'Master Stock'!E:E)</f>
        <v/>
      </c>
      <c r="F2" s="229">
        <f>SUMIF('Master Stock'!C:C,A2,'Master Stock'!F:F)</f>
        <v/>
      </c>
    </row>
    <row r="3" ht="15" customHeight="1" s="230">
      <c r="A3" s="228" t="n">
        <v>14</v>
      </c>
      <c r="B3" s="228">
        <f>COUNTIF('Master Stock'!C:C,A3)</f>
        <v/>
      </c>
      <c r="C3" s="228">
        <f>COUNTIFS('Master Stock'!C:C,A3,'Master Stock'!H:H,"OCCUPIED")</f>
        <v/>
      </c>
      <c r="D3" s="228">
        <f>COUNTIFS('Master Stock'!C:C,A3,'Master Stock'!H:H,"EMPTY")</f>
        <v/>
      </c>
      <c r="E3" s="228">
        <f>SUMIF('Master Stock'!C:C,A3,'Master Stock'!E:E)</f>
        <v/>
      </c>
      <c r="F3" s="229">
        <f>SUMIF('Master Stock'!C:C,A3,'Master Stock'!F:F)</f>
        <v/>
      </c>
    </row>
    <row r="4" ht="15" customHeight="1" s="230">
      <c r="A4" s="228" t="n">
        <v>18</v>
      </c>
      <c r="B4" s="228">
        <f>COUNTIF('Master Stock'!C:C,A4)</f>
        <v/>
      </c>
      <c r="C4" s="228">
        <f>COUNTIFS('Master Stock'!C:C,A4,'Master Stock'!H:H,"OCCUPIED")</f>
        <v/>
      </c>
      <c r="D4" s="228">
        <f>COUNTIFS('Master Stock'!C:C,A4,'Master Stock'!H:H,"EMPTY")</f>
        <v/>
      </c>
      <c r="E4" s="228">
        <f>SUMIF('Master Stock'!C:C,A4,'Master Stock'!E:E)</f>
        <v/>
      </c>
      <c r="F4" s="229">
        <f>SUMIF('Master Stock'!C:C,A4,'Master Stock'!F:F)</f>
        <v/>
      </c>
    </row>
    <row r="5" ht="15" customHeight="1" s="230">
      <c r="A5" s="228" t="n">
        <v>20</v>
      </c>
      <c r="B5" s="228">
        <f>COUNTIF('Master Stock'!C:C,A5)</f>
        <v/>
      </c>
      <c r="C5" s="228">
        <f>COUNTIFS('Master Stock'!C:C,A5,'Master Stock'!H:H,"OCCUPIED")</f>
        <v/>
      </c>
      <c r="D5" s="228">
        <f>COUNTIFS('Master Stock'!C:C,A5,'Master Stock'!H:H,"EMPTY")</f>
        <v/>
      </c>
      <c r="E5" s="228">
        <f>SUMIF('Master Stock'!C:C,A5,'Master Stock'!E:E)</f>
        <v/>
      </c>
      <c r="F5" s="229">
        <f>SUMIF('Master Stock'!C:C,A5,'Master Stock'!F:F)</f>
        <v/>
      </c>
    </row>
    <row r="6" ht="15" customHeight="1" s="230">
      <c r="A6" s="228" t="inlineStr">
        <is>
          <t>TS</t>
        </is>
      </c>
      <c r="B6" s="228" t="n"/>
      <c r="C6" s="228" t="n"/>
      <c r="D6" s="228" t="n"/>
      <c r="E6" s="228" t="n"/>
      <c r="F6" s="229" t="n"/>
    </row>
    <row r="7" ht="27.75" customHeight="1" s="230">
      <c r="A7" s="228" t="inlineStr">
        <is>
          <t>GRAND TOTAL</t>
        </is>
      </c>
      <c r="B7" s="228">
        <f>SUM(B2:B6)</f>
        <v/>
      </c>
      <c r="C7" s="228">
        <f>SUM(C2:C6)</f>
        <v/>
      </c>
      <c r="D7" s="228">
        <f>SUM(D2:D6)</f>
        <v/>
      </c>
      <c r="E7" s="228">
        <f>SUM(E2:E5)</f>
        <v/>
      </c>
      <c r="F7" s="229">
        <f>SUM(F2:F5)</f>
        <v/>
      </c>
    </row>
    <row r="8" ht="15" customHeight="1" s="230">
      <c r="A8" s="96" t="n"/>
      <c r="B8" s="96" t="n"/>
      <c r="C8" s="96" t="n"/>
      <c r="D8" s="96" t="n"/>
      <c r="E8" s="96" t="n"/>
      <c r="F8" s="118" t="n"/>
    </row>
    <row r="9" ht="15" customHeight="1" s="230">
      <c r="A9" s="96" t="n"/>
      <c r="B9" s="96" t="n"/>
      <c r="C9" s="96" t="n"/>
      <c r="D9" s="96" t="n"/>
      <c r="E9" s="96" t="n"/>
      <c r="F9" s="118" t="n"/>
    </row>
    <row r="10" ht="15" customHeight="1" s="230">
      <c r="A10" s="96" t="n"/>
      <c r="B10" s="96" t="n"/>
      <c r="C10" s="96" t="n"/>
      <c r="D10" s="96" t="n"/>
      <c r="E10" s="96" t="n"/>
      <c r="F10" s="118" t="n"/>
    </row>
    <row r="11" ht="15" customHeight="1" s="230">
      <c r="A11" s="96" t="n"/>
      <c r="B11" s="96" t="n"/>
      <c r="C11" s="96" t="n"/>
      <c r="D11" s="96" t="n"/>
      <c r="E11" s="96" t="n"/>
      <c r="F11" s="118" t="n"/>
    </row>
    <row r="12" ht="15" customHeight="1" s="230">
      <c r="A12" s="96" t="n"/>
      <c r="B12" s="96" t="n"/>
      <c r="C12" s="96" t="n"/>
      <c r="D12" s="96" t="n"/>
      <c r="E12" s="96" t="n"/>
      <c r="F12" s="118" t="n"/>
    </row>
    <row r="13" ht="15" customHeight="1" s="230">
      <c r="A13" s="96" t="n"/>
      <c r="B13" s="96" t="n"/>
      <c r="C13" s="96" t="n"/>
      <c r="D13" s="96" t="n"/>
      <c r="E13" s="96" t="n"/>
      <c r="F13" s="118" t="n"/>
    </row>
    <row r="14" ht="15" customHeight="1" s="230">
      <c r="A14" s="96" t="n"/>
      <c r="B14" s="96" t="n"/>
      <c r="C14" s="96" t="n"/>
      <c r="D14" s="96" t="n"/>
      <c r="E14" s="96" t="n"/>
      <c r="F14" s="118" t="n"/>
    </row>
    <row r="15" ht="15" customHeight="1" s="230">
      <c r="A15" s="96" t="n"/>
      <c r="B15" s="96" t="n"/>
      <c r="C15" s="96" t="n"/>
      <c r="D15" s="96" t="n"/>
      <c r="E15" s="96" t="n"/>
      <c r="F15" s="118" t="n"/>
    </row>
    <row r="16" ht="15" customHeight="1" s="230">
      <c r="A16" s="96" t="n"/>
      <c r="B16" s="96" t="n"/>
      <c r="C16" s="96" t="n"/>
      <c r="D16" s="96" t="n"/>
      <c r="E16" s="96" t="n"/>
      <c r="F16" s="118" t="n"/>
    </row>
    <row r="17" ht="15" customHeight="1" s="230">
      <c r="A17" s="96" t="n"/>
      <c r="B17" s="96" t="n"/>
      <c r="C17" s="96" t="n"/>
      <c r="D17" s="96" t="n"/>
      <c r="E17" s="96" t="n"/>
      <c r="F17" s="118" t="n"/>
    </row>
    <row r="18" ht="15" customHeight="1" s="230">
      <c r="A18" s="96" t="n"/>
      <c r="B18" s="96" t="n"/>
      <c r="C18" s="96" t="n"/>
      <c r="D18" s="96" t="n"/>
      <c r="E18" s="96" t="n"/>
      <c r="F18" s="118" t="n"/>
    </row>
    <row r="19" ht="15" customHeight="1" s="230">
      <c r="A19" s="96" t="n"/>
      <c r="B19" s="96" t="n"/>
      <c r="C19" s="96" t="n"/>
      <c r="D19" s="96" t="n"/>
      <c r="E19" s="96" t="n"/>
      <c r="F19" s="118" t="n"/>
    </row>
    <row r="20" ht="15" customHeight="1" s="230">
      <c r="A20" s="96" t="n"/>
      <c r="B20" s="96" t="n"/>
      <c r="C20" s="96" t="n"/>
      <c r="D20" s="96" t="n"/>
      <c r="E20" s="96" t="n"/>
      <c r="F20" s="118" t="n"/>
    </row>
    <row r="21" ht="15" customHeight="1" s="230">
      <c r="A21" s="96" t="n"/>
      <c r="B21" s="96" t="n"/>
      <c r="C21" s="96" t="n"/>
      <c r="D21" s="96" t="n"/>
      <c r="E21" s="96" t="n"/>
      <c r="F21" s="118" t="n"/>
    </row>
    <row r="22" ht="15.75" customHeight="1" s="230">
      <c r="A22" s="96" t="n"/>
      <c r="B22" s="96" t="n"/>
      <c r="C22" s="96" t="n"/>
      <c r="D22" s="96" t="n"/>
      <c r="E22" s="96" t="n"/>
      <c r="F22" s="118" t="n"/>
    </row>
    <row r="23" ht="15.75" customHeight="1" s="230">
      <c r="A23" s="96" t="n"/>
      <c r="B23" s="96" t="n"/>
      <c r="C23" s="96" t="n"/>
      <c r="D23" s="96" t="n"/>
      <c r="E23" s="96" t="n"/>
      <c r="F23" s="118" t="n"/>
    </row>
    <row r="24" ht="15.75" customHeight="1" s="230">
      <c r="A24" s="96" t="n"/>
      <c r="B24" s="96" t="n"/>
      <c r="C24" s="96" t="n"/>
      <c r="D24" s="96" t="n"/>
      <c r="E24" s="96" t="n"/>
      <c r="F24" s="118" t="n"/>
    </row>
    <row r="25" ht="15.75" customHeight="1" s="230">
      <c r="A25" s="96" t="n"/>
      <c r="B25" s="96" t="n"/>
      <c r="C25" s="96" t="n"/>
      <c r="D25" s="96" t="n"/>
      <c r="E25" s="96" t="n"/>
      <c r="F25" s="118" t="n"/>
    </row>
    <row r="26" ht="15.75" customHeight="1" s="230">
      <c r="A26" s="96" t="n"/>
      <c r="B26" s="96" t="n"/>
      <c r="C26" s="96" t="n"/>
      <c r="D26" s="96" t="n"/>
      <c r="E26" s="96" t="n"/>
      <c r="F26" s="118" t="n"/>
    </row>
    <row r="27" ht="15.75" customHeight="1" s="230">
      <c r="A27" s="96" t="n"/>
      <c r="B27" s="96" t="n"/>
      <c r="C27" s="96" t="n"/>
      <c r="D27" s="96" t="n"/>
      <c r="E27" s="96" t="n"/>
      <c r="F27" s="118" t="n"/>
    </row>
    <row r="28" ht="15.75" customHeight="1" s="230">
      <c r="A28" s="96" t="n"/>
      <c r="B28" s="96" t="n"/>
      <c r="C28" s="96" t="n"/>
      <c r="D28" s="96" t="n"/>
      <c r="E28" s="96" t="n"/>
      <c r="F28" s="118" t="n"/>
    </row>
    <row r="29" ht="15.75" customHeight="1" s="230">
      <c r="A29" s="96" t="n"/>
      <c r="B29" s="96" t="n"/>
      <c r="C29" s="96" t="n"/>
      <c r="D29" s="96" t="n"/>
      <c r="E29" s="96" t="n"/>
      <c r="F29" s="118" t="n"/>
    </row>
    <row r="30" ht="15.75" customHeight="1" s="230">
      <c r="A30" s="96" t="n"/>
      <c r="B30" s="96" t="n"/>
      <c r="C30" s="96" t="n"/>
      <c r="D30" s="96" t="n"/>
      <c r="E30" s="96" t="n"/>
      <c r="F30" s="118" t="n"/>
    </row>
    <row r="31" ht="15.75" customHeight="1" s="230">
      <c r="A31" s="96" t="n"/>
      <c r="B31" s="96" t="n"/>
      <c r="C31" s="96" t="n"/>
      <c r="D31" s="96" t="n"/>
      <c r="E31" s="96" t="n"/>
      <c r="F31" s="118" t="n"/>
    </row>
    <row r="32" ht="15.75" customHeight="1" s="230">
      <c r="A32" s="96" t="n"/>
      <c r="B32" s="96" t="n"/>
      <c r="C32" s="96" t="n"/>
      <c r="D32" s="96" t="n"/>
      <c r="E32" s="96" t="n"/>
      <c r="F32" s="118" t="n"/>
    </row>
    <row r="33" ht="15.75" customHeight="1" s="230">
      <c r="A33" s="96" t="n"/>
      <c r="B33" s="96" t="n"/>
      <c r="C33" s="96" t="n"/>
      <c r="D33" s="96" t="n"/>
      <c r="E33" s="96" t="n"/>
      <c r="F33" s="118" t="n"/>
    </row>
    <row r="34" ht="15.75" customHeight="1" s="230">
      <c r="A34" s="96" t="n"/>
      <c r="B34" s="96" t="n"/>
      <c r="C34" s="96" t="n"/>
      <c r="D34" s="96" t="n"/>
      <c r="E34" s="96" t="n"/>
      <c r="F34" s="118" t="n"/>
    </row>
    <row r="35" ht="15.75" customHeight="1" s="230">
      <c r="A35" s="96" t="n"/>
      <c r="B35" s="96" t="n"/>
      <c r="C35" s="96" t="n"/>
      <c r="D35" s="96" t="n"/>
      <c r="E35" s="96" t="n"/>
      <c r="F35" s="118" t="n"/>
    </row>
    <row r="36" ht="15.75" customHeight="1" s="230">
      <c r="A36" s="96" t="n"/>
      <c r="B36" s="96" t="n"/>
      <c r="C36" s="96" t="n"/>
      <c r="D36" s="96" t="n"/>
      <c r="E36" s="96" t="n"/>
      <c r="F36" s="118" t="n"/>
    </row>
    <row r="37" ht="15.75" customHeight="1" s="230">
      <c r="A37" s="96" t="n"/>
      <c r="B37" s="96" t="n"/>
      <c r="C37" s="96" t="n"/>
      <c r="D37" s="96" t="n"/>
      <c r="E37" s="96" t="n"/>
      <c r="F37" s="118" t="n"/>
    </row>
    <row r="38" ht="15.75" customHeight="1" s="230">
      <c r="A38" s="96" t="n"/>
      <c r="B38" s="96" t="n"/>
      <c r="C38" s="96" t="n"/>
      <c r="D38" s="96" t="n"/>
      <c r="E38" s="96" t="n"/>
      <c r="F38" s="118" t="n"/>
    </row>
    <row r="39" ht="15.75" customHeight="1" s="230">
      <c r="A39" s="96" t="n"/>
      <c r="B39" s="96" t="n"/>
      <c r="C39" s="96" t="n"/>
      <c r="D39" s="96" t="n"/>
      <c r="E39" s="96" t="n"/>
      <c r="F39" s="118" t="n"/>
    </row>
    <row r="40" ht="15.75" customHeight="1" s="230">
      <c r="A40" s="96" t="n"/>
      <c r="B40" s="96" t="n"/>
      <c r="C40" s="96" t="n"/>
      <c r="D40" s="96" t="n"/>
      <c r="E40" s="96" t="n"/>
      <c r="F40" s="118" t="n"/>
    </row>
    <row r="41" ht="15.75" customHeight="1" s="230">
      <c r="A41" s="96" t="n"/>
      <c r="B41" s="96" t="n"/>
      <c r="C41" s="96" t="n"/>
      <c r="D41" s="96" t="n"/>
      <c r="E41" s="96" t="n"/>
      <c r="F41" s="118" t="n"/>
    </row>
    <row r="42" ht="15.75" customHeight="1" s="230">
      <c r="A42" s="96" t="n"/>
      <c r="B42" s="96" t="n"/>
      <c r="C42" s="96" t="n"/>
      <c r="D42" s="96" t="n"/>
      <c r="E42" s="96" t="n"/>
      <c r="F42" s="118" t="n"/>
    </row>
    <row r="43" ht="15.75" customHeight="1" s="230">
      <c r="A43" s="96" t="n"/>
      <c r="B43" s="96" t="n"/>
      <c r="C43" s="96" t="n"/>
      <c r="D43" s="96" t="n"/>
      <c r="E43" s="96" t="n"/>
      <c r="F43" s="118" t="n"/>
    </row>
    <row r="44" ht="15.75" customHeight="1" s="230">
      <c r="A44" s="96" t="n"/>
      <c r="B44" s="96" t="n"/>
      <c r="C44" s="96" t="n"/>
      <c r="D44" s="96" t="n"/>
      <c r="E44" s="96" t="n"/>
      <c r="F44" s="118" t="n"/>
    </row>
    <row r="45" ht="15.75" customHeight="1" s="230">
      <c r="A45" s="96" t="n"/>
      <c r="B45" s="96" t="n"/>
      <c r="C45" s="96" t="n"/>
      <c r="D45" s="96" t="n"/>
      <c r="E45" s="96" t="n"/>
      <c r="F45" s="118" t="n"/>
    </row>
    <row r="46" ht="15.75" customHeight="1" s="230">
      <c r="A46" s="96" t="n"/>
      <c r="B46" s="96" t="n"/>
      <c r="C46" s="96" t="n"/>
      <c r="D46" s="96" t="n"/>
      <c r="E46" s="96" t="n"/>
      <c r="F46" s="118" t="n"/>
    </row>
    <row r="47" ht="15.75" customHeight="1" s="230">
      <c r="A47" s="96" t="n"/>
      <c r="B47" s="96" t="n"/>
      <c r="C47" s="96" t="n"/>
      <c r="D47" s="96" t="n"/>
      <c r="E47" s="96" t="n"/>
      <c r="F47" s="118" t="n"/>
    </row>
    <row r="48" ht="15.75" customHeight="1" s="230">
      <c r="A48" s="96" t="n"/>
      <c r="B48" s="96" t="n"/>
      <c r="C48" s="96" t="n"/>
      <c r="D48" s="96" t="n"/>
      <c r="E48" s="96" t="n"/>
      <c r="F48" s="118" t="n"/>
    </row>
    <row r="49" ht="15.75" customHeight="1" s="230">
      <c r="A49" s="96" t="n"/>
      <c r="B49" s="96" t="n"/>
      <c r="C49" s="96" t="n"/>
      <c r="D49" s="96" t="n"/>
      <c r="E49" s="96" t="n"/>
      <c r="F49" s="118" t="n"/>
    </row>
    <row r="50" ht="15.75" customHeight="1" s="230">
      <c r="A50" s="96" t="n"/>
      <c r="B50" s="96" t="n"/>
      <c r="C50" s="96" t="n"/>
      <c r="D50" s="96" t="n"/>
      <c r="E50" s="96" t="n"/>
      <c r="F50" s="118" t="n"/>
    </row>
    <row r="51" ht="15.75" customHeight="1" s="230">
      <c r="A51" s="96" t="n"/>
      <c r="B51" s="96" t="n"/>
      <c r="C51" s="96" t="n"/>
      <c r="D51" s="96" t="n"/>
      <c r="E51" s="96" t="n"/>
      <c r="F51" s="118" t="n"/>
    </row>
    <row r="52" ht="15.75" customHeight="1" s="230">
      <c r="A52" s="96" t="n"/>
      <c r="B52" s="96" t="n"/>
      <c r="C52" s="96" t="n"/>
      <c r="D52" s="96" t="n"/>
      <c r="E52" s="96" t="n"/>
      <c r="F52" s="118" t="n"/>
    </row>
    <row r="53" ht="15.75" customHeight="1" s="230">
      <c r="A53" s="96" t="n"/>
      <c r="B53" s="96" t="n"/>
      <c r="C53" s="96" t="n"/>
      <c r="D53" s="96" t="n"/>
      <c r="E53" s="96" t="n"/>
      <c r="F53" s="118" t="n"/>
    </row>
    <row r="54" ht="15.75" customHeight="1" s="230">
      <c r="A54" s="96" t="n"/>
      <c r="B54" s="96" t="n"/>
      <c r="C54" s="96" t="n"/>
      <c r="D54" s="96" t="n"/>
      <c r="E54" s="96" t="n"/>
      <c r="F54" s="118" t="n"/>
    </row>
    <row r="55" ht="15.75" customHeight="1" s="230">
      <c r="A55" s="96" t="n"/>
      <c r="B55" s="96" t="n"/>
      <c r="C55" s="96" t="n"/>
      <c r="D55" s="96" t="n"/>
      <c r="E55" s="96" t="n"/>
      <c r="F55" s="118" t="n"/>
    </row>
    <row r="56" ht="15.75" customHeight="1" s="230">
      <c r="A56" s="96" t="n"/>
      <c r="B56" s="96" t="n"/>
      <c r="C56" s="96" t="n"/>
      <c r="D56" s="96" t="n"/>
      <c r="E56" s="96" t="n"/>
      <c r="F56" s="118" t="n"/>
    </row>
    <row r="57" ht="15.75" customHeight="1" s="230">
      <c r="A57" s="96" t="n"/>
      <c r="B57" s="96" t="n"/>
      <c r="C57" s="96" t="n"/>
      <c r="D57" s="96" t="n"/>
      <c r="E57" s="96" t="n"/>
      <c r="F57" s="118" t="n"/>
    </row>
    <row r="58" ht="15.75" customHeight="1" s="230">
      <c r="A58" s="96" t="n"/>
      <c r="B58" s="96" t="n"/>
      <c r="C58" s="96" t="n"/>
      <c r="D58" s="96" t="n"/>
      <c r="E58" s="96" t="n"/>
      <c r="F58" s="118" t="n"/>
    </row>
    <row r="59" ht="15.75" customHeight="1" s="230">
      <c r="A59" s="96" t="n"/>
      <c r="B59" s="96" t="n"/>
      <c r="C59" s="96" t="n"/>
      <c r="D59" s="96" t="n"/>
      <c r="E59" s="96" t="n"/>
      <c r="F59" s="118" t="n"/>
    </row>
    <row r="60" ht="15.75" customHeight="1" s="230">
      <c r="A60" s="96" t="n"/>
      <c r="B60" s="96" t="n"/>
      <c r="C60" s="96" t="n"/>
      <c r="D60" s="96" t="n"/>
      <c r="E60" s="96" t="n"/>
      <c r="F60" s="118" t="n"/>
    </row>
    <row r="61" ht="15.75" customHeight="1" s="230">
      <c r="A61" s="96" t="n"/>
      <c r="B61" s="96" t="n"/>
      <c r="C61" s="96" t="n"/>
      <c r="D61" s="96" t="n"/>
      <c r="E61" s="96" t="n"/>
      <c r="F61" s="118" t="n"/>
    </row>
    <row r="62" ht="15.75" customHeight="1" s="230">
      <c r="A62" s="96" t="n"/>
      <c r="B62" s="96" t="n"/>
      <c r="C62" s="96" t="n"/>
      <c r="D62" s="96" t="n"/>
      <c r="E62" s="96" t="n"/>
      <c r="F62" s="118" t="n"/>
    </row>
    <row r="63" ht="15.75" customHeight="1" s="230">
      <c r="A63" s="96" t="n"/>
      <c r="B63" s="96" t="n"/>
      <c r="C63" s="96" t="n"/>
      <c r="D63" s="96" t="n"/>
      <c r="E63" s="96" t="n"/>
      <c r="F63" s="118" t="n"/>
    </row>
    <row r="64" ht="15.75" customHeight="1" s="230">
      <c r="A64" s="96" t="n"/>
      <c r="B64" s="96" t="n"/>
      <c r="C64" s="96" t="n"/>
      <c r="D64" s="96" t="n"/>
      <c r="E64" s="96" t="n"/>
      <c r="F64" s="118" t="n"/>
    </row>
    <row r="65" ht="15.75" customHeight="1" s="230">
      <c r="A65" s="96" t="n"/>
      <c r="B65" s="96" t="n"/>
      <c r="C65" s="96" t="n"/>
      <c r="D65" s="96" t="n"/>
      <c r="E65" s="96" t="n"/>
      <c r="F65" s="118" t="n"/>
    </row>
    <row r="66" ht="15.75" customHeight="1" s="230">
      <c r="A66" s="96" t="n"/>
      <c r="B66" s="96" t="n"/>
      <c r="C66" s="96" t="n"/>
      <c r="D66" s="96" t="n"/>
      <c r="E66" s="96" t="n"/>
      <c r="F66" s="118" t="n"/>
    </row>
    <row r="67" ht="15.75" customHeight="1" s="230">
      <c r="A67" s="96" t="n"/>
      <c r="B67" s="96" t="n"/>
      <c r="C67" s="96" t="n"/>
      <c r="D67" s="96" t="n"/>
      <c r="E67" s="96" t="n"/>
      <c r="F67" s="118" t="n"/>
    </row>
    <row r="68" ht="15.75" customHeight="1" s="230">
      <c r="A68" s="96" t="n"/>
      <c r="B68" s="96" t="n"/>
      <c r="C68" s="96" t="n"/>
      <c r="D68" s="96" t="n"/>
      <c r="E68" s="96" t="n"/>
      <c r="F68" s="118" t="n"/>
    </row>
    <row r="69" ht="15.75" customHeight="1" s="230">
      <c r="A69" s="96" t="n"/>
      <c r="B69" s="96" t="n"/>
      <c r="C69" s="96" t="n"/>
      <c r="D69" s="96" t="n"/>
      <c r="E69" s="96" t="n"/>
      <c r="F69" s="118" t="n"/>
    </row>
    <row r="70" ht="15.75" customHeight="1" s="230">
      <c r="A70" s="96" t="n"/>
      <c r="B70" s="96" t="n"/>
      <c r="C70" s="96" t="n"/>
      <c r="D70" s="96" t="n"/>
      <c r="E70" s="96" t="n"/>
      <c r="F70" s="118" t="n"/>
    </row>
    <row r="71" ht="15.75" customHeight="1" s="230">
      <c r="A71" s="96" t="n"/>
      <c r="B71" s="96" t="n"/>
      <c r="C71" s="96" t="n"/>
      <c r="D71" s="96" t="n"/>
      <c r="E71" s="96" t="n"/>
      <c r="F71" s="118" t="n"/>
    </row>
    <row r="72" ht="15.75" customHeight="1" s="230">
      <c r="A72" s="96" t="n"/>
      <c r="B72" s="96" t="n"/>
      <c r="C72" s="96" t="n"/>
      <c r="D72" s="96" t="n"/>
      <c r="E72" s="96" t="n"/>
      <c r="F72" s="118" t="n"/>
    </row>
    <row r="73" ht="15.75" customHeight="1" s="230">
      <c r="A73" s="96" t="n"/>
      <c r="B73" s="96" t="n"/>
      <c r="C73" s="96" t="n"/>
      <c r="D73" s="96" t="n"/>
      <c r="E73" s="96" t="n"/>
      <c r="F73" s="118" t="n"/>
    </row>
    <row r="74" ht="15.75" customHeight="1" s="230">
      <c r="A74" s="96" t="n"/>
      <c r="B74" s="96" t="n"/>
      <c r="C74" s="96" t="n"/>
      <c r="D74" s="96" t="n"/>
      <c r="E74" s="96" t="n"/>
      <c r="F74" s="118" t="n"/>
    </row>
    <row r="75" ht="15.75" customHeight="1" s="230">
      <c r="A75" s="96" t="n"/>
      <c r="B75" s="96" t="n"/>
      <c r="C75" s="96" t="n"/>
      <c r="D75" s="96" t="n"/>
      <c r="E75" s="96" t="n"/>
      <c r="F75" s="118" t="n"/>
    </row>
    <row r="76" ht="15.75" customHeight="1" s="230">
      <c r="A76" s="96" t="n"/>
      <c r="B76" s="96" t="n"/>
      <c r="C76" s="96" t="n"/>
      <c r="D76" s="96" t="n"/>
      <c r="E76" s="96" t="n"/>
      <c r="F76" s="118" t="n"/>
    </row>
    <row r="77" ht="15.75" customHeight="1" s="230">
      <c r="A77" s="96" t="n"/>
      <c r="B77" s="96" t="n"/>
      <c r="C77" s="96" t="n"/>
      <c r="D77" s="96" t="n"/>
      <c r="E77" s="96" t="n"/>
      <c r="F77" s="118" t="n"/>
    </row>
    <row r="78" ht="15.75" customHeight="1" s="230">
      <c r="A78" s="96" t="n"/>
      <c r="B78" s="96" t="n"/>
      <c r="C78" s="96" t="n"/>
      <c r="D78" s="96" t="n"/>
      <c r="E78" s="96" t="n"/>
      <c r="F78" s="118" t="n"/>
    </row>
    <row r="79" ht="15.75" customHeight="1" s="230">
      <c r="A79" s="96" t="n"/>
      <c r="B79" s="96" t="n"/>
      <c r="C79" s="96" t="n"/>
      <c r="D79" s="96" t="n"/>
      <c r="E79" s="96" t="n"/>
      <c r="F79" s="118" t="n"/>
    </row>
    <row r="80" ht="15.75" customHeight="1" s="230">
      <c r="A80" s="96" t="n"/>
      <c r="B80" s="96" t="n"/>
      <c r="C80" s="96" t="n"/>
      <c r="D80" s="96" t="n"/>
      <c r="E80" s="96" t="n"/>
      <c r="F80" s="118" t="n"/>
    </row>
    <row r="81" ht="15.75" customHeight="1" s="230">
      <c r="A81" s="96" t="n"/>
      <c r="B81" s="96" t="n"/>
      <c r="C81" s="96" t="n"/>
      <c r="D81" s="96" t="n"/>
      <c r="E81" s="96" t="n"/>
      <c r="F81" s="118" t="n"/>
    </row>
    <row r="82" ht="15.75" customHeight="1" s="230">
      <c r="A82" s="96" t="n"/>
      <c r="B82" s="96" t="n"/>
      <c r="C82" s="96" t="n"/>
      <c r="D82" s="96" t="n"/>
      <c r="E82" s="96" t="n"/>
      <c r="F82" s="118" t="n"/>
    </row>
    <row r="83" ht="15.75" customHeight="1" s="230">
      <c r="A83" s="96" t="n"/>
      <c r="B83" s="96" t="n"/>
      <c r="C83" s="96" t="n"/>
      <c r="D83" s="96" t="n"/>
      <c r="E83" s="96" t="n"/>
      <c r="F83" s="118" t="n"/>
    </row>
    <row r="84" ht="15.75" customHeight="1" s="230">
      <c r="A84" s="96" t="n"/>
      <c r="B84" s="96" t="n"/>
      <c r="C84" s="96" t="n"/>
      <c r="D84" s="96" t="n"/>
      <c r="E84" s="96" t="n"/>
      <c r="F84" s="118" t="n"/>
    </row>
    <row r="85" ht="15.75" customHeight="1" s="230">
      <c r="A85" s="96" t="n"/>
      <c r="B85" s="96" t="n"/>
      <c r="C85" s="96" t="n"/>
      <c r="D85" s="96" t="n"/>
      <c r="E85" s="96" t="n"/>
      <c r="F85" s="118" t="n"/>
    </row>
    <row r="86" ht="15.75" customHeight="1" s="230">
      <c r="A86" s="96" t="n"/>
      <c r="B86" s="96" t="n"/>
      <c r="C86" s="96" t="n"/>
      <c r="D86" s="96" t="n"/>
      <c r="E86" s="96" t="n"/>
      <c r="F86" s="118" t="n"/>
    </row>
    <row r="87" ht="15.75" customHeight="1" s="230">
      <c r="A87" s="96" t="n"/>
      <c r="B87" s="96" t="n"/>
      <c r="C87" s="96" t="n"/>
      <c r="D87" s="96" t="n"/>
      <c r="E87" s="96" t="n"/>
      <c r="F87" s="118" t="n"/>
    </row>
    <row r="88" ht="15.75" customHeight="1" s="230">
      <c r="A88" s="96" t="n"/>
      <c r="B88" s="96" t="n"/>
      <c r="C88" s="96" t="n"/>
      <c r="D88" s="96" t="n"/>
      <c r="E88" s="96" t="n"/>
      <c r="F88" s="118" t="n"/>
    </row>
    <row r="89" ht="15.75" customHeight="1" s="230">
      <c r="A89" s="96" t="n"/>
      <c r="B89" s="96" t="n"/>
      <c r="C89" s="96" t="n"/>
      <c r="D89" s="96" t="n"/>
      <c r="E89" s="96" t="n"/>
      <c r="F89" s="118" t="n"/>
    </row>
    <row r="90" ht="15.75" customHeight="1" s="230">
      <c r="A90" s="96" t="n"/>
      <c r="B90" s="96" t="n"/>
      <c r="C90" s="96" t="n"/>
      <c r="D90" s="96" t="n"/>
      <c r="E90" s="96" t="n"/>
      <c r="F90" s="118" t="n"/>
    </row>
    <row r="91" ht="15.75" customHeight="1" s="230">
      <c r="A91" s="96" t="n"/>
      <c r="B91" s="96" t="n"/>
      <c r="C91" s="96" t="n"/>
      <c r="D91" s="96" t="n"/>
      <c r="E91" s="96" t="n"/>
      <c r="F91" s="118" t="n"/>
    </row>
    <row r="92" ht="15.75" customHeight="1" s="230">
      <c r="A92" s="96" t="n"/>
      <c r="B92" s="96" t="n"/>
      <c r="C92" s="96" t="n"/>
      <c r="D92" s="96" t="n"/>
      <c r="E92" s="96" t="n"/>
      <c r="F92" s="118" t="n"/>
    </row>
    <row r="93" ht="15.75" customHeight="1" s="230">
      <c r="A93" s="96" t="n"/>
      <c r="B93" s="96" t="n"/>
      <c r="C93" s="96" t="n"/>
      <c r="D93" s="96" t="n"/>
      <c r="E93" s="96" t="n"/>
      <c r="F93" s="118" t="n"/>
    </row>
    <row r="94" ht="15.75" customHeight="1" s="230">
      <c r="A94" s="96" t="n"/>
      <c r="B94" s="96" t="n"/>
      <c r="C94" s="96" t="n"/>
      <c r="D94" s="96" t="n"/>
      <c r="E94" s="96" t="n"/>
      <c r="F94" s="118" t="n"/>
    </row>
    <row r="95" ht="15.75" customHeight="1" s="230">
      <c r="A95" s="96" t="n"/>
      <c r="B95" s="96" t="n"/>
      <c r="C95" s="96" t="n"/>
      <c r="D95" s="96" t="n"/>
      <c r="E95" s="96" t="n"/>
      <c r="F95" s="118" t="n"/>
    </row>
    <row r="96" ht="15.75" customHeight="1" s="230">
      <c r="A96" s="96" t="n"/>
      <c r="B96" s="96" t="n"/>
      <c r="C96" s="96" t="n"/>
      <c r="D96" s="96" t="n"/>
      <c r="E96" s="96" t="n"/>
      <c r="F96" s="118" t="n"/>
    </row>
    <row r="97" ht="15.75" customHeight="1" s="230">
      <c r="A97" s="96" t="n"/>
      <c r="B97" s="96" t="n"/>
      <c r="C97" s="96" t="n"/>
      <c r="D97" s="96" t="n"/>
      <c r="E97" s="96" t="n"/>
      <c r="F97" s="118" t="n"/>
    </row>
    <row r="98" ht="15.75" customHeight="1" s="230">
      <c r="A98" s="96" t="n"/>
      <c r="B98" s="96" t="n"/>
      <c r="C98" s="96" t="n"/>
      <c r="D98" s="96" t="n"/>
      <c r="E98" s="96" t="n"/>
      <c r="F98" s="118" t="n"/>
    </row>
    <row r="99" ht="15.75" customHeight="1" s="230">
      <c r="A99" s="96" t="n"/>
      <c r="B99" s="96" t="n"/>
      <c r="C99" s="96" t="n"/>
      <c r="D99" s="96" t="n"/>
      <c r="E99" s="96" t="n"/>
      <c r="F99" s="118" t="n"/>
    </row>
    <row r="100" ht="15.75" customHeight="1" s="230">
      <c r="A100" s="96" t="n"/>
      <c r="B100" s="96" t="n"/>
      <c r="C100" s="96" t="n"/>
      <c r="D100" s="96" t="n"/>
      <c r="E100" s="96" t="n"/>
      <c r="F100" s="118" t="n"/>
    </row>
    <row r="101" ht="15.75" customHeight="1" s="230">
      <c r="A101" s="96" t="n"/>
      <c r="B101" s="96" t="n"/>
      <c r="C101" s="96" t="n"/>
      <c r="D101" s="96" t="n"/>
      <c r="E101" s="96" t="n"/>
      <c r="F101" s="118" t="n"/>
    </row>
    <row r="102" ht="15.75" customHeight="1" s="230">
      <c r="A102" s="95" t="n"/>
      <c r="B102" s="95" t="n"/>
      <c r="C102" s="95" t="n"/>
      <c r="D102" s="95" t="n"/>
      <c r="E102" s="95" t="n"/>
      <c r="F102" s="120" t="n"/>
    </row>
    <row r="103" ht="15.75" customHeight="1" s="230">
      <c r="A103" s="95" t="n"/>
      <c r="B103" s="95" t="n"/>
      <c r="C103" s="95" t="n"/>
      <c r="D103" s="95" t="n"/>
      <c r="E103" s="95" t="n"/>
      <c r="F103" s="120" t="n"/>
    </row>
    <row r="104" ht="15.75" customHeight="1" s="230">
      <c r="A104" s="95" t="n"/>
      <c r="B104" s="95" t="n"/>
      <c r="C104" s="95" t="n"/>
      <c r="D104" s="95" t="n"/>
      <c r="E104" s="95" t="n"/>
      <c r="F104" s="120" t="n"/>
    </row>
    <row r="105" ht="15.75" customHeight="1" s="230">
      <c r="A105" s="95" t="n"/>
      <c r="B105" s="95" t="n"/>
      <c r="C105" s="95" t="n"/>
      <c r="D105" s="95" t="n"/>
      <c r="E105" s="95" t="n"/>
      <c r="F105" s="120" t="n"/>
    </row>
    <row r="106" ht="15.75" customHeight="1" s="230">
      <c r="A106" s="95" t="n"/>
      <c r="B106" s="95" t="n"/>
      <c r="C106" s="95" t="n"/>
      <c r="D106" s="95" t="n"/>
      <c r="E106" s="95" t="n"/>
      <c r="F106" s="120" t="n"/>
    </row>
    <row r="107" ht="15.75" customHeight="1" s="230">
      <c r="A107" s="95" t="n"/>
      <c r="B107" s="95" t="n"/>
      <c r="C107" s="95" t="n"/>
      <c r="D107" s="95" t="n"/>
      <c r="E107" s="95" t="n"/>
      <c r="F107" s="120" t="n"/>
    </row>
    <row r="108" ht="15.75" customHeight="1" s="230">
      <c r="A108" s="95" t="n"/>
      <c r="B108" s="95" t="n"/>
      <c r="C108" s="95" t="n"/>
      <c r="D108" s="95" t="n"/>
      <c r="E108" s="95" t="n"/>
      <c r="F108" s="120" t="n"/>
    </row>
    <row r="109" ht="15.75" customHeight="1" s="230">
      <c r="A109" s="95" t="n"/>
      <c r="B109" s="95" t="n"/>
      <c r="C109" s="95" t="n"/>
      <c r="D109" s="95" t="n"/>
      <c r="E109" s="95" t="n"/>
      <c r="F109" s="120" t="n"/>
    </row>
    <row r="110" ht="15.75" customHeight="1" s="230">
      <c r="A110" s="95" t="n"/>
      <c r="B110" s="95" t="n"/>
      <c r="C110" s="95" t="n"/>
      <c r="D110" s="95" t="n"/>
      <c r="E110" s="95" t="n"/>
      <c r="F110" s="120" t="n"/>
    </row>
    <row r="111" ht="15.75" customHeight="1" s="230">
      <c r="A111" s="95" t="n"/>
      <c r="B111" s="95" t="n"/>
      <c r="C111" s="95" t="n"/>
      <c r="D111" s="95" t="n"/>
      <c r="E111" s="95" t="n"/>
      <c r="F111" s="120" t="n"/>
    </row>
    <row r="112" ht="15.75" customHeight="1" s="230">
      <c r="A112" s="95" t="n"/>
      <c r="B112" s="95" t="n"/>
      <c r="C112" s="95" t="n"/>
      <c r="D112" s="95" t="n"/>
      <c r="E112" s="95" t="n"/>
      <c r="F112" s="120" t="n"/>
    </row>
    <row r="113" ht="15.75" customHeight="1" s="230">
      <c r="A113" s="95" t="n"/>
      <c r="B113" s="95" t="n"/>
      <c r="C113" s="95" t="n"/>
      <c r="D113" s="95" t="n"/>
      <c r="E113" s="95" t="n"/>
      <c r="F113" s="120" t="n"/>
    </row>
    <row r="114" ht="15.75" customHeight="1" s="230">
      <c r="A114" s="95" t="n"/>
      <c r="B114" s="95" t="n"/>
      <c r="C114" s="95" t="n"/>
      <c r="D114" s="95" t="n"/>
      <c r="E114" s="95" t="n"/>
      <c r="F114" s="120" t="n"/>
    </row>
    <row r="115" ht="15.75" customHeight="1" s="230">
      <c r="A115" s="95" t="n"/>
      <c r="B115" s="95" t="n"/>
      <c r="C115" s="95" t="n"/>
      <c r="D115" s="95" t="n"/>
      <c r="E115" s="95" t="n"/>
      <c r="F115" s="120" t="n"/>
    </row>
    <row r="116" ht="15.75" customHeight="1" s="230">
      <c r="A116" s="95" t="n"/>
      <c r="B116" s="95" t="n"/>
      <c r="C116" s="95" t="n"/>
      <c r="D116" s="95" t="n"/>
      <c r="E116" s="95" t="n"/>
      <c r="F116" s="120" t="n"/>
    </row>
    <row r="117" ht="15.75" customHeight="1" s="230">
      <c r="A117" s="95" t="n"/>
      <c r="B117" s="95" t="n"/>
      <c r="C117" s="95" t="n"/>
      <c r="D117" s="95" t="n"/>
      <c r="E117" s="95" t="n"/>
      <c r="F117" s="120" t="n"/>
    </row>
    <row r="118" ht="15.75" customHeight="1" s="230">
      <c r="A118" s="95" t="n"/>
      <c r="B118" s="95" t="n"/>
      <c r="C118" s="95" t="n"/>
      <c r="D118" s="95" t="n"/>
      <c r="E118" s="95" t="n"/>
      <c r="F118" s="120" t="n"/>
    </row>
    <row r="119" ht="15.75" customHeight="1" s="230">
      <c r="A119" s="95" t="n"/>
      <c r="B119" s="95" t="n"/>
      <c r="C119" s="95" t="n"/>
      <c r="D119" s="95" t="n"/>
      <c r="E119" s="95" t="n"/>
      <c r="F119" s="120" t="n"/>
    </row>
    <row r="120" ht="15.75" customHeight="1" s="230">
      <c r="A120" s="95" t="n"/>
      <c r="B120" s="95" t="n"/>
      <c r="C120" s="95" t="n"/>
      <c r="D120" s="95" t="n"/>
      <c r="E120" s="95" t="n"/>
      <c r="F120" s="120" t="n"/>
    </row>
    <row r="121" ht="15.75" customHeight="1" s="230">
      <c r="A121" s="95" t="n"/>
      <c r="B121" s="95" t="n"/>
      <c r="C121" s="95" t="n"/>
      <c r="D121" s="95" t="n"/>
      <c r="E121" s="95" t="n"/>
      <c r="F121" s="120" t="n"/>
    </row>
    <row r="122" ht="15.75" customHeight="1" s="230">
      <c r="A122" s="95" t="n"/>
      <c r="B122" s="95" t="n"/>
      <c r="C122" s="95" t="n"/>
      <c r="D122" s="95" t="n"/>
      <c r="E122" s="95" t="n"/>
      <c r="F122" s="120" t="n"/>
    </row>
    <row r="123" ht="15.75" customHeight="1" s="230">
      <c r="A123" s="95" t="n"/>
      <c r="B123" s="95" t="n"/>
      <c r="C123" s="95" t="n"/>
      <c r="D123" s="95" t="n"/>
      <c r="E123" s="95" t="n"/>
      <c r="F123" s="120" t="n"/>
    </row>
    <row r="124" ht="15.75" customHeight="1" s="230">
      <c r="A124" s="95" t="n"/>
      <c r="B124" s="95" t="n"/>
      <c r="C124" s="95" t="n"/>
      <c r="D124" s="95" t="n"/>
      <c r="E124" s="95" t="n"/>
      <c r="F124" s="120" t="n"/>
    </row>
    <row r="125" ht="15.75" customHeight="1" s="230">
      <c r="A125" s="95" t="n"/>
      <c r="B125" s="95" t="n"/>
      <c r="C125" s="95" t="n"/>
      <c r="D125" s="95" t="n"/>
      <c r="E125" s="95" t="n"/>
      <c r="F125" s="120" t="n"/>
    </row>
    <row r="126" ht="15.75" customHeight="1" s="230">
      <c r="A126" s="95" t="n"/>
      <c r="B126" s="95" t="n"/>
      <c r="C126" s="95" t="n"/>
      <c r="D126" s="95" t="n"/>
      <c r="E126" s="95" t="n"/>
      <c r="F126" s="120" t="n"/>
    </row>
    <row r="127" ht="15.75" customHeight="1" s="230">
      <c r="A127" s="95" t="n"/>
      <c r="B127" s="95" t="n"/>
      <c r="C127" s="95" t="n"/>
      <c r="D127" s="95" t="n"/>
      <c r="E127" s="95" t="n"/>
      <c r="F127" s="120" t="n"/>
    </row>
    <row r="128" ht="15.75" customHeight="1" s="230">
      <c r="A128" s="95" t="n"/>
      <c r="B128" s="95" t="n"/>
      <c r="C128" s="95" t="n"/>
      <c r="D128" s="95" t="n"/>
      <c r="E128" s="95" t="n"/>
      <c r="F128" s="120" t="n"/>
    </row>
    <row r="129" ht="15.75" customHeight="1" s="230">
      <c r="A129" s="95" t="n"/>
      <c r="B129" s="95" t="n"/>
      <c r="C129" s="95" t="n"/>
      <c r="D129" s="95" t="n"/>
      <c r="E129" s="95" t="n"/>
      <c r="F129" s="120" t="n"/>
    </row>
    <row r="130" ht="15.75" customHeight="1" s="230">
      <c r="A130" s="95" t="n"/>
      <c r="B130" s="95" t="n"/>
      <c r="C130" s="95" t="n"/>
      <c r="D130" s="95" t="n"/>
      <c r="E130" s="95" t="n"/>
      <c r="F130" s="120" t="n"/>
    </row>
    <row r="131" ht="15.75" customHeight="1" s="230">
      <c r="A131" s="95" t="n"/>
      <c r="B131" s="95" t="n"/>
      <c r="C131" s="95" t="n"/>
      <c r="D131" s="95" t="n"/>
      <c r="E131" s="95" t="n"/>
      <c r="F131" s="120" t="n"/>
    </row>
    <row r="132" ht="15.75" customHeight="1" s="230">
      <c r="A132" s="95" t="n"/>
      <c r="B132" s="95" t="n"/>
      <c r="C132" s="95" t="n"/>
      <c r="D132" s="95" t="n"/>
      <c r="E132" s="95" t="n"/>
      <c r="F132" s="120" t="n"/>
    </row>
    <row r="133" ht="15.75" customHeight="1" s="230">
      <c r="A133" s="95" t="n"/>
      <c r="B133" s="95" t="n"/>
      <c r="C133" s="95" t="n"/>
      <c r="D133" s="95" t="n"/>
      <c r="E133" s="95" t="n"/>
      <c r="F133" s="120" t="n"/>
    </row>
    <row r="134" ht="15.75" customHeight="1" s="230">
      <c r="A134" s="95" t="n"/>
      <c r="B134" s="95" t="n"/>
      <c r="C134" s="95" t="n"/>
      <c r="D134" s="95" t="n"/>
      <c r="E134" s="95" t="n"/>
      <c r="F134" s="120" t="n"/>
    </row>
    <row r="135" ht="15.75" customHeight="1" s="230">
      <c r="A135" s="95" t="n"/>
      <c r="B135" s="95" t="n"/>
      <c r="C135" s="95" t="n"/>
      <c r="D135" s="95" t="n"/>
      <c r="E135" s="95" t="n"/>
      <c r="F135" s="120" t="n"/>
    </row>
    <row r="136" ht="15.75" customHeight="1" s="230">
      <c r="A136" s="95" t="n"/>
      <c r="B136" s="95" t="n"/>
      <c r="C136" s="95" t="n"/>
      <c r="D136" s="95" t="n"/>
      <c r="E136" s="95" t="n"/>
      <c r="F136" s="120" t="n"/>
    </row>
    <row r="137" ht="15.75" customHeight="1" s="230">
      <c r="A137" s="95" t="n"/>
      <c r="B137" s="95" t="n"/>
      <c r="C137" s="95" t="n"/>
      <c r="D137" s="95" t="n"/>
      <c r="E137" s="95" t="n"/>
      <c r="F137" s="120" t="n"/>
    </row>
    <row r="138" ht="15.75" customHeight="1" s="230">
      <c r="A138" s="95" t="n"/>
      <c r="B138" s="95" t="n"/>
      <c r="C138" s="95" t="n"/>
      <c r="D138" s="95" t="n"/>
      <c r="E138" s="95" t="n"/>
      <c r="F138" s="120" t="n"/>
    </row>
    <row r="139" ht="15.75" customHeight="1" s="230">
      <c r="A139" s="95" t="n"/>
      <c r="B139" s="95" t="n"/>
      <c r="C139" s="95" t="n"/>
      <c r="D139" s="95" t="n"/>
      <c r="E139" s="95" t="n"/>
      <c r="F139" s="120" t="n"/>
    </row>
    <row r="140" ht="15.75" customHeight="1" s="230">
      <c r="A140" s="95" t="n"/>
      <c r="B140" s="95" t="n"/>
      <c r="C140" s="95" t="n"/>
      <c r="D140" s="95" t="n"/>
      <c r="E140" s="95" t="n"/>
      <c r="F140" s="120" t="n"/>
    </row>
    <row r="141" ht="15.75" customHeight="1" s="230">
      <c r="A141" s="95" t="n"/>
      <c r="B141" s="95" t="n"/>
      <c r="C141" s="95" t="n"/>
      <c r="D141" s="95" t="n"/>
      <c r="E141" s="95" t="n"/>
      <c r="F141" s="120" t="n"/>
    </row>
    <row r="142" ht="15.75" customHeight="1" s="230">
      <c r="A142" s="95" t="n"/>
      <c r="B142" s="95" t="n"/>
      <c r="C142" s="95" t="n"/>
      <c r="D142" s="95" t="n"/>
      <c r="E142" s="95" t="n"/>
      <c r="F142" s="120" t="n"/>
    </row>
    <row r="143" ht="15.75" customHeight="1" s="230">
      <c r="A143" s="95" t="n"/>
      <c r="B143" s="95" t="n"/>
      <c r="C143" s="95" t="n"/>
      <c r="D143" s="95" t="n"/>
      <c r="E143" s="95" t="n"/>
      <c r="F143" s="120" t="n"/>
    </row>
    <row r="144" ht="15.75" customHeight="1" s="230">
      <c r="A144" s="95" t="n"/>
      <c r="B144" s="95" t="n"/>
      <c r="C144" s="95" t="n"/>
      <c r="D144" s="95" t="n"/>
      <c r="E144" s="95" t="n"/>
      <c r="F144" s="120" t="n"/>
    </row>
    <row r="145" ht="15.75" customHeight="1" s="230">
      <c r="A145" s="95" t="n"/>
      <c r="B145" s="95" t="n"/>
      <c r="C145" s="95" t="n"/>
      <c r="D145" s="95" t="n"/>
      <c r="E145" s="95" t="n"/>
      <c r="F145" s="120" t="n"/>
    </row>
    <row r="146" ht="15.75" customHeight="1" s="230">
      <c r="A146" s="95" t="n"/>
      <c r="B146" s="95" t="n"/>
      <c r="C146" s="95" t="n"/>
      <c r="D146" s="95" t="n"/>
      <c r="E146" s="95" t="n"/>
      <c r="F146" s="120" t="n"/>
    </row>
    <row r="147" ht="15.75" customHeight="1" s="230">
      <c r="A147" s="95" t="n"/>
      <c r="B147" s="95" t="n"/>
      <c r="C147" s="95" t="n"/>
      <c r="D147" s="95" t="n"/>
      <c r="E147" s="95" t="n"/>
      <c r="F147" s="120" t="n"/>
    </row>
    <row r="148" ht="15.75" customHeight="1" s="230">
      <c r="A148" s="95" t="n"/>
      <c r="B148" s="95" t="n"/>
      <c r="C148" s="95" t="n"/>
      <c r="D148" s="95" t="n"/>
      <c r="E148" s="95" t="n"/>
      <c r="F148" s="120" t="n"/>
    </row>
    <row r="149" ht="15.75" customHeight="1" s="230">
      <c r="A149" s="95" t="n"/>
      <c r="B149" s="95" t="n"/>
      <c r="C149" s="95" t="n"/>
      <c r="D149" s="95" t="n"/>
      <c r="E149" s="95" t="n"/>
      <c r="F149" s="120" t="n"/>
    </row>
    <row r="150" ht="15.75" customHeight="1" s="230">
      <c r="A150" s="95" t="n"/>
      <c r="B150" s="95" t="n"/>
      <c r="C150" s="95" t="n"/>
      <c r="D150" s="95" t="n"/>
      <c r="E150" s="95" t="n"/>
      <c r="F150" s="120" t="n"/>
    </row>
    <row r="151" ht="15.75" customHeight="1" s="230">
      <c r="A151" s="95" t="n"/>
      <c r="B151" s="95" t="n"/>
      <c r="C151" s="95" t="n"/>
      <c r="D151" s="95" t="n"/>
      <c r="E151" s="95" t="n"/>
      <c r="F151" s="120" t="n"/>
    </row>
    <row r="152" ht="15.75" customHeight="1" s="230">
      <c r="A152" s="95" t="n"/>
      <c r="B152" s="95" t="n"/>
      <c r="C152" s="95" t="n"/>
      <c r="D152" s="95" t="n"/>
      <c r="E152" s="95" t="n"/>
      <c r="F152" s="120" t="n"/>
    </row>
    <row r="153" ht="15.75" customHeight="1" s="230">
      <c r="A153" s="95" t="n"/>
      <c r="B153" s="95" t="n"/>
      <c r="C153" s="95" t="n"/>
      <c r="D153" s="95" t="n"/>
      <c r="E153" s="95" t="n"/>
      <c r="F153" s="120" t="n"/>
    </row>
    <row r="154" ht="15.75" customHeight="1" s="230">
      <c r="A154" s="95" t="n"/>
      <c r="B154" s="95" t="n"/>
      <c r="C154" s="95" t="n"/>
      <c r="D154" s="95" t="n"/>
      <c r="E154" s="95" t="n"/>
      <c r="F154" s="120" t="n"/>
    </row>
    <row r="155" ht="15.75" customHeight="1" s="230">
      <c r="A155" s="95" t="n"/>
      <c r="B155" s="95" t="n"/>
      <c r="C155" s="95" t="n"/>
      <c r="D155" s="95" t="n"/>
      <c r="E155" s="95" t="n"/>
      <c r="F155" s="120" t="n"/>
    </row>
    <row r="156" ht="15.75" customHeight="1" s="230">
      <c r="A156" s="95" t="n"/>
      <c r="B156" s="95" t="n"/>
      <c r="C156" s="95" t="n"/>
      <c r="D156" s="95" t="n"/>
      <c r="E156" s="95" t="n"/>
      <c r="F156" s="120" t="n"/>
    </row>
    <row r="157" ht="15.75" customHeight="1" s="230">
      <c r="A157" s="95" t="n"/>
      <c r="B157" s="95" t="n"/>
      <c r="C157" s="95" t="n"/>
      <c r="D157" s="95" t="n"/>
      <c r="E157" s="95" t="n"/>
      <c r="F157" s="120" t="n"/>
    </row>
    <row r="158" ht="15.75" customHeight="1" s="230">
      <c r="A158" s="95" t="n"/>
      <c r="B158" s="95" t="n"/>
      <c r="C158" s="95" t="n"/>
      <c r="D158" s="95" t="n"/>
      <c r="E158" s="95" t="n"/>
      <c r="F158" s="120" t="n"/>
    </row>
    <row r="159" ht="15.75" customHeight="1" s="230">
      <c r="A159" s="95" t="n"/>
      <c r="B159" s="95" t="n"/>
      <c r="C159" s="95" t="n"/>
      <c r="D159" s="95" t="n"/>
      <c r="E159" s="95" t="n"/>
      <c r="F159" s="120" t="n"/>
    </row>
    <row r="160" ht="15.75" customHeight="1" s="230">
      <c r="A160" s="95" t="n"/>
      <c r="B160" s="95" t="n"/>
      <c r="C160" s="95" t="n"/>
      <c r="D160" s="95" t="n"/>
      <c r="E160" s="95" t="n"/>
      <c r="F160" s="120" t="n"/>
    </row>
    <row r="161" ht="15.75" customHeight="1" s="230">
      <c r="A161" s="95" t="n"/>
      <c r="B161" s="95" t="n"/>
      <c r="C161" s="95" t="n"/>
      <c r="D161" s="95" t="n"/>
      <c r="E161" s="95" t="n"/>
      <c r="F161" s="120" t="n"/>
    </row>
    <row r="162" ht="15.75" customHeight="1" s="230">
      <c r="A162" s="95" t="n"/>
      <c r="B162" s="95" t="n"/>
      <c r="C162" s="95" t="n"/>
      <c r="D162" s="95" t="n"/>
      <c r="E162" s="95" t="n"/>
      <c r="F162" s="120" t="n"/>
    </row>
    <row r="163" ht="15.75" customHeight="1" s="230">
      <c r="A163" s="95" t="n"/>
      <c r="B163" s="95" t="n"/>
      <c r="C163" s="95" t="n"/>
      <c r="D163" s="95" t="n"/>
      <c r="E163" s="95" t="n"/>
      <c r="F163" s="120" t="n"/>
    </row>
    <row r="164" ht="15.75" customHeight="1" s="230">
      <c r="A164" s="95" t="n"/>
      <c r="B164" s="95" t="n"/>
      <c r="C164" s="95" t="n"/>
      <c r="D164" s="95" t="n"/>
      <c r="E164" s="95" t="n"/>
      <c r="F164" s="120" t="n"/>
    </row>
    <row r="165" ht="15.75" customHeight="1" s="230">
      <c r="A165" s="95" t="n"/>
      <c r="B165" s="95" t="n"/>
      <c r="C165" s="95" t="n"/>
      <c r="D165" s="95" t="n"/>
      <c r="E165" s="95" t="n"/>
      <c r="F165" s="120" t="n"/>
    </row>
    <row r="166" ht="15.75" customHeight="1" s="230">
      <c r="A166" s="95" t="n"/>
      <c r="B166" s="95" t="n"/>
      <c r="C166" s="95" t="n"/>
      <c r="D166" s="95" t="n"/>
      <c r="E166" s="95" t="n"/>
      <c r="F166" s="120" t="n"/>
    </row>
    <row r="167" ht="15.75" customHeight="1" s="230">
      <c r="A167" s="95" t="n"/>
      <c r="B167" s="95" t="n"/>
      <c r="C167" s="95" t="n"/>
      <c r="D167" s="95" t="n"/>
      <c r="E167" s="95" t="n"/>
      <c r="F167" s="120" t="n"/>
    </row>
    <row r="168" ht="15.75" customHeight="1" s="230">
      <c r="A168" s="95" t="n"/>
      <c r="B168" s="95" t="n"/>
      <c r="C168" s="95" t="n"/>
      <c r="D168" s="95" t="n"/>
      <c r="E168" s="95" t="n"/>
      <c r="F168" s="120" t="n"/>
    </row>
    <row r="169" ht="15.75" customHeight="1" s="230">
      <c r="A169" s="95" t="n"/>
      <c r="B169" s="95" t="n"/>
      <c r="C169" s="95" t="n"/>
      <c r="D169" s="95" t="n"/>
      <c r="E169" s="95" t="n"/>
      <c r="F169" s="120" t="n"/>
    </row>
    <row r="170" ht="15.75" customHeight="1" s="230">
      <c r="A170" s="95" t="n"/>
      <c r="B170" s="95" t="n"/>
      <c r="C170" s="95" t="n"/>
      <c r="D170" s="95" t="n"/>
      <c r="E170" s="95" t="n"/>
      <c r="F170" s="120" t="n"/>
    </row>
    <row r="171" ht="15.75" customHeight="1" s="230">
      <c r="A171" s="95" t="n"/>
      <c r="B171" s="95" t="n"/>
      <c r="C171" s="95" t="n"/>
      <c r="D171" s="95" t="n"/>
      <c r="E171" s="95" t="n"/>
      <c r="F171" s="120" t="n"/>
    </row>
    <row r="172" ht="15.75" customHeight="1" s="230">
      <c r="A172" s="95" t="n"/>
      <c r="B172" s="95" t="n"/>
      <c r="C172" s="95" t="n"/>
      <c r="D172" s="95" t="n"/>
      <c r="E172" s="95" t="n"/>
      <c r="F172" s="120" t="n"/>
    </row>
    <row r="173" ht="15.75" customHeight="1" s="230">
      <c r="A173" s="95" t="n"/>
      <c r="B173" s="95" t="n"/>
      <c r="C173" s="95" t="n"/>
      <c r="D173" s="95" t="n"/>
      <c r="E173" s="95" t="n"/>
      <c r="F173" s="120" t="n"/>
    </row>
    <row r="174" ht="15.75" customHeight="1" s="230">
      <c r="A174" s="95" t="n"/>
      <c r="B174" s="95" t="n"/>
      <c r="C174" s="95" t="n"/>
      <c r="D174" s="95" t="n"/>
      <c r="E174" s="95" t="n"/>
      <c r="F174" s="120" t="n"/>
    </row>
    <row r="175" ht="15.75" customHeight="1" s="230">
      <c r="A175" s="95" t="n"/>
      <c r="B175" s="95" t="n"/>
      <c r="C175" s="95" t="n"/>
      <c r="D175" s="95" t="n"/>
      <c r="E175" s="95" t="n"/>
      <c r="F175" s="120" t="n"/>
    </row>
    <row r="176" ht="15.75" customHeight="1" s="230">
      <c r="A176" s="95" t="n"/>
      <c r="B176" s="95" t="n"/>
      <c r="C176" s="95" t="n"/>
      <c r="D176" s="95" t="n"/>
      <c r="E176" s="95" t="n"/>
      <c r="F176" s="120" t="n"/>
    </row>
    <row r="177" ht="15.75" customHeight="1" s="230">
      <c r="A177" s="95" t="n"/>
      <c r="B177" s="95" t="n"/>
      <c r="C177" s="95" t="n"/>
      <c r="D177" s="95" t="n"/>
      <c r="E177" s="95" t="n"/>
      <c r="F177" s="120" t="n"/>
    </row>
    <row r="178" ht="15.75" customHeight="1" s="230">
      <c r="A178" s="95" t="n"/>
      <c r="B178" s="95" t="n"/>
      <c r="C178" s="95" t="n"/>
      <c r="D178" s="95" t="n"/>
      <c r="E178" s="95" t="n"/>
      <c r="F178" s="120" t="n"/>
    </row>
    <row r="179" ht="15.75" customHeight="1" s="230">
      <c r="A179" s="95" t="n"/>
      <c r="B179" s="95" t="n"/>
      <c r="C179" s="95" t="n"/>
      <c r="D179" s="95" t="n"/>
      <c r="E179" s="95" t="n"/>
      <c r="F179" s="120" t="n"/>
    </row>
    <row r="180" ht="15.75" customHeight="1" s="230">
      <c r="A180" s="95" t="n"/>
      <c r="B180" s="95" t="n"/>
      <c r="C180" s="95" t="n"/>
      <c r="D180" s="95" t="n"/>
      <c r="E180" s="95" t="n"/>
      <c r="F180" s="120" t="n"/>
    </row>
    <row r="181" ht="15.75" customHeight="1" s="230">
      <c r="A181" s="95" t="n"/>
      <c r="B181" s="95" t="n"/>
      <c r="C181" s="95" t="n"/>
      <c r="D181" s="95" t="n"/>
      <c r="E181" s="95" t="n"/>
      <c r="F181" s="120" t="n"/>
    </row>
    <row r="182" ht="15.75" customHeight="1" s="230">
      <c r="A182" s="95" t="n"/>
      <c r="B182" s="95" t="n"/>
      <c r="C182" s="95" t="n"/>
      <c r="D182" s="95" t="n"/>
      <c r="E182" s="95" t="n"/>
      <c r="F182" s="120" t="n"/>
    </row>
    <row r="183" ht="15.75" customHeight="1" s="230">
      <c r="A183" s="95" t="n"/>
      <c r="B183" s="95" t="n"/>
      <c r="C183" s="95" t="n"/>
      <c r="D183" s="95" t="n"/>
      <c r="E183" s="95" t="n"/>
      <c r="F183" s="120" t="n"/>
    </row>
    <row r="184" ht="15.75" customHeight="1" s="230">
      <c r="A184" s="95" t="n"/>
      <c r="B184" s="95" t="n"/>
      <c r="C184" s="95" t="n"/>
      <c r="D184" s="95" t="n"/>
      <c r="E184" s="95" t="n"/>
      <c r="F184" s="120" t="n"/>
    </row>
    <row r="185" ht="15.75" customHeight="1" s="230">
      <c r="A185" s="95" t="n"/>
      <c r="B185" s="95" t="n"/>
      <c r="C185" s="95" t="n"/>
      <c r="D185" s="95" t="n"/>
      <c r="E185" s="95" t="n"/>
      <c r="F185" s="120" t="n"/>
    </row>
    <row r="186" ht="15.75" customHeight="1" s="230">
      <c r="A186" s="95" t="n"/>
      <c r="B186" s="95" t="n"/>
      <c r="C186" s="95" t="n"/>
      <c r="D186" s="95" t="n"/>
      <c r="E186" s="95" t="n"/>
      <c r="F186" s="120" t="n"/>
    </row>
    <row r="187" ht="15.75" customHeight="1" s="230">
      <c r="A187" s="95" t="n"/>
      <c r="B187" s="95" t="n"/>
      <c r="C187" s="95" t="n"/>
      <c r="D187" s="95" t="n"/>
      <c r="E187" s="95" t="n"/>
      <c r="F187" s="120" t="n"/>
    </row>
    <row r="188" ht="15.75" customHeight="1" s="230">
      <c r="A188" s="95" t="n"/>
      <c r="B188" s="95" t="n"/>
      <c r="C188" s="95" t="n"/>
      <c r="D188" s="95" t="n"/>
      <c r="E188" s="95" t="n"/>
      <c r="F188" s="120" t="n"/>
    </row>
    <row r="189" ht="15.75" customHeight="1" s="230">
      <c r="A189" s="95" t="n"/>
      <c r="B189" s="95" t="n"/>
      <c r="C189" s="95" t="n"/>
      <c r="D189" s="95" t="n"/>
      <c r="E189" s="95" t="n"/>
      <c r="F189" s="120" t="n"/>
    </row>
    <row r="190" ht="15.75" customHeight="1" s="230">
      <c r="A190" s="95" t="n"/>
      <c r="B190" s="95" t="n"/>
      <c r="C190" s="95" t="n"/>
      <c r="D190" s="95" t="n"/>
      <c r="E190" s="95" t="n"/>
      <c r="F190" s="120" t="n"/>
    </row>
    <row r="191" ht="15.75" customHeight="1" s="230">
      <c r="A191" s="95" t="n"/>
      <c r="B191" s="95" t="n"/>
      <c r="C191" s="95" t="n"/>
      <c r="D191" s="95" t="n"/>
      <c r="E191" s="95" t="n"/>
      <c r="F191" s="120" t="n"/>
    </row>
    <row r="192" ht="15.75" customHeight="1" s="230">
      <c r="A192" s="95" t="n"/>
      <c r="B192" s="95" t="n"/>
      <c r="C192" s="95" t="n"/>
      <c r="D192" s="95" t="n"/>
      <c r="E192" s="95" t="n"/>
      <c r="F192" s="120" t="n"/>
    </row>
    <row r="193" ht="15.75" customHeight="1" s="230">
      <c r="A193" s="95" t="n"/>
      <c r="B193" s="95" t="n"/>
      <c r="C193" s="95" t="n"/>
      <c r="D193" s="95" t="n"/>
      <c r="E193" s="95" t="n"/>
      <c r="F193" s="120" t="n"/>
    </row>
    <row r="194" ht="15.75" customHeight="1" s="230">
      <c r="A194" s="95" t="n"/>
      <c r="B194" s="95" t="n"/>
      <c r="C194" s="95" t="n"/>
      <c r="D194" s="95" t="n"/>
      <c r="E194" s="95" t="n"/>
      <c r="F194" s="120" t="n"/>
    </row>
    <row r="195" ht="15.75" customHeight="1" s="230">
      <c r="A195" s="95" t="n"/>
      <c r="B195" s="95" t="n"/>
      <c r="C195" s="95" t="n"/>
      <c r="D195" s="95" t="n"/>
      <c r="E195" s="95" t="n"/>
      <c r="F195" s="120" t="n"/>
    </row>
    <row r="196" ht="15.75" customHeight="1" s="230">
      <c r="A196" s="95" t="n"/>
      <c r="B196" s="95" t="n"/>
      <c r="C196" s="95" t="n"/>
      <c r="D196" s="95" t="n"/>
      <c r="E196" s="95" t="n"/>
      <c r="F196" s="120" t="n"/>
    </row>
    <row r="197" ht="15.75" customHeight="1" s="230">
      <c r="A197" s="95" t="n"/>
      <c r="B197" s="95" t="n"/>
      <c r="C197" s="95" t="n"/>
      <c r="D197" s="95" t="n"/>
      <c r="E197" s="95" t="n"/>
      <c r="F197" s="120" t="n"/>
    </row>
    <row r="198" ht="15.75" customHeight="1" s="230">
      <c r="A198" s="95" t="n"/>
      <c r="B198" s="95" t="n"/>
      <c r="C198" s="95" t="n"/>
      <c r="D198" s="95" t="n"/>
      <c r="E198" s="95" t="n"/>
      <c r="F198" s="120" t="n"/>
    </row>
    <row r="199" ht="15.75" customHeight="1" s="230">
      <c r="A199" s="95" t="n"/>
      <c r="B199" s="95" t="n"/>
      <c r="C199" s="95" t="n"/>
      <c r="D199" s="95" t="n"/>
      <c r="E199" s="95" t="n"/>
      <c r="F199" s="120" t="n"/>
    </row>
    <row r="200" ht="15.75" customHeight="1" s="230">
      <c r="A200" s="95" t="n"/>
      <c r="B200" s="95" t="n"/>
      <c r="C200" s="95" t="n"/>
      <c r="D200" s="95" t="n"/>
      <c r="E200" s="95" t="n"/>
      <c r="F200" s="120" t="n"/>
    </row>
    <row r="201" ht="15.75" customHeight="1" s="230">
      <c r="A201" s="95" t="n"/>
      <c r="B201" s="95" t="n"/>
      <c r="C201" s="95" t="n"/>
      <c r="D201" s="95" t="n"/>
      <c r="E201" s="95" t="n"/>
      <c r="F201" s="120" t="n"/>
    </row>
    <row r="202" ht="15.75" customHeight="1" s="230">
      <c r="A202" s="95" t="n"/>
      <c r="B202" s="95" t="n"/>
      <c r="C202" s="95" t="n"/>
      <c r="D202" s="95" t="n"/>
      <c r="E202" s="95" t="n"/>
      <c r="F202" s="120" t="n"/>
    </row>
    <row r="203" ht="15.75" customHeight="1" s="230">
      <c r="A203" s="95" t="n"/>
      <c r="B203" s="95" t="n"/>
      <c r="C203" s="95" t="n"/>
      <c r="D203" s="95" t="n"/>
      <c r="E203" s="95" t="n"/>
      <c r="F203" s="120" t="n"/>
    </row>
    <row r="204" ht="15.75" customHeight="1" s="230">
      <c r="A204" s="95" t="n"/>
      <c r="B204" s="95" t="n"/>
      <c r="C204" s="95" t="n"/>
      <c r="D204" s="95" t="n"/>
      <c r="E204" s="95" t="n"/>
      <c r="F204" s="120" t="n"/>
    </row>
    <row r="205" ht="15.75" customHeight="1" s="230">
      <c r="A205" s="95" t="n"/>
      <c r="B205" s="95" t="n"/>
      <c r="C205" s="95" t="n"/>
      <c r="D205" s="95" t="n"/>
      <c r="E205" s="95" t="n"/>
      <c r="F205" s="120" t="n"/>
    </row>
    <row r="206" ht="15.75" customHeight="1" s="230">
      <c r="A206" s="95" t="n"/>
      <c r="B206" s="95" t="n"/>
      <c r="C206" s="95" t="n"/>
      <c r="D206" s="95" t="n"/>
      <c r="E206" s="95" t="n"/>
      <c r="F206" s="120" t="n"/>
    </row>
    <row r="207" ht="15.75" customHeight="1" s="230">
      <c r="A207" s="95" t="n"/>
      <c r="B207" s="95" t="n"/>
      <c r="C207" s="95" t="n"/>
      <c r="D207" s="95" t="n"/>
      <c r="E207" s="95" t="n"/>
      <c r="F207" s="120" t="n"/>
    </row>
    <row r="208" ht="15.75" customHeight="1" s="230">
      <c r="A208" s="95" t="n"/>
      <c r="B208" s="95" t="n"/>
      <c r="C208" s="95" t="n"/>
      <c r="D208" s="95" t="n"/>
      <c r="E208" s="95" t="n"/>
      <c r="F208" s="120" t="n"/>
    </row>
    <row r="209" ht="15.75" customHeight="1" s="230">
      <c r="A209" s="95" t="n"/>
      <c r="B209" s="95" t="n"/>
      <c r="C209" s="95" t="n"/>
      <c r="D209" s="95" t="n"/>
      <c r="E209" s="95" t="n"/>
      <c r="F209" s="120" t="n"/>
    </row>
    <row r="210" ht="15.75" customHeight="1" s="230">
      <c r="A210" s="95" t="n"/>
      <c r="B210" s="95" t="n"/>
      <c r="C210" s="95" t="n"/>
      <c r="D210" s="95" t="n"/>
      <c r="E210" s="95" t="n"/>
      <c r="F210" s="120" t="n"/>
    </row>
    <row r="211" ht="15.75" customHeight="1" s="230">
      <c r="A211" s="95" t="n"/>
      <c r="B211" s="95" t="n"/>
      <c r="C211" s="95" t="n"/>
      <c r="D211" s="95" t="n"/>
      <c r="E211" s="95" t="n"/>
      <c r="F211" s="120" t="n"/>
    </row>
    <row r="212" ht="15.75" customHeight="1" s="230">
      <c r="A212" s="95" t="n"/>
      <c r="B212" s="95" t="n"/>
      <c r="C212" s="95" t="n"/>
      <c r="D212" s="95" t="n"/>
      <c r="E212" s="95" t="n"/>
      <c r="F212" s="120" t="n"/>
    </row>
    <row r="213" ht="15.75" customHeight="1" s="230">
      <c r="A213" s="95" t="n"/>
      <c r="B213" s="95" t="n"/>
      <c r="C213" s="95" t="n"/>
      <c r="D213" s="95" t="n"/>
      <c r="E213" s="95" t="n"/>
      <c r="F213" s="120" t="n"/>
    </row>
    <row r="214" ht="15.75" customHeight="1" s="230">
      <c r="A214" s="95" t="n"/>
      <c r="B214" s="95" t="n"/>
      <c r="C214" s="95" t="n"/>
      <c r="D214" s="95" t="n"/>
      <c r="E214" s="95" t="n"/>
      <c r="F214" s="120" t="n"/>
    </row>
    <row r="215" ht="15.75" customHeight="1" s="230">
      <c r="A215" s="95" t="n"/>
      <c r="B215" s="95" t="n"/>
      <c r="C215" s="95" t="n"/>
      <c r="D215" s="95" t="n"/>
      <c r="E215" s="95" t="n"/>
      <c r="F215" s="120" t="n"/>
    </row>
    <row r="216" ht="15.75" customHeight="1" s="230">
      <c r="A216" s="95" t="n"/>
      <c r="B216" s="95" t="n"/>
      <c r="C216" s="95" t="n"/>
      <c r="D216" s="95" t="n"/>
      <c r="E216" s="95" t="n"/>
      <c r="F216" s="120" t="n"/>
    </row>
    <row r="217" ht="15.75" customHeight="1" s="230">
      <c r="A217" s="95" t="n"/>
      <c r="B217" s="95" t="n"/>
      <c r="C217" s="95" t="n"/>
      <c r="D217" s="95" t="n"/>
      <c r="E217" s="95" t="n"/>
      <c r="F217" s="120" t="n"/>
    </row>
    <row r="218" ht="15.75" customHeight="1" s="230">
      <c r="A218" s="95" t="n"/>
      <c r="B218" s="95" t="n"/>
      <c r="C218" s="95" t="n"/>
      <c r="D218" s="95" t="n"/>
      <c r="E218" s="95" t="n"/>
      <c r="F218" s="120" t="n"/>
    </row>
    <row r="219" ht="15.75" customHeight="1" s="230">
      <c r="A219" s="95" t="n"/>
      <c r="B219" s="95" t="n"/>
      <c r="C219" s="95" t="n"/>
      <c r="D219" s="95" t="n"/>
      <c r="E219" s="95" t="n"/>
      <c r="F219" s="120" t="n"/>
    </row>
    <row r="220" ht="15.75" customHeight="1" s="230">
      <c r="A220" s="95" t="n"/>
      <c r="B220" s="95" t="n"/>
      <c r="C220" s="95" t="n"/>
      <c r="D220" s="95" t="n"/>
      <c r="E220" s="95" t="n"/>
      <c r="F220" s="120" t="n"/>
    </row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2026-08-30T13:29:06Z</dcterms:created>
  <dcterms:modified xmlns:dcterms="http://purl.org/dc/terms/" xmlns:xsi="http://www.w3.org/2001/XMLSchema-instance" xsi:type="dcterms:W3CDTF">2026-08-30T18:04:29Z</dcterms:modified>
</cp:coreProperties>
</file>